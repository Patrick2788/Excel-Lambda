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Hogan\Downloads\"/>
    </mc:Choice>
  </mc:AlternateContent>
  <xr:revisionPtr revIDLastSave="0" documentId="13_ncr:1_{09A08FFE-36A5-4ACC-9978-2FAEC7F73E2A}" xr6:coauthVersionLast="47" xr6:coauthVersionMax="47" xr10:uidLastSave="{00000000-0000-0000-0000-000000000000}"/>
  <bookViews>
    <workbookView xWindow="28680" yWindow="-120" windowWidth="29040" windowHeight="15720" tabRatio="843" xr2:uid="{DCF2F00D-9944-4D00-8C2E-990B119795CC}"/>
  </bookViews>
  <sheets>
    <sheet name="Introduction" sheetId="16" r:id="rId1"/>
    <sheet name="Layer_Zip" sheetId="3" r:id="rId2"/>
    <sheet name="Dictionary" sheetId="12" r:id="rId3"/>
    <sheet name="Pairwise" sheetId="19" r:id="rId4"/>
    <sheet name="Function_Errors" sheetId="23" r:id="rId5"/>
  </sheets>
  <definedNames>
    <definedName name="Agent">Dictionary!$I$3:$M$7</definedName>
    <definedName name="brand">Pairwise!$G$2:$L$2</definedName>
    <definedName name="City">Dictionary!$I$11:$L$15</definedName>
    <definedName name="clothing">Pairwise!$G$4:$L$4</definedName>
    <definedName name="colors">Pairwise!$B$7:$B$12</definedName>
    <definedName name="Composeλ">_xlfn.LAMBDA(_xlpm.direction,_xlpm.array_1,_xlpm.array_2,_xlop.array_3,_xlop.array_4,_xlop.flatten, _xlfn.LET(_xlpm.IsVertical?, ROWS(_xlpm.direction(1, 1)) = 2, _xlpm.SkipArr3?, _xlfn.ISOMITTED(_xlpm.array_3), _xlpm.SkipArr4?, _xlfn.ISOMITTED(_xlpm.array_4), _xlpm.flattened?, IF(_xlfn.ISOMITTED(_xlpm.flatten), FALSE, _xlpm.flatten), _xlpm.flattened_and_vertical?, (_xlpm.flattened?) * (_xlpm.IsVertical?), _xlpm.m, 2 + NOT(_xlpm.SkipArr3?) + NOT(_xlpm.SkipArr4?), _xlpm.IsVector?, _xlfn.LAMBDA(_xlpm.array, _xlfn.XOR(ROWS(_xlpm.array) = 1, COLUMNS(_xlpm.array) = 1)), _xlpm.i, ROWS(_xlpm.array_1), _xlpm.j, COLUMNS(_xlpm.array_1), _xlpm.i₂, ROWS(_xlpm.array_2), _xlpm.j₂, COLUMNS(_xlpm.array_2), _xlpm.i₃, IF(_xlpm.SkipArr3?, 9000000000, ROWS(_xlpm.array_3)), _xlpm.j₃, IF(_xlpm.SkipArr3?, 9000000000, COLUMNS(_xlpm.array_3)), _xlpm.i₄, IF(_xlpm.SkipArr4?, 9000000000, ROWS(_xlpm.array_4)), _xlpm.j₄, IF(_xlpm.SkipArr4?, 9000000000, COLUMNS(_xlpm.array_4)), _xlpm.i_, MIN(_xlpm.i, _xlpm.i₂, _xlpm.i₃, _xlpm.i₄), _xlpm.j_, MIN(_xlpm.j, _xlpm.j₂, _xlpm.j₃, _xlpm.j₄), _xlpm.Trimλ, _xlfn.LAMBDA(_xlpm.array, _xlfn.TAKE(_xlpm.array, _xlpm.i_, _xlpm.j_)), _xlpm.a, _xlpm.Trimλ(_xlpm.array_1), _xlpm.b, _xlpm.Trimλ(_xlpm.array_2), _xlpm.c, _xlpm.Trimλ(_xlpm.array_3), _xlpm.d, _xlpm.Trimλ(_xlpm.array_4), _xlpm.stack_2, _xlpm.direction(_xlpm.a, _xlpm.b), _xlpm.stack_3, _xlpm.direction(_xlpm.a, _xlpm.b, IF((_xlpm.SkipArr3?) * (NOT(_xlpm.SkipArr4?)), _xlpm.d, _xlpm.c)), _xlpm.stack_4, _xlpm.direction(_xlpm.a, _xlpm.b, _xlpm.c, _xlpm.d), _xlpm.arrangement, CHOOSE(_xlpm.m, 1, _xlpm.stack_2, _xlpm.stack_3, _xlpm.stack_4), _xlpm.height, ROWS(_xlpm.arrangement), _xlpm.width, COLUMNS(_xlpm.arrangement), _xlpm.x, _xlfn.LAMBDA(_xlfn.TOCOL(_xlfn.WRAPROWS(_xlfn.SEQUENCE(_xlpm.height), _xlpm.i), 2, 1) * _xlfn.SEQUENCE(, _xlpm.width, 1, 0)), _xlpm.y, _xlfn.LAMBDA(_xlfn.TOROW(_xlfn.WRAPROWS(_xlfn.SEQUENCE(_xlpm.width), _xlpm.j), 2, 1) * _xlfn.SEQUENCE(_xlpm.height, , 1, 0)), _xlpm.shaped, INDEX(_xlpm.arrangement, _xlpm.x(), _xlpm.y()), _xlpm.deliver, IF(NOT(_xlpm.flattened?), _xlpm.shaped, IF(_xlpm.flattened_and_vertical?, _xlfn.WRAPROWS(_xlfn.TOCOL(_xlpm.shaped, , 1), _xlpm.m), _xlfn.WRAPCOLS(_xlfn.TOCOL(_xlpm.shaped), _xlpm.m))), _xlpm.deliver))</definedName>
    <definedName name="Department">Dictionary!$O$3:$S$7</definedName>
    <definedName name="Directory">Layerλ(ID, Agent, Department, City, 1)</definedName>
    <definedName name="GetRecordsλ">_xlfn.LAMBDA(_xlpm.dictionary,_xlpm.key, IF(OR(ISERROR(_xlpm.dictionary), ISERROR(_xlpm.key)), "#Check inputs!", _xlfn.LET(_xlpm.terms, _xlfn.TEXTJOIN("|", 1, _xlpm.key), _xlpm.locate_keys, _xlfn.REGEXTEST(_xlpm.dictionary, _xlpm.terms, 1), _xlpm.keep, _xlfn.BYROW(_xlpm.locate_keys, _xleta.OR), _xlpm.records, _xlfn._xlws.FILTER(_xlpm.dictionary, _xlpm.keep, "None found"), _xlpm.records)))</definedName>
    <definedName name="ID">Dictionary!$B$3:$F$7</definedName>
    <definedName name="Layerλ">_xlfn.LAMBDA(_xlpm.array_1,_xlpm.array_2,_xlop.array_3,_xlop.array_4,_xlop.flatten, Composeλ(_xleta.VSTACK, _xlpm.array_1, _xlpm.array_2, _xlpm.array_3, _xlpm.array_4, _xlpm.flatten))</definedName>
    <definedName name="letters">Layer_Zip!$G$5:$I$7</definedName>
    <definedName name="locations">Layer_Zip!$G$16:$I$18</definedName>
    <definedName name="numbers">Layer_Zip!$C$5:$E$7</definedName>
    <definedName name="Pairwiseλ">_xlfn.LAMBDA(_xlpm.vector_1,_xlpm.vector_2, Validateλ(_xlpm.vector_1, _xlpm.vector_2, _xlfn.LET(_xlpm.i, ROWS(_xlpm.vector_1), _xlpm.j, COLUMNS(_xlpm.vector_1), _xlpm.m, ROWS(_xlpm.vector_2), _xlpm.n, COLUMNS(_xlpm.vector_2), _xlpm.MaxDim, MAX(_xlpm.i, _xlpm.m, _xlpm.j, _xlpm.n), _xlpm.r, _xlfn.LAMBDA(_xlfn.SEQUENCE(_xlpm.MaxDim) * _xlfn.SEQUENCE(, _xlpm.MaxDim, 1, 0)), _xlpm.c, _xlfn.LAMBDA(TRANSPOSE(_xlpm.r())), _xlpm.IsVertical_1?, _xlpm.i &gt; _xlpm.j, _xlpm.IsVertical_2?, _xlpm.m &gt; _xlpm.n, _xlpm.IsScalar_1?, (_xlpm.i = 1) * (_xlpm.j = 1), _xlpm.IsScalar_2?, (_xlpm.m = 1) * (_xlpm.n = 1), _xlpm.IsScalar_Pair?, (_xlpm.IsScalar_1?) + (_xlpm.IsScalar_2?), _xlpm.ExpandScalarλ, _xlfn.LAMBDA(_xlpm.scalar,_xlpm.shape_ref, IF(ROWS(_xlpm.shape_ref) &gt; COLUMNS(_xlpm.shape_ref), _xlfn.EXPAND(_xlpm.scalar, ROWS(_xlpm.shape_ref), , _xlpm.scalar), _xlfn.EXPAND(_xlpm.scalar, , COLUMNS(_xlpm.shape_ref), _xlpm.scalar))), _xlpm.Vertical, 1 * (_xlpm.IsVertical_1?) * (_xlpm.IsVertical_2?), _xlpm.Cross, 2 * (NOT(_xlpm.IsScalar_Pair?)) * _xlfn.XOR(NOT(_xlpm.IsVertical_1?), NOT(_xlpm.IsVertical_2?)), _xlpm.Horizontal, 3 * (NOT(_xlpm.IsVertical_1?)) * (NOT(_xlpm.IsVertical_2?)), _xlpm.ScalarVertical, IF(_xlpm.IsScalar_Pair?, IF(OR(_xlpm.IsVertical_1?, _xlpm.IsVertical_2?), 4, 0)), _xlpm.ScalarHorizontal, IF(_xlpm.IsScalar_Pair?, IF(_xlpm.Horizontal, 5, 0)), _xlpm.k, MAX(_xlpm.Vertical, _xlpm.Cross, _xlpm.Horizontal, _xlpm.ScalarVertical, _xlpm.ScalarHorizontal), _xlpm.a, _xlfn.LAMBDA(IF(_xlpm.IsScalar_1?, _xlpm.ExpandScalarλ(_xlpm.vector_1, _xlpm.vector_2), IF(_xlpm.Cross, IF(_xlpm.IsVertical_1?, _xlpm.vector_2, _xlpm.vector_1), _xlpm.vector_1))), _xlpm.b, _xlfn.LAMBDA(IF(_xlpm.IsScalar_2?, _xlpm.ExpandScalarλ(_xlpm.vector_2, _xlpm.vector_1), IF(_xlpm.Cross, IF(_xlpm.IsVertical_2?, _xlpm.vector_2, _xlpm.vector_1), _xlpm.vector_2))), _xlpm.interleave_vertical, _xlfn.LAMBDA(_xlfn.TOCOL(_xlfn.HSTACK(_xlpm.a(), _xlpm.b()))), _xlpm.interleave_horizontal, _xlfn.LAMBDA(_xlfn.TOROW(_xlfn.VSTACK(_xlpm.a(), _xlpm.b()), , 1)), _xlpm.cross_product, _xlfn.LAMBDA(_xlfn.HSTACK(_xlfn.TOCOL(INDEX(_xlpm.a(), _xlpm.r())), _xlfn.TOCOL(INDEX(_xlpm.b(), _xlpm.c())))), _xlpm.scalar_hstack, _xlfn.LAMBDA(_xlfn.HSTACK(_xlpm.a(), _xlpm.b())), _xlpm.scalar_vstack, _xlfn.LAMBDA(_xlfn.VSTACK(_xlpm.a(), _xlpm.b())), _xlpm.outcome, CHOOSE(_xlpm.k, _xlpm.interleave_vertical(), _xlpm.cross_product(), _xlpm.interleave_horizontal(), _xlpm.scalar_hstack(), _xlpm.scalar_vstack()), _xlpm.outcome)))</definedName>
    <definedName name="SearchTerms">_xlfn._TRO_TRAILING(Dictionary!$H$20:$H$50)</definedName>
    <definedName name="things">Pairwise!$D$7:$D$12</definedName>
    <definedName name="Validateλ">_xlfn.LAMBDA(_xlpm.vector_1,_xlpm.vector_2,_xlpm.on_valid, _xlfn.LET(_xlpm.i, ROWS(_xlpm.vector_1), _xlpm.j, COLUMNS(_xlpm.vector_1), _xlpm.m, ROWS(_xlpm.vector_2), _xlpm.n, COLUMNS(_xlpm.vector_2), _xlpm.MaxDim, MAX(_xlpm.i, _xlpm.j, _xlpm.m, _xlpm.n), _xlpm.IsScalarPair?, AND(_xlpm.i = 1, _xlpm.j = 1, _xlpm.m = 1, _xlpm.n = 1), _xlpm.NotScalar, NOT(_xlfn.XOR(_xlpm.i * _xlpm.j = 1, _xlpm.m * 1 = 1)), _xlpm.IsCrossProduct?, (_xlpm.NotScalar) * _xlfn.XOR(NOT(_xlpm.i &gt; _xlpm.j), NOT(_xlpm.m &gt; _xlpm.n)), _xlpm.ShapeMismatch, (_xlpm.NotScalar) * (NOT(_xlfn.XOR(_xlpm.i = _xlpm.m, _xlpm.i = _xlpm.n))), _xlpm.SpillRisk_Vertical, AND(_xlpm.NotScalar, _xlpm.IsCrossProduct?, _xlpm.MaxDim ^ 2 &gt;= 1024 ^ 2), _xlpm.SpillRisk_Horizontal, AND(_xlpm.NotScalar, NOT(_xlpm.IsCrossProduct?), 2 * _xlpm.MaxDim &gt;= 16384), IF(_xlpm.IsScalarPair?, _xlpm.on_valid, IF(_xlpm.SpillRisk_Vertical, "#SPILL-RISK!", IF(_xlpm.SpillRisk_Horizontal, "SPILL-RISK", IF(_xlpm.ShapeMismatch, "#DIMENSIONS!", _xlpm.on_valid))))))</definedName>
    <definedName name="words">Layer_Zip!$G$11:$I$13</definedName>
    <definedName name="Zipλ">_xlfn.LAMBDA(_xlpm.array_1,_xlpm.array_2,_xlop.array_3,_xlop.array_4,_xlop.flatten, Composeλ(_xleta.HSTACK, _xlpm.array_1, _xlpm.array_2, _xlpm.array_3, _xlpm.array_4, _xlpm.flatten))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9" l="1" a="1"/>
  <c r="K38" i="19" s="1"/>
  <c r="F13" i="19" a="1"/>
  <c r="F13" i="19" s="1"/>
  <c r="K27" i="19" a="1"/>
  <c r="K27" i="19" s="1"/>
  <c r="N27" i="19" a="1"/>
  <c r="N27" i="19" s="1"/>
  <c r="I27" i="19" a="1"/>
  <c r="I27" i="19" s="1"/>
  <c r="I23" i="19" a="1"/>
  <c r="I23" i="19" s="1"/>
  <c r="I13" i="19" a="1"/>
  <c r="I13" i="19" s="1"/>
  <c r="L12" i="19" a="1"/>
  <c r="L12" i="19" s="1"/>
  <c r="B3" i="12" l="1" a="1"/>
  <c r="B3" i="12" s="1"/>
  <c r="J23" i="12" s="1" a="1"/>
  <c r="J23" i="12" l="1"/>
  <c r="G36" i="3" a="1"/>
  <c r="G36" i="3" s="1"/>
  <c r="G24" i="3" a="1"/>
  <c r="G24" i="3" s="1"/>
  <c r="C5" i="3" a="1"/>
  <c r="C5" i="3" s="1"/>
  <c r="L27" i="3" s="1" a="1"/>
  <c r="L27" i="3" s="1"/>
  <c r="Q27" i="3" l="1" a="1"/>
  <c r="Q27" i="3" s="1"/>
  <c r="Q35" i="3" a="1"/>
  <c r="Q35" i="3" s="1"/>
  <c r="S6" i="3" a="1"/>
  <c r="S6" i="3" s="1"/>
  <c r="P12" i="3" a="1"/>
  <c r="P12" i="3" s="1"/>
  <c r="L22" i="3" a="1"/>
  <c r="L22" i="3" s="1"/>
  <c r="L12" i="3" a="1"/>
  <c r="L12" i="3" s="1"/>
  <c r="L6" i="3" a="1"/>
  <c r="L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<sst xmlns="http://schemas.openxmlformats.org/spreadsheetml/2006/main" count="201" uniqueCount="162">
  <si>
    <t>A</t>
  </si>
  <si>
    <t>B</t>
  </si>
  <si>
    <t>C</t>
  </si>
  <si>
    <t>D</t>
  </si>
  <si>
    <t>E</t>
  </si>
  <si>
    <t>F</t>
  </si>
  <si>
    <t>G</t>
  </si>
  <si>
    <t>H</t>
  </si>
  <si>
    <t>I</t>
  </si>
  <si>
    <t>Hotel</t>
  </si>
  <si>
    <t>Igloo</t>
  </si>
  <si>
    <t>Numbers</t>
  </si>
  <si>
    <t>Letters</t>
  </si>
  <si>
    <t>Bear</t>
  </si>
  <si>
    <t>Cat</t>
  </si>
  <si>
    <t>Eagle</t>
  </si>
  <si>
    <t>Fox</t>
  </si>
  <si>
    <t>Words</t>
  </si>
  <si>
    <t>Apple</t>
  </si>
  <si>
    <t>Dog</t>
  </si>
  <si>
    <t>Ghost</t>
  </si>
  <si>
    <t>Locations</t>
  </si>
  <si>
    <t>Orchard</t>
  </si>
  <si>
    <t>Mountain</t>
  </si>
  <si>
    <t>House</t>
  </si>
  <si>
    <t>Back yard</t>
  </si>
  <si>
    <t>Cemetary</t>
  </si>
  <si>
    <t>Harry</t>
  </si>
  <si>
    <t>Grove</t>
  </si>
  <si>
    <t>Alaska</t>
  </si>
  <si>
    <t>River</t>
  </si>
  <si>
    <t>Zip - 2 arrays</t>
  </si>
  <si>
    <t>Layer - 2 arrays</t>
  </si>
  <si>
    <t>Zip - 4 arrays</t>
  </si>
  <si>
    <t>Layer/Flatten - 4 arrays</t>
  </si>
  <si>
    <t>Zip/Flatten - 4 arrays</t>
  </si>
  <si>
    <t>Layer - 4 arrays</t>
  </si>
  <si>
    <t>Zip/Flatten - 2 arrays</t>
  </si>
  <si>
    <t>Layer/Flatten - 2 arrays</t>
  </si>
  <si>
    <t>Layer - 3 arrays</t>
  </si>
  <si>
    <t>Layer/Flatten - 3 arrays</t>
  </si>
  <si>
    <t>ID</t>
  </si>
  <si>
    <t>Agent</t>
  </si>
  <si>
    <t>Lee</t>
  </si>
  <si>
    <t>Williams</t>
  </si>
  <si>
    <t>Dunbar</t>
  </si>
  <si>
    <t>Miller</t>
  </si>
  <si>
    <t>O'Brien</t>
  </si>
  <si>
    <t>Oharu</t>
  </si>
  <si>
    <t>Bailey</t>
  </si>
  <si>
    <t>Walker</t>
  </si>
  <si>
    <t>Phelps</t>
  </si>
  <si>
    <t>Wellington</t>
  </si>
  <si>
    <t>Lewis</t>
  </si>
  <si>
    <t>Meyer</t>
  </si>
  <si>
    <t>Richardson</t>
  </si>
  <si>
    <t>Jackson</t>
  </si>
  <si>
    <t>Anderson</t>
  </si>
  <si>
    <t>Reed</t>
  </si>
  <si>
    <t>Michaels</t>
  </si>
  <si>
    <t>Franklin</t>
  </si>
  <si>
    <t>Quinn</t>
  </si>
  <si>
    <t>Novotny</t>
  </si>
  <si>
    <t>Lucas</t>
  </si>
  <si>
    <t>Jaeger</t>
  </si>
  <si>
    <t>Paul</t>
  </si>
  <si>
    <t>Zelkov</t>
  </si>
  <si>
    <t>Turner</t>
  </si>
  <si>
    <t>Department</t>
  </si>
  <si>
    <t>Sales</t>
  </si>
  <si>
    <t>Marketing</t>
  </si>
  <si>
    <t>HR</t>
  </si>
  <si>
    <t>PR</t>
  </si>
  <si>
    <t>Security</t>
  </si>
  <si>
    <t>Finance</t>
  </si>
  <si>
    <t>Unknown</t>
  </si>
  <si>
    <t>Plano</t>
  </si>
  <si>
    <t>Cheyenne</t>
  </si>
  <si>
    <t>Soda Springs</t>
  </si>
  <si>
    <t>Podunk</t>
  </si>
  <si>
    <t>San Antonio</t>
  </si>
  <si>
    <t>Jackson (WY)</t>
  </si>
  <si>
    <t>Houston</t>
  </si>
  <si>
    <t>Fort Worth</t>
  </si>
  <si>
    <t>Reno</t>
  </si>
  <si>
    <t>City</t>
  </si>
  <si>
    <t>Pull records from Directory</t>
  </si>
  <si>
    <t>Search Terms:</t>
  </si>
  <si>
    <t>Red</t>
  </si>
  <si>
    <t>Blue</t>
  </si>
  <si>
    <t>Green</t>
  </si>
  <si>
    <t>Orange</t>
  </si>
  <si>
    <t>Colors</t>
  </si>
  <si>
    <t>Clothing</t>
  </si>
  <si>
    <t>Shirt</t>
  </si>
  <si>
    <t>Cardigan</t>
  </si>
  <si>
    <t>Socks</t>
  </si>
  <si>
    <t>Slacks</t>
  </si>
  <si>
    <t>Scarf</t>
  </si>
  <si>
    <t>Gloves</t>
  </si>
  <si>
    <t>Brown</t>
  </si>
  <si>
    <t>Cross product</t>
  </si>
  <si>
    <t>(row * column is equal for both vectors)</t>
  </si>
  <si>
    <t>Horizontal</t>
  </si>
  <si>
    <t>Scalar paired with vertical vector</t>
  </si>
  <si>
    <t>Scalar paired with horizontal vector</t>
  </si>
  <si>
    <t>Brand</t>
  </si>
  <si>
    <t>Thread &amp; Theory</t>
  </si>
  <si>
    <t>Velvet Anchor</t>
  </si>
  <si>
    <t>Grainline Supply Co.</t>
  </si>
  <si>
    <t>Nimbus Atelier</t>
  </si>
  <si>
    <t>Stitchmark</t>
  </si>
  <si>
    <t>Fablewear</t>
  </si>
  <si>
    <t>Things</t>
  </si>
  <si>
    <t>Car</t>
  </si>
  <si>
    <t>Water</t>
  </si>
  <si>
    <t>Grass</t>
  </si>
  <si>
    <t>Cow</t>
  </si>
  <si>
    <t>Sun</t>
  </si>
  <si>
    <t>Gold</t>
  </si>
  <si>
    <t>Liquid</t>
  </si>
  <si>
    <t>Scalar provided second with horizontal vector</t>
  </si>
  <si>
    <t>Scalar supplied second with vertical vector</t>
  </si>
  <si>
    <t>Function</t>
  </si>
  <si>
    <t>Description</t>
  </si>
  <si>
    <t>Zipλ</t>
  </si>
  <si>
    <t>Layerλ</t>
  </si>
  <si>
    <t>Pairwiseλ</t>
  </si>
  <si>
    <t>GetRecordsλ</t>
  </si>
  <si>
    <t>Horizontally arrange elements from two to four arrays with optional column-wise flattening.</t>
  </si>
  <si>
    <t>Vertically arrange elements from two to four arrays with optional column-wise flattening.</t>
  </si>
  <si>
    <t>Create horizontal, vertical, or cross product arrangements of two vectors.</t>
  </si>
  <si>
    <t>Utilizes regex matching to retrieve records from a dictionary created by Zipλ or Layerλ.</t>
  </si>
  <si>
    <t>Function arguments for Zipλ and Layerλ</t>
  </si>
  <si>
    <t>array_1</t>
  </si>
  <si>
    <t>array_2</t>
  </si>
  <si>
    <t>[flatten]</t>
  </si>
  <si>
    <t>Optional: If TRUE, Zipλ flattens column-wise, Layerλ flattens row-wise</t>
  </si>
  <si>
    <t>[array_3]</t>
  </si>
  <si>
    <t>[array_4]</t>
  </si>
  <si>
    <t>Function arguments for Pairwiseλ</t>
  </si>
  <si>
    <t>vector_1</t>
  </si>
  <si>
    <t>vector_2</t>
  </si>
  <si>
    <t>Horizontal and vertical vectors and scalars are accepted.</t>
  </si>
  <si>
    <t>Function arguments for GetRecordsλ</t>
  </si>
  <si>
    <t>dictionary</t>
  </si>
  <si>
    <t>key</t>
  </si>
  <si>
    <t>Search term(s) used to retrieve records from dictionary.</t>
  </si>
  <si>
    <t>An array of records consolidated with Zipλ or Layerλ.</t>
  </si>
  <si>
    <t>Required input. Accepts vectors and matrices.</t>
  </si>
  <si>
    <t>Optional array input.</t>
  </si>
  <si>
    <t>Zipλ and Layerλ</t>
  </si>
  <si>
    <t>#Check inputs!</t>
  </si>
  <si>
    <t>The provided dictionary or key resolves to an error.</t>
  </si>
  <si>
    <t>#SPILL-RISK!</t>
  </si>
  <si>
    <t>The result would exceed maximum row and/or column dimensions of the sheet.</t>
  </si>
  <si>
    <t>#DIMENSIONS!</t>
  </si>
  <si>
    <t>Composeλ is the engine behind Zipλ and Layerλ. It does not enforce traditional error checking where inputs must pass a gauntlet of tests before execution. Instead, it adapts to the array inputs by processing a common shape among them. For example, if the user provides two arrays - 3×3 and 2×3 - Zipλ and Layerλ will process 2×2.</t>
  </si>
  <si>
    <t>The dimensions of the supplied vectors do not match. An exception is made for supplying a vector (of any dimensions) and a scalar. Two scalar inputs are also acceptable.</t>
  </si>
  <si>
    <t>Cross - horizontal vector provided first</t>
  </si>
  <si>
    <t>Vertical vectors</t>
  </si>
  <si>
    <t>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</si>
</sst>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Mono"/>
      <family val="2"/>
    </font>
    <font>
      <sz val="11"/>
      <name val="Verdana"/>
      <family val="2"/>
    </font>
    <font>
      <b/>
      <sz val="11"/>
      <color rgb="FF002060"/>
      <name val="Verdana"/>
      <family val="2"/>
    </font>
    <font>
      <b/>
      <sz val="11"/>
      <color theme="6"/>
      <name val="Verdana"/>
      <family val="2"/>
    </font>
    <font>
      <sz val="11"/>
      <color theme="1"/>
      <name val="Verdana"/>
      <family val="2"/>
    </font>
    <font>
      <b/>
      <sz val="11"/>
      <color theme="6" tint="0.39997558519241921"/>
      <name val="Verdana"/>
      <family val="2"/>
    </font>
    <font>
      <b/>
      <sz val="11"/>
      <color theme="3"/>
      <name val="Verdana"/>
      <family val="2"/>
    </font>
    <font>
      <b/>
      <sz val="11"/>
      <color theme="3" tint="0.499984740745262"/>
      <name val="Verdana"/>
      <family val="2"/>
    </font>
    <font>
      <i/>
      <sz val="11"/>
      <name val="Verdana"/>
      <family val="2"/>
    </font>
    <font>
      <b/>
      <i/>
      <sz val="11"/>
      <color rgb="FF00206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5EDB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6" xfId="0" applyFont="1" applyFill="1" applyBorder="1"/>
    <xf numFmtId="0" fontId="4" fillId="7" borderId="6" xfId="0" applyFont="1" applyFill="1" applyBorder="1"/>
    <xf numFmtId="0" fontId="4" fillId="6" borderId="5" xfId="0" applyFont="1" applyFill="1" applyBorder="1"/>
    <xf numFmtId="0" fontId="4" fillId="7" borderId="5" xfId="0" applyFont="1" applyFill="1" applyBorder="1"/>
    <xf numFmtId="0" fontId="7" fillId="0" borderId="0" xfId="0" applyFont="1"/>
    <xf numFmtId="0" fontId="4" fillId="6" borderId="7" xfId="0" applyFont="1" applyFill="1" applyBorder="1"/>
    <xf numFmtId="0" fontId="4" fillId="7" borderId="7" xfId="0" applyFont="1" applyFill="1" applyBorder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8" borderId="0" xfId="0" applyFont="1" applyFill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wrapText="1"/>
    </xf>
    <xf numFmtId="0" fontId="4" fillId="9" borderId="2" xfId="0" applyFont="1" applyFill="1" applyBorder="1"/>
    <xf numFmtId="0" fontId="4" fillId="0" borderId="0" xfId="0" applyFont="1" applyAlignment="1">
      <alignment vertical="center"/>
    </xf>
    <xf numFmtId="0" fontId="4" fillId="9" borderId="2" xfId="0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wrapText="1"/>
    </xf>
    <xf numFmtId="0" fontId="4" fillId="5" borderId="0" xfId="0" quotePrefix="1" applyFont="1" applyFill="1"/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6" tint="0.79998168889431442"/>
        </patternFill>
      </fill>
    </dxf>
  </dxfs>
  <tableStyles count="1" defaultTableStyle="TableStyleMedium2" defaultPivotStyle="PivotStyleLight16">
    <tableStyle name="Invisible" pivot="0" table="0" count="0" xr9:uid="{50C1EC31-F2EF-4541-B455-3ED3A13AE76F}"/>
  </tableStyles>
  <colors>
    <mruColors>
      <color rgb="FFFFCCCC"/>
      <color rgb="FFC5EDB7"/>
      <color rgb="FF83E28E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213360</xdr:colOff>
      <xdr:row>1</xdr:row>
      <xdr:rowOff>19050</xdr:rowOff>
    </xdr:from>
    <xdr:to>
      <xdr:col>2</xdr:col>
      <xdr:colOff>5135880</xdr:colOff>
      <xdr:row>16</xdr:row>
      <xdr:rowOff>87630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A541A1-5939-AA76-419A-5B091B5D0281}"/>
            </a:ext>
          </a:extLst>
        </xdr:cNvPr>
        <xdr:cNvSpPr txBox="1"/>
      </xdr:nvSpPr>
      <xdr:spPr>
        <a:xfrm>
          <a:off x="1234440" y="198120"/>
          <a:ext cx="5875020" cy="2754630"/>
        </a:xfrm>
        <a:prstGeom prst="rect">
          <a:avLst/>
        </a:prstGeom>
        <a:solidFill>
          <a:schemeClr val="lt1"/>
        </a:solidFill>
        <a:ln w="9525" cmpd="sng">
          <a:solidFill>
            <a:srgbClr val="C5EDB7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2800">
            <a:latin typeface="Consolas" panose="020B0609020204030204" pitchFamily="49" charset="0"/>
          </a:endParaRPr>
        </a:p>
        <a:p>
          <a:pPr algn="ctr"/>
          <a:r>
            <a:rPr lang="en-US" sz="2800" u="sng">
              <a:latin typeface="Consolas" panose="020B0609020204030204" pitchFamily="49" charset="0"/>
            </a:rPr>
            <a:t>Array</a:t>
          </a:r>
          <a:r>
            <a:rPr lang="en-US" sz="2800" u="none">
              <a:latin typeface="Consolas" panose="020B0609020204030204" pitchFamily="49" charset="0"/>
            </a:rPr>
            <a:t> </a:t>
          </a:r>
          <a:r>
            <a:rPr lang="en-US" sz="2800" u="sng">
              <a:latin typeface="Consolas" panose="020B0609020204030204" pitchFamily="49" charset="0"/>
            </a:rPr>
            <a:t>Orchestration</a:t>
          </a:r>
        </a:p>
        <a:p>
          <a:pPr algn="ctr"/>
          <a:r>
            <a:rPr lang="en-US" sz="2800">
              <a:latin typeface="Consolas" panose="020B0609020204030204" pitchFamily="49" charset="0"/>
            </a:rPr>
            <a:t>Zip</a:t>
          </a:r>
          <a:r>
            <a:rPr lang="el-GR" sz="2800">
              <a:latin typeface="Consolas" panose="020B0609020204030204" pitchFamily="49" charset="0"/>
            </a:rPr>
            <a:t>λ</a:t>
          </a:r>
          <a:endParaRPr lang="en-US" sz="2800">
            <a:latin typeface="Consolas" panose="020B0609020204030204" pitchFamily="49" charset="0"/>
          </a:endParaRPr>
        </a:p>
        <a:p>
          <a:pPr algn="ctr"/>
          <a:r>
            <a:rPr lang="en-US" sz="2800">
              <a:latin typeface="Consolas" panose="020B0609020204030204" pitchFamily="49" charset="0"/>
            </a:rPr>
            <a:t>Layer</a:t>
          </a:r>
          <a:r>
            <a:rPr lang="el-GR" sz="2800">
              <a:latin typeface="Consolas" panose="020B0609020204030204" pitchFamily="49" charset="0"/>
            </a:rPr>
            <a:t>λ</a:t>
          </a:r>
          <a:endParaRPr lang="en-US" sz="2800">
            <a:latin typeface="Consolas" panose="020B0609020204030204" pitchFamily="49" charset="0"/>
          </a:endParaRPr>
        </a:p>
        <a:p>
          <a:pPr algn="ctr"/>
          <a:r>
            <a:rPr lang="en-US" sz="2800">
              <a:latin typeface="Consolas" panose="020B0609020204030204" pitchFamily="49" charset="0"/>
            </a:rPr>
            <a:t>Pairwise</a:t>
          </a:r>
          <a:r>
            <a:rPr lang="el-GR" sz="2800">
              <a:latin typeface="Consolas" panose="020B0609020204030204" pitchFamily="49" charset="0"/>
            </a:rPr>
            <a:t>λ</a:t>
          </a:r>
          <a:endParaRPr lang="en-US" sz="2800">
            <a:latin typeface="Consolas" panose="020B0609020204030204" pitchFamily="49" charset="0"/>
          </a:endParaRPr>
        </a:p>
        <a:p>
          <a:pPr algn="ctr"/>
          <a:r>
            <a:rPr lang="en-US" sz="2800">
              <a:latin typeface="Consolas" panose="020B0609020204030204" pitchFamily="49" charset="0"/>
            </a:rPr>
            <a:t>GetRecords</a:t>
          </a:r>
          <a:r>
            <a:rPr lang="el-GR" sz="2800">
              <a:latin typeface="Consolas" panose="020B0609020204030204" pitchFamily="49" charset="0"/>
            </a:rPr>
            <a:t>λ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4F7274-776F-4F2C-B46C-221A895DD78C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25BEA500-AFE9-42F5-8A45-1A947AEF64EF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B0D4-1476-43DE-AADF-07A84B037125}">
  <sheetPr>
    <tabColor theme="0"/>
  </sheetPr>
  <dimension ref="A1:D49"/>
  <sheetViews>
    <sheetView showGridLines="0" showRowColHeaders="0" tabSelected="1" workbookViewId="0">
      <selection activeCell="C36" sqref="C36"/>
    </sheetView>
  </sheetViews>
  <sheetFormatPr defaultColWidth="0" defaultRowHeight="13.5" zeroHeight="1" x14ac:dyDescent="0.25"/>
  <cols>
    <col min="1" max="1" width="12.15234375" style="16" customWidth="1"/>
    <col min="2" max="2" width="11.3828125" style="16" bestFit="1" customWidth="1"/>
    <col min="3" max="3" width="74.53515625" style="37" customWidth="1"/>
    <col min="4" max="4" width="8.69140625" style="16" customWidth="1"/>
    <col min="5" max="16384" width="8.69140625" style="16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:3" x14ac:dyDescent="0.25"/>
    <row r="18" spans="2:3" x14ac:dyDescent="0.25"/>
    <row r="19" spans="2:3" x14ac:dyDescent="0.25"/>
    <row r="20" spans="2:3" x14ac:dyDescent="0.25"/>
    <row r="21" spans="2:3" x14ac:dyDescent="0.25">
      <c r="B21" s="42" t="s">
        <v>123</v>
      </c>
      <c r="C21" s="43" t="s">
        <v>124</v>
      </c>
    </row>
    <row r="22" spans="2:3" ht="27" x14ac:dyDescent="0.25">
      <c r="B22" s="40" t="s">
        <v>125</v>
      </c>
      <c r="C22" s="39" t="s">
        <v>129</v>
      </c>
    </row>
    <row r="23" spans="2:3" ht="27" x14ac:dyDescent="0.25">
      <c r="B23" s="40" t="s">
        <v>126</v>
      </c>
      <c r="C23" s="39" t="s">
        <v>130</v>
      </c>
    </row>
    <row r="24" spans="2:3" x14ac:dyDescent="0.25">
      <c r="B24" s="40" t="s">
        <v>127</v>
      </c>
      <c r="C24" s="39" t="s">
        <v>131</v>
      </c>
    </row>
    <row r="25" spans="2:3" ht="27" x14ac:dyDescent="0.25">
      <c r="B25" s="40" t="s">
        <v>128</v>
      </c>
      <c r="C25" s="39" t="s">
        <v>132</v>
      </c>
    </row>
    <row r="26" spans="2:3" x14ac:dyDescent="0.25"/>
    <row r="27" spans="2:3" x14ac:dyDescent="0.25"/>
    <row r="28" spans="2:3" ht="16" customHeight="1" x14ac:dyDescent="0.25">
      <c r="B28" s="44"/>
      <c r="C28" s="43" t="s">
        <v>133</v>
      </c>
    </row>
    <row r="29" spans="2:3" ht="16" customHeight="1" x14ac:dyDescent="0.25">
      <c r="B29" s="40" t="s">
        <v>134</v>
      </c>
      <c r="C29" s="38" t="s">
        <v>149</v>
      </c>
    </row>
    <row r="30" spans="2:3" ht="16" customHeight="1" x14ac:dyDescent="0.25">
      <c r="B30" s="40" t="s">
        <v>135</v>
      </c>
      <c r="C30" s="38" t="s">
        <v>149</v>
      </c>
    </row>
    <row r="31" spans="2:3" ht="16" customHeight="1" x14ac:dyDescent="0.25">
      <c r="B31" s="40" t="s">
        <v>138</v>
      </c>
      <c r="C31" s="38" t="s">
        <v>150</v>
      </c>
    </row>
    <row r="32" spans="2:3" ht="16" customHeight="1" x14ac:dyDescent="0.25">
      <c r="B32" s="40" t="s">
        <v>139</v>
      </c>
      <c r="C32" s="38" t="s">
        <v>150</v>
      </c>
    </row>
    <row r="33" spans="2:3" ht="16" customHeight="1" x14ac:dyDescent="0.25">
      <c r="B33" s="40" t="s">
        <v>136</v>
      </c>
      <c r="C33" s="38" t="s">
        <v>137</v>
      </c>
    </row>
    <row r="34" spans="2:3" ht="16" customHeight="1" x14ac:dyDescent="0.25">
      <c r="B34" s="45"/>
    </row>
    <row r="35" spans="2:3" ht="16" customHeight="1" x14ac:dyDescent="0.25">
      <c r="B35" s="46"/>
      <c r="C35" s="43" t="s">
        <v>140</v>
      </c>
    </row>
    <row r="36" spans="2:3" ht="16" customHeight="1" x14ac:dyDescent="0.25">
      <c r="B36" s="40" t="s">
        <v>141</v>
      </c>
      <c r="C36" s="38" t="s">
        <v>143</v>
      </c>
    </row>
    <row r="37" spans="2:3" ht="16" customHeight="1" x14ac:dyDescent="0.25">
      <c r="B37" s="40" t="s">
        <v>142</v>
      </c>
      <c r="C37" s="38" t="s">
        <v>143</v>
      </c>
    </row>
    <row r="38" spans="2:3" ht="16" customHeight="1" x14ac:dyDescent="0.25">
      <c r="B38" s="45"/>
    </row>
    <row r="39" spans="2:3" ht="16" customHeight="1" x14ac:dyDescent="0.25">
      <c r="B39" s="47"/>
      <c r="C39" s="43" t="s">
        <v>144</v>
      </c>
    </row>
    <row r="40" spans="2:3" ht="16" customHeight="1" x14ac:dyDescent="0.25">
      <c r="B40" s="40" t="s">
        <v>145</v>
      </c>
      <c r="C40" s="38" t="s">
        <v>148</v>
      </c>
    </row>
    <row r="41" spans="2:3" ht="16" customHeight="1" x14ac:dyDescent="0.25">
      <c r="B41" s="40" t="s">
        <v>146</v>
      </c>
      <c r="C41" s="38" t="s">
        <v>147</v>
      </c>
    </row>
    <row r="42" spans="2:3" x14ac:dyDescent="0.25"/>
    <row r="43" spans="2:3" x14ac:dyDescent="0.25"/>
    <row r="44" spans="2:3" x14ac:dyDescent="0.25"/>
    <row r="45" spans="2:3" x14ac:dyDescent="0.25"/>
    <row r="46" spans="2:3" x14ac:dyDescent="0.25"/>
    <row r="47" spans="2:3" x14ac:dyDescent="0.25"/>
    <row r="48" spans="2:3" x14ac:dyDescent="0.25"/>
    <row r="49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7249-C1A2-453C-8EA6-CA2116674006}">
  <sheetPr>
    <tabColor theme="9" tint="0.79998168889431442"/>
  </sheetPr>
  <dimension ref="B1:AD52"/>
  <sheetViews>
    <sheetView zoomScale="80" zoomScaleNormal="80" workbookViewId="0">
      <selection activeCell="L12" sqref="L12"/>
    </sheetView>
  </sheetViews>
  <sheetFormatPr defaultColWidth="9.23046875" defaultRowHeight="13.5" x14ac:dyDescent="0.25"/>
  <cols>
    <col min="1" max="1" width="5.07421875" style="2" customWidth="1"/>
    <col min="2" max="2" width="3.69140625" style="2" customWidth="1"/>
    <col min="3" max="3" width="2.69140625" style="1" customWidth="1"/>
    <col min="4" max="5" width="2.15234375" style="1" bestFit="1" customWidth="1"/>
    <col min="6" max="6" width="5.23046875" style="1" customWidth="1"/>
    <col min="7" max="7" width="9.53515625" style="1" bestFit="1" customWidth="1"/>
    <col min="8" max="8" width="8.84375" style="1" bestFit="1" customWidth="1"/>
    <col min="9" max="9" width="9.53515625" style="1" bestFit="1" customWidth="1"/>
    <col min="10" max="11" width="6.4609375" style="2" customWidth="1"/>
    <col min="12" max="12" width="8.3828125" style="2" customWidth="1"/>
    <col min="13" max="13" width="10.23046875" style="2" bestFit="1" customWidth="1"/>
    <col min="14" max="14" width="8.84375" style="2" bestFit="1" customWidth="1"/>
    <col min="15" max="16" width="9.53515625" style="2" bestFit="1" customWidth="1"/>
    <col min="17" max="17" width="8.84375" style="2" customWidth="1"/>
    <col min="18" max="18" width="6.4609375" style="2" bestFit="1" customWidth="1"/>
    <col min="19" max="19" width="8.3828125" style="2" customWidth="1"/>
    <col min="20" max="20" width="9.23046875" style="2" bestFit="1" customWidth="1"/>
    <col min="21" max="21" width="8.69140625" style="2" bestFit="1" customWidth="1"/>
    <col min="22" max="22" width="6.23046875" style="2" bestFit="1" customWidth="1"/>
    <col min="23" max="23" width="9" style="2" bestFit="1" customWidth="1"/>
    <col min="24" max="24" width="6.23046875" style="2" bestFit="1" customWidth="1"/>
    <col min="25" max="25" width="9.3046875" style="2" bestFit="1" customWidth="1"/>
    <col min="26" max="26" width="7.23046875" style="2" bestFit="1" customWidth="1"/>
    <col min="27" max="27" width="8.3046875" style="2" bestFit="1" customWidth="1"/>
    <col min="28" max="28" width="6.23046875" style="2" bestFit="1" customWidth="1"/>
    <col min="29" max="29" width="7.23046875" style="2" bestFit="1" customWidth="1"/>
    <col min="30" max="30" width="5.15234375" style="2" bestFit="1" customWidth="1"/>
    <col min="31" max="31" width="2.07421875" style="2" bestFit="1" customWidth="1"/>
    <col min="32" max="32" width="6.23046875" style="2" bestFit="1" customWidth="1"/>
    <col min="33" max="33" width="2.07421875" style="2" bestFit="1" customWidth="1"/>
    <col min="34" max="34" width="6.23046875" style="2" bestFit="1" customWidth="1"/>
    <col min="35" max="35" width="2.07421875" style="2" bestFit="1" customWidth="1"/>
    <col min="36" max="36" width="5.15234375" style="2" bestFit="1" customWidth="1"/>
    <col min="37" max="37" width="2.07421875" style="2" bestFit="1" customWidth="1"/>
    <col min="38" max="38" width="6.23046875" style="2" bestFit="1" customWidth="1"/>
    <col min="39" max="39" width="2.07421875" style="2" bestFit="1" customWidth="1"/>
    <col min="40" max="40" width="6.23046875" style="2" bestFit="1" customWidth="1"/>
    <col min="41" max="41" width="2.07421875" style="2" bestFit="1" customWidth="1"/>
    <col min="42" max="42" width="7.23046875" style="2" bestFit="1" customWidth="1"/>
    <col min="43" max="43" width="2.07421875" style="2" bestFit="1" customWidth="1"/>
    <col min="44" max="44" width="6.23046875" style="2" bestFit="1" customWidth="1"/>
    <col min="45" max="45" width="2.07421875" style="2" bestFit="1" customWidth="1"/>
    <col min="46" max="46" width="9.3046875" style="2" bestFit="1" customWidth="1"/>
    <col min="47" max="47" width="2.07421875" style="2" bestFit="1" customWidth="1"/>
    <col min="48" max="48" width="7.23046875" style="2" bestFit="1" customWidth="1"/>
    <col min="49" max="49" width="2.07421875" style="2" bestFit="1" customWidth="1"/>
    <col min="50" max="50" width="8.3046875" style="2" bestFit="1" customWidth="1"/>
    <col min="51" max="51" width="2.07421875" style="2" bestFit="1" customWidth="1"/>
    <col min="52" max="52" width="6.23046875" style="2" bestFit="1" customWidth="1"/>
    <col min="53" max="53" width="2.07421875" style="2" bestFit="1" customWidth="1"/>
    <col min="54" max="54" width="7.23046875" style="2" bestFit="1" customWidth="1"/>
    <col min="55" max="55" width="2.07421875" style="2" bestFit="1" customWidth="1"/>
    <col min="56" max="56" width="5.15234375" style="2" bestFit="1" customWidth="1"/>
    <col min="57" max="16384" width="9.23046875" style="2"/>
  </cols>
  <sheetData>
    <row r="1" spans="2:30" ht="14.75" customHeight="1" x14ac:dyDescent="0.25"/>
    <row r="2" spans="2:30" x14ac:dyDescent="0.25">
      <c r="B2" s="19"/>
      <c r="C2" s="20"/>
      <c r="D2" s="20"/>
      <c r="E2" s="55" t="s">
        <v>161</v>
      </c>
      <c r="F2" s="54"/>
      <c r="G2" s="20"/>
      <c r="H2" s="20"/>
      <c r="I2" s="20"/>
      <c r="J2" s="21"/>
    </row>
    <row r="3" spans="2:30" x14ac:dyDescent="0.25">
      <c r="B3" s="22"/>
      <c r="J3" s="12"/>
    </row>
    <row r="4" spans="2:30" x14ac:dyDescent="0.25">
      <c r="B4" s="22"/>
      <c r="C4" s="56" t="s">
        <v>11</v>
      </c>
      <c r="G4" s="56" t="s">
        <v>12</v>
      </c>
      <c r="J4" s="12"/>
    </row>
    <row r="5" spans="2:30" x14ac:dyDescent="0.25">
      <c r="B5" s="22"/>
      <c r="C5" s="7" cm="1">
        <f t="array" ref="C5:E7">_xlfn.SEQUENCE(3,3)</f>
        <v>1</v>
      </c>
      <c r="D5" s="7">
        <v>2</v>
      </c>
      <c r="E5" s="7">
        <v>3</v>
      </c>
      <c r="G5" s="8" t="s">
        <v>0</v>
      </c>
      <c r="H5" s="8" t="s">
        <v>1</v>
      </c>
      <c r="I5" s="8" t="s">
        <v>2</v>
      </c>
      <c r="J5" s="12"/>
      <c r="L5" s="11" t="s">
        <v>31</v>
      </c>
      <c r="M5" s="1"/>
      <c r="N5" s="1"/>
      <c r="S5" s="11" t="s">
        <v>37</v>
      </c>
    </row>
    <row r="6" spans="2:30" x14ac:dyDescent="0.25">
      <c r="B6" s="22"/>
      <c r="C6" s="7">
        <v>4</v>
      </c>
      <c r="D6" s="7">
        <v>5</v>
      </c>
      <c r="E6" s="7">
        <v>6</v>
      </c>
      <c r="G6" s="8" t="s">
        <v>3</v>
      </c>
      <c r="H6" s="8" t="s">
        <v>4</v>
      </c>
      <c r="I6" s="8" t="s">
        <v>5</v>
      </c>
      <c r="J6" s="13"/>
      <c r="K6" s="1"/>
      <c r="L6" s="3" cm="1">
        <f t="array" ref="L6:Q8">Zipλ(numbers,letters)</f>
        <v>1</v>
      </c>
      <c r="M6" s="4" t="str">
        <v>A</v>
      </c>
      <c r="N6" s="3">
        <v>2</v>
      </c>
      <c r="O6" s="4" t="str">
        <v>B</v>
      </c>
      <c r="P6" s="3">
        <v>3</v>
      </c>
      <c r="Q6" s="4" t="str">
        <v>C</v>
      </c>
      <c r="S6" s="3" cm="1">
        <f t="array" ref="S6:AA7">Zipλ(numbers,letters,,,1)</f>
        <v>1</v>
      </c>
      <c r="T6" s="3">
        <v>2</v>
      </c>
      <c r="U6" s="3">
        <v>3</v>
      </c>
      <c r="V6" s="3">
        <v>4</v>
      </c>
      <c r="W6" s="3">
        <v>5</v>
      </c>
      <c r="X6" s="3">
        <v>6</v>
      </c>
      <c r="Y6" s="3">
        <v>7</v>
      </c>
      <c r="Z6" s="3">
        <v>8</v>
      </c>
      <c r="AA6" s="3">
        <v>9</v>
      </c>
      <c r="AB6" s="1"/>
      <c r="AC6" s="1"/>
      <c r="AD6" s="1"/>
    </row>
    <row r="7" spans="2:30" x14ac:dyDescent="0.25">
      <c r="B7" s="22"/>
      <c r="C7" s="7">
        <v>7</v>
      </c>
      <c r="D7" s="7">
        <v>8</v>
      </c>
      <c r="E7" s="7">
        <v>9</v>
      </c>
      <c r="G7" s="8" t="s">
        <v>6</v>
      </c>
      <c r="H7" s="8" t="s">
        <v>7</v>
      </c>
      <c r="I7" s="8" t="s">
        <v>8</v>
      </c>
      <c r="J7" s="12"/>
      <c r="L7" s="3">
        <v>4</v>
      </c>
      <c r="M7" s="4" t="str">
        <v>D</v>
      </c>
      <c r="N7" s="3">
        <v>5</v>
      </c>
      <c r="O7" s="4" t="str">
        <v>E</v>
      </c>
      <c r="P7" s="3">
        <v>6</v>
      </c>
      <c r="Q7" s="4" t="str">
        <v>F</v>
      </c>
      <c r="S7" s="4" t="str">
        <v>A</v>
      </c>
      <c r="T7" s="4" t="str">
        <v>B</v>
      </c>
      <c r="U7" s="4" t="str">
        <v>C</v>
      </c>
      <c r="V7" s="4" t="str">
        <v>D</v>
      </c>
      <c r="W7" s="4" t="str">
        <v>E</v>
      </c>
      <c r="X7" s="4" t="str">
        <v>F</v>
      </c>
      <c r="Y7" s="4" t="str">
        <v>G</v>
      </c>
      <c r="Z7" s="4" t="str">
        <v>H</v>
      </c>
      <c r="AA7" s="4" t="str">
        <v>I</v>
      </c>
    </row>
    <row r="8" spans="2:30" x14ac:dyDescent="0.25">
      <c r="B8" s="22"/>
      <c r="J8" s="12"/>
      <c r="L8" s="3">
        <v>7</v>
      </c>
      <c r="M8" s="4" t="str">
        <v>G</v>
      </c>
      <c r="N8" s="3">
        <v>8</v>
      </c>
      <c r="O8" s="4" t="str">
        <v>H</v>
      </c>
      <c r="P8" s="3">
        <v>9</v>
      </c>
      <c r="Q8" s="4" t="str">
        <v>I</v>
      </c>
    </row>
    <row r="9" spans="2:30" x14ac:dyDescent="0.25">
      <c r="B9" s="22"/>
      <c r="J9" s="13"/>
      <c r="K9" s="1"/>
      <c r="L9" s="1"/>
      <c r="M9" s="1"/>
      <c r="N9" s="1"/>
      <c r="P9" s="1"/>
      <c r="Z9" s="1"/>
      <c r="AA9" s="1"/>
      <c r="AB9" s="1"/>
      <c r="AC9" s="1"/>
      <c r="AD9" s="1"/>
    </row>
    <row r="10" spans="2:30" x14ac:dyDescent="0.25">
      <c r="B10" s="22"/>
      <c r="G10" s="56" t="s">
        <v>17</v>
      </c>
      <c r="H10" s="2"/>
      <c r="I10" s="2"/>
      <c r="J10" s="12"/>
      <c r="L10" s="1"/>
      <c r="M10" s="1"/>
      <c r="N10" s="1"/>
    </row>
    <row r="11" spans="2:30" x14ac:dyDescent="0.25">
      <c r="B11" s="22"/>
      <c r="G11" s="9" t="s">
        <v>18</v>
      </c>
      <c r="H11" s="9" t="s">
        <v>13</v>
      </c>
      <c r="I11" s="9" t="s">
        <v>14</v>
      </c>
      <c r="J11" s="12"/>
      <c r="L11" s="11" t="s">
        <v>32</v>
      </c>
      <c r="M11" s="1"/>
      <c r="N11" s="1"/>
      <c r="P11" s="11" t="s">
        <v>38</v>
      </c>
    </row>
    <row r="12" spans="2:30" x14ac:dyDescent="0.25">
      <c r="B12" s="22"/>
      <c r="G12" s="9" t="s">
        <v>19</v>
      </c>
      <c r="H12" s="9" t="s">
        <v>15</v>
      </c>
      <c r="I12" s="9" t="s">
        <v>16</v>
      </c>
      <c r="J12" s="12"/>
      <c r="L12" s="3" cm="1">
        <f t="array" ref="L12:N17">Layerλ(numbers,letters)</f>
        <v>1</v>
      </c>
      <c r="M12" s="3">
        <v>2</v>
      </c>
      <c r="N12" s="3">
        <v>3</v>
      </c>
      <c r="P12" s="3" cm="1">
        <f t="array" ref="P12:Q20">Layerλ(numbers,letters,,,1)</f>
        <v>1</v>
      </c>
      <c r="Q12" s="4" t="str">
        <v>A</v>
      </c>
      <c r="R12" s="1"/>
      <c r="S12" s="1"/>
      <c r="T12" s="1"/>
      <c r="U12" s="1"/>
      <c r="V12" s="1"/>
      <c r="W12" s="1"/>
      <c r="X12" s="1"/>
    </row>
    <row r="13" spans="2:30" x14ac:dyDescent="0.25">
      <c r="B13" s="22"/>
      <c r="G13" s="9" t="s">
        <v>20</v>
      </c>
      <c r="H13" s="9" t="s">
        <v>27</v>
      </c>
      <c r="I13" s="9" t="s">
        <v>10</v>
      </c>
      <c r="J13" s="12"/>
      <c r="L13" s="4" t="str">
        <v>A</v>
      </c>
      <c r="M13" s="4" t="str">
        <v>B</v>
      </c>
      <c r="N13" s="4" t="str">
        <v>C</v>
      </c>
      <c r="P13" s="3">
        <v>4</v>
      </c>
      <c r="Q13" s="4" t="str">
        <v>D</v>
      </c>
      <c r="R13" s="1"/>
      <c r="S13" s="1"/>
      <c r="T13" s="1"/>
      <c r="U13" s="1"/>
      <c r="V13" s="1"/>
      <c r="W13" s="1"/>
      <c r="X13" s="1"/>
    </row>
    <row r="14" spans="2:30" x14ac:dyDescent="0.25">
      <c r="B14" s="22"/>
      <c r="J14" s="12"/>
      <c r="L14" s="3">
        <v>4</v>
      </c>
      <c r="M14" s="3">
        <v>5</v>
      </c>
      <c r="N14" s="3">
        <v>6</v>
      </c>
      <c r="P14" s="3">
        <v>7</v>
      </c>
      <c r="Q14" s="4" t="str">
        <v>G</v>
      </c>
      <c r="R14" s="1"/>
      <c r="S14" s="1"/>
      <c r="T14" s="1"/>
      <c r="U14" s="1"/>
      <c r="V14" s="1"/>
      <c r="W14" s="1"/>
      <c r="X14" s="1"/>
    </row>
    <row r="15" spans="2:30" x14ac:dyDescent="0.25">
      <c r="B15" s="22"/>
      <c r="G15" s="56" t="s">
        <v>21</v>
      </c>
      <c r="H15" s="2"/>
      <c r="I15" s="2"/>
      <c r="J15" s="12"/>
      <c r="L15" s="4" t="str">
        <v>D</v>
      </c>
      <c r="M15" s="4" t="str">
        <v>E</v>
      </c>
      <c r="N15" s="4" t="str">
        <v>F</v>
      </c>
      <c r="P15" s="3">
        <v>2</v>
      </c>
      <c r="Q15" s="4" t="str">
        <v>B</v>
      </c>
    </row>
    <row r="16" spans="2:30" x14ac:dyDescent="0.25">
      <c r="B16" s="22"/>
      <c r="G16" s="10" t="s">
        <v>22</v>
      </c>
      <c r="H16" s="10" t="s">
        <v>30</v>
      </c>
      <c r="I16" s="10" t="s">
        <v>24</v>
      </c>
      <c r="J16" s="12"/>
      <c r="L16" s="3">
        <v>7</v>
      </c>
      <c r="M16" s="3">
        <v>8</v>
      </c>
      <c r="N16" s="3">
        <v>9</v>
      </c>
      <c r="P16" s="3">
        <v>5</v>
      </c>
      <c r="Q16" s="4" t="str">
        <v>E</v>
      </c>
    </row>
    <row r="17" spans="2:25" x14ac:dyDescent="0.25">
      <c r="B17" s="22"/>
      <c r="G17" s="10" t="s">
        <v>25</v>
      </c>
      <c r="H17" s="10" t="s">
        <v>23</v>
      </c>
      <c r="I17" s="10" t="s">
        <v>28</v>
      </c>
      <c r="J17" s="12"/>
      <c r="L17" s="4" t="str">
        <v>G</v>
      </c>
      <c r="M17" s="4" t="str">
        <v>H</v>
      </c>
      <c r="N17" s="4" t="str">
        <v>I</v>
      </c>
      <c r="P17" s="3">
        <v>8</v>
      </c>
      <c r="Q17" s="4" t="str">
        <v>H</v>
      </c>
    </row>
    <row r="18" spans="2:25" x14ac:dyDescent="0.25">
      <c r="B18" s="22"/>
      <c r="G18" s="10" t="s">
        <v>26</v>
      </c>
      <c r="H18" s="10" t="s">
        <v>9</v>
      </c>
      <c r="I18" s="10" t="s">
        <v>29</v>
      </c>
      <c r="J18" s="12"/>
      <c r="L18" s="1"/>
      <c r="M18" s="1"/>
      <c r="N18" s="1"/>
      <c r="P18" s="3">
        <v>3</v>
      </c>
      <c r="Q18" s="4" t="str">
        <v>C</v>
      </c>
    </row>
    <row r="19" spans="2:25" x14ac:dyDescent="0.25">
      <c r="B19" s="23"/>
      <c r="C19" s="14"/>
      <c r="D19" s="14"/>
      <c r="E19" s="14"/>
      <c r="F19" s="14"/>
      <c r="G19" s="14"/>
      <c r="H19" s="14"/>
      <c r="I19" s="14"/>
      <c r="J19" s="15"/>
      <c r="L19" s="1"/>
      <c r="M19" s="1"/>
      <c r="N19" s="1"/>
      <c r="P19" s="3">
        <v>6</v>
      </c>
      <c r="Q19" s="4" t="str">
        <v>F</v>
      </c>
    </row>
    <row r="20" spans="2:25" x14ac:dyDescent="0.25">
      <c r="L20" s="1"/>
      <c r="M20" s="1"/>
      <c r="N20" s="1"/>
      <c r="P20" s="3">
        <v>9</v>
      </c>
      <c r="Q20" s="4" t="str">
        <v>I</v>
      </c>
    </row>
    <row r="21" spans="2:25" x14ac:dyDescent="0.25">
      <c r="L21" s="11" t="s">
        <v>33</v>
      </c>
      <c r="M21" s="1"/>
      <c r="N21" s="1"/>
      <c r="R21" s="1"/>
    </row>
    <row r="22" spans="2:25" x14ac:dyDescent="0.25">
      <c r="L22" s="3" cm="1">
        <f t="array" ref="L22:W24">Zipλ(numbers,letters,words,locations)</f>
        <v>1</v>
      </c>
      <c r="M22" s="4" t="str">
        <v>A</v>
      </c>
      <c r="N22" s="5" t="str">
        <v>Apple</v>
      </c>
      <c r="O22" s="6" t="str">
        <v>Orchard</v>
      </c>
      <c r="P22" s="3">
        <v>2</v>
      </c>
      <c r="Q22" s="4" t="str">
        <v>B</v>
      </c>
      <c r="R22" s="5" t="str">
        <v>Bear</v>
      </c>
      <c r="S22" s="6" t="str">
        <v>River</v>
      </c>
      <c r="T22" s="3">
        <v>3</v>
      </c>
      <c r="U22" s="4" t="str">
        <v>C</v>
      </c>
      <c r="V22" s="5" t="str">
        <v>Cat</v>
      </c>
      <c r="W22" s="6" t="str">
        <v>House</v>
      </c>
    </row>
    <row r="23" spans="2:25" x14ac:dyDescent="0.25">
      <c r="G23" s="11" t="s">
        <v>39</v>
      </c>
      <c r="L23" s="3">
        <v>4</v>
      </c>
      <c r="M23" s="4" t="str">
        <v>D</v>
      </c>
      <c r="N23" s="5" t="str">
        <v>Dog</v>
      </c>
      <c r="O23" s="6" t="str">
        <v>Back yard</v>
      </c>
      <c r="P23" s="3">
        <v>5</v>
      </c>
      <c r="Q23" s="4" t="str">
        <v>E</v>
      </c>
      <c r="R23" s="5" t="str">
        <v>Eagle</v>
      </c>
      <c r="S23" s="6" t="str">
        <v>Mountain</v>
      </c>
      <c r="T23" s="3">
        <v>6</v>
      </c>
      <c r="U23" s="4" t="str">
        <v>F</v>
      </c>
      <c r="V23" s="5" t="str">
        <v>Fox</v>
      </c>
      <c r="W23" s="6" t="str">
        <v>Grove</v>
      </c>
    </row>
    <row r="24" spans="2:25" x14ac:dyDescent="0.25">
      <c r="G24" s="4" t="str" cm="1">
        <f t="array" ref="G24:I32">Layerλ(letters,words,locations)</f>
        <v>A</v>
      </c>
      <c r="H24" s="4" t="str">
        <v>B</v>
      </c>
      <c r="I24" s="4" t="str">
        <v>C</v>
      </c>
      <c r="L24" s="3">
        <v>7</v>
      </c>
      <c r="M24" s="4" t="str">
        <v>G</v>
      </c>
      <c r="N24" s="5" t="str">
        <v>Ghost</v>
      </c>
      <c r="O24" s="6" t="str">
        <v>Cemetary</v>
      </c>
      <c r="P24" s="3">
        <v>8</v>
      </c>
      <c r="Q24" s="4" t="str">
        <v>H</v>
      </c>
      <c r="R24" s="5" t="str">
        <v>Harry</v>
      </c>
      <c r="S24" s="6" t="str">
        <v>Hotel</v>
      </c>
      <c r="T24" s="3">
        <v>9</v>
      </c>
      <c r="U24" s="4" t="str">
        <v>I</v>
      </c>
      <c r="V24" s="5" t="str">
        <v>Igloo</v>
      </c>
      <c r="W24" s="6" t="str">
        <v>Alaska</v>
      </c>
    </row>
    <row r="25" spans="2:25" x14ac:dyDescent="0.25">
      <c r="G25" s="5" t="str">
        <v>Apple</v>
      </c>
      <c r="H25" s="5" t="str">
        <v>Bear</v>
      </c>
      <c r="I25" s="5" t="str">
        <v>Cat</v>
      </c>
      <c r="L25" s="1"/>
      <c r="M25" s="1"/>
      <c r="N25" s="1"/>
    </row>
    <row r="26" spans="2:25" x14ac:dyDescent="0.25">
      <c r="G26" s="6" t="str">
        <v>Orchard</v>
      </c>
      <c r="H26" s="6" t="str">
        <v>River</v>
      </c>
      <c r="I26" s="6" t="str">
        <v>House</v>
      </c>
      <c r="L26" s="11" t="s">
        <v>34</v>
      </c>
      <c r="M26" s="1"/>
      <c r="N26" s="1"/>
      <c r="Q26" s="11" t="s">
        <v>35</v>
      </c>
      <c r="R26" s="1"/>
      <c r="S26" s="1"/>
      <c r="T26" s="1"/>
      <c r="U26" s="1"/>
      <c r="V26" s="1"/>
      <c r="W26" s="1"/>
      <c r="X26" s="1"/>
      <c r="Y26" s="1"/>
    </row>
    <row r="27" spans="2:25" x14ac:dyDescent="0.25">
      <c r="G27" s="4" t="str">
        <v>D</v>
      </c>
      <c r="H27" s="4" t="str">
        <v>E</v>
      </c>
      <c r="I27" s="4" t="str">
        <v>F</v>
      </c>
      <c r="L27" s="3" cm="1">
        <f t="array" ref="L27:O35">Layerλ(numbers,letters,words,locations,1)</f>
        <v>1</v>
      </c>
      <c r="M27" s="4" t="str">
        <v>A</v>
      </c>
      <c r="N27" s="5" t="str">
        <v>Apple</v>
      </c>
      <c r="O27" s="6" t="str">
        <v>Orchard</v>
      </c>
      <c r="Q27" s="3" cm="1">
        <f t="array" ref="Q27:Y30">Zipλ(numbers,letters,words,locations,1)</f>
        <v>1</v>
      </c>
      <c r="R27" s="3">
        <v>2</v>
      </c>
      <c r="S27" s="3">
        <v>3</v>
      </c>
      <c r="T27" s="3">
        <v>4</v>
      </c>
      <c r="U27" s="3">
        <v>5</v>
      </c>
      <c r="V27" s="3">
        <v>6</v>
      </c>
      <c r="W27" s="3">
        <v>7</v>
      </c>
      <c r="X27" s="3">
        <v>8</v>
      </c>
      <c r="Y27" s="3">
        <v>9</v>
      </c>
    </row>
    <row r="28" spans="2:25" x14ac:dyDescent="0.25">
      <c r="G28" s="5" t="str">
        <v>Dog</v>
      </c>
      <c r="H28" s="5" t="str">
        <v>Eagle</v>
      </c>
      <c r="I28" s="5" t="str">
        <v>Fox</v>
      </c>
      <c r="L28" s="3">
        <v>4</v>
      </c>
      <c r="M28" s="4" t="str">
        <v>D</v>
      </c>
      <c r="N28" s="5" t="str">
        <v>Dog</v>
      </c>
      <c r="O28" s="6" t="str">
        <v>Back yard</v>
      </c>
      <c r="Q28" s="4" t="str">
        <v>A</v>
      </c>
      <c r="R28" s="4" t="str">
        <v>B</v>
      </c>
      <c r="S28" s="4" t="str">
        <v>C</v>
      </c>
      <c r="T28" s="4" t="str">
        <v>D</v>
      </c>
      <c r="U28" s="4" t="str">
        <v>E</v>
      </c>
      <c r="V28" s="4" t="str">
        <v>F</v>
      </c>
      <c r="W28" s="4" t="str">
        <v>G</v>
      </c>
      <c r="X28" s="4" t="str">
        <v>H</v>
      </c>
      <c r="Y28" s="4" t="str">
        <v>I</v>
      </c>
    </row>
    <row r="29" spans="2:25" x14ac:dyDescent="0.25">
      <c r="G29" s="6" t="str">
        <v>Back yard</v>
      </c>
      <c r="H29" s="6" t="str">
        <v>Mountain</v>
      </c>
      <c r="I29" s="6" t="str">
        <v>Grove</v>
      </c>
      <c r="L29" s="3">
        <v>7</v>
      </c>
      <c r="M29" s="4" t="str">
        <v>G</v>
      </c>
      <c r="N29" s="5" t="str">
        <v>Ghost</v>
      </c>
      <c r="O29" s="6" t="str">
        <v>Cemetary</v>
      </c>
      <c r="Q29" s="5" t="str">
        <v>Apple</v>
      </c>
      <c r="R29" s="5" t="str">
        <v>Bear</v>
      </c>
      <c r="S29" s="5" t="str">
        <v>Cat</v>
      </c>
      <c r="T29" s="5" t="str">
        <v>Dog</v>
      </c>
      <c r="U29" s="5" t="str">
        <v>Eagle</v>
      </c>
      <c r="V29" s="5" t="str">
        <v>Fox</v>
      </c>
      <c r="W29" s="5" t="str">
        <v>Ghost</v>
      </c>
      <c r="X29" s="5" t="str">
        <v>Harry</v>
      </c>
      <c r="Y29" s="5" t="str">
        <v>Igloo</v>
      </c>
    </row>
    <row r="30" spans="2:25" x14ac:dyDescent="0.25">
      <c r="G30" s="4" t="str">
        <v>G</v>
      </c>
      <c r="H30" s="4" t="str">
        <v>H</v>
      </c>
      <c r="I30" s="4" t="str">
        <v>I</v>
      </c>
      <c r="L30" s="3">
        <v>2</v>
      </c>
      <c r="M30" s="4" t="str">
        <v>B</v>
      </c>
      <c r="N30" s="5" t="str">
        <v>Bear</v>
      </c>
      <c r="O30" s="6" t="str">
        <v>River</v>
      </c>
      <c r="Q30" s="6" t="str">
        <v>Orchard</v>
      </c>
      <c r="R30" s="6" t="str">
        <v>River</v>
      </c>
      <c r="S30" s="6" t="str">
        <v>House</v>
      </c>
      <c r="T30" s="6" t="str">
        <v>Back yard</v>
      </c>
      <c r="U30" s="6" t="str">
        <v>Mountain</v>
      </c>
      <c r="V30" s="6" t="str">
        <v>Grove</v>
      </c>
      <c r="W30" s="6" t="str">
        <v>Cemetary</v>
      </c>
      <c r="X30" s="6" t="str">
        <v>Hotel</v>
      </c>
      <c r="Y30" s="6" t="str">
        <v>Alaska</v>
      </c>
    </row>
    <row r="31" spans="2:25" x14ac:dyDescent="0.25">
      <c r="G31" s="5" t="str">
        <v>Ghost</v>
      </c>
      <c r="H31" s="5" t="str">
        <v>Harry</v>
      </c>
      <c r="I31" s="5" t="str">
        <v>Igloo</v>
      </c>
      <c r="L31" s="3">
        <v>5</v>
      </c>
      <c r="M31" s="4" t="str">
        <v>E</v>
      </c>
      <c r="N31" s="5" t="str">
        <v>Eagle</v>
      </c>
      <c r="O31" s="6" t="str">
        <v>Mountain</v>
      </c>
    </row>
    <row r="32" spans="2:25" x14ac:dyDescent="0.25">
      <c r="G32" s="6" t="str">
        <v>Cemetary</v>
      </c>
      <c r="H32" s="6" t="str">
        <v>Hotel</v>
      </c>
      <c r="I32" s="6" t="str">
        <v>Alaska</v>
      </c>
      <c r="L32" s="3">
        <v>8</v>
      </c>
      <c r="M32" s="4" t="str">
        <v>H</v>
      </c>
      <c r="N32" s="5" t="str">
        <v>Harry</v>
      </c>
      <c r="O32" s="6" t="str">
        <v>Hotel</v>
      </c>
    </row>
    <row r="33" spans="7:19" x14ac:dyDescent="0.25">
      <c r="L33" s="3">
        <v>3</v>
      </c>
      <c r="M33" s="4" t="str">
        <v>C</v>
      </c>
      <c r="N33" s="5" t="str">
        <v>Cat</v>
      </c>
      <c r="O33" s="6" t="str">
        <v>House</v>
      </c>
    </row>
    <row r="34" spans="7:19" x14ac:dyDescent="0.25">
      <c r="L34" s="3">
        <v>6</v>
      </c>
      <c r="M34" s="4" t="str">
        <v>F</v>
      </c>
      <c r="N34" s="5" t="str">
        <v>Fox</v>
      </c>
      <c r="O34" s="6" t="str">
        <v>Grove</v>
      </c>
      <c r="Q34" s="11" t="s">
        <v>36</v>
      </c>
    </row>
    <row r="35" spans="7:19" x14ac:dyDescent="0.25">
      <c r="G35" s="11" t="s">
        <v>40</v>
      </c>
      <c r="L35" s="3">
        <v>9</v>
      </c>
      <c r="M35" s="4" t="str">
        <v>I</v>
      </c>
      <c r="N35" s="5" t="str">
        <v>Igloo</v>
      </c>
      <c r="O35" s="6" t="str">
        <v>Alaska</v>
      </c>
      <c r="Q35" s="3" cm="1">
        <f t="array" ref="Q35:S46">Layerλ(numbers,letters,words,locations)</f>
        <v>1</v>
      </c>
      <c r="R35" s="3">
        <v>2</v>
      </c>
      <c r="S35" s="3">
        <v>3</v>
      </c>
    </row>
    <row r="36" spans="7:19" x14ac:dyDescent="0.25">
      <c r="G36" s="5" t="str" cm="1">
        <f t="array" ref="G36:I44">Layerλ(words,letters,locations,,1)</f>
        <v>Apple</v>
      </c>
      <c r="H36" s="4" t="str">
        <v>A</v>
      </c>
      <c r="I36" s="6" t="str">
        <v>Orchard</v>
      </c>
      <c r="Q36" s="4" t="str">
        <v>A</v>
      </c>
      <c r="R36" s="4" t="str">
        <v>B</v>
      </c>
      <c r="S36" s="4" t="str">
        <v>C</v>
      </c>
    </row>
    <row r="37" spans="7:19" x14ac:dyDescent="0.25">
      <c r="G37" s="5" t="str">
        <v>Dog</v>
      </c>
      <c r="H37" s="4" t="str">
        <v>D</v>
      </c>
      <c r="I37" s="6" t="str">
        <v>Back yard</v>
      </c>
      <c r="Q37" s="5" t="str">
        <v>Apple</v>
      </c>
      <c r="R37" s="5" t="str">
        <v>Bear</v>
      </c>
      <c r="S37" s="5" t="str">
        <v>Cat</v>
      </c>
    </row>
    <row r="38" spans="7:19" x14ac:dyDescent="0.25">
      <c r="G38" s="5" t="str">
        <v>Ghost</v>
      </c>
      <c r="H38" s="4" t="str">
        <v>G</v>
      </c>
      <c r="I38" s="6" t="str">
        <v>Cemetary</v>
      </c>
      <c r="Q38" s="6" t="str">
        <v>Orchard</v>
      </c>
      <c r="R38" s="6" t="str">
        <v>River</v>
      </c>
      <c r="S38" s="6" t="str">
        <v>House</v>
      </c>
    </row>
    <row r="39" spans="7:19" x14ac:dyDescent="0.25">
      <c r="G39" s="5" t="str">
        <v>Bear</v>
      </c>
      <c r="H39" s="4" t="str">
        <v>B</v>
      </c>
      <c r="I39" s="6" t="str">
        <v>River</v>
      </c>
      <c r="Q39" s="3">
        <v>4</v>
      </c>
      <c r="R39" s="3">
        <v>5</v>
      </c>
      <c r="S39" s="3">
        <v>6</v>
      </c>
    </row>
    <row r="40" spans="7:19" x14ac:dyDescent="0.25">
      <c r="G40" s="5" t="str">
        <v>Eagle</v>
      </c>
      <c r="H40" s="4" t="str">
        <v>E</v>
      </c>
      <c r="I40" s="6" t="str">
        <v>Mountain</v>
      </c>
      <c r="Q40" s="4" t="str">
        <v>D</v>
      </c>
      <c r="R40" s="4" t="str">
        <v>E</v>
      </c>
      <c r="S40" s="4" t="str">
        <v>F</v>
      </c>
    </row>
    <row r="41" spans="7:19" x14ac:dyDescent="0.25">
      <c r="G41" s="5" t="str">
        <v>Harry</v>
      </c>
      <c r="H41" s="4" t="str">
        <v>H</v>
      </c>
      <c r="I41" s="6" t="str">
        <v>Hotel</v>
      </c>
      <c r="Q41" s="5" t="str">
        <v>Dog</v>
      </c>
      <c r="R41" s="5" t="str">
        <v>Eagle</v>
      </c>
      <c r="S41" s="5" t="str">
        <v>Fox</v>
      </c>
    </row>
    <row r="42" spans="7:19" x14ac:dyDescent="0.25">
      <c r="G42" s="5" t="str">
        <v>Cat</v>
      </c>
      <c r="H42" s="4" t="str">
        <v>C</v>
      </c>
      <c r="I42" s="6" t="str">
        <v>House</v>
      </c>
      <c r="Q42" s="6" t="str">
        <v>Back yard</v>
      </c>
      <c r="R42" s="6" t="str">
        <v>Mountain</v>
      </c>
      <c r="S42" s="6" t="str">
        <v>Grove</v>
      </c>
    </row>
    <row r="43" spans="7:19" x14ac:dyDescent="0.25">
      <c r="G43" s="5" t="str">
        <v>Fox</v>
      </c>
      <c r="H43" s="4" t="str">
        <v>F</v>
      </c>
      <c r="I43" s="6" t="str">
        <v>Grove</v>
      </c>
      <c r="Q43" s="3">
        <v>7</v>
      </c>
      <c r="R43" s="3">
        <v>8</v>
      </c>
      <c r="S43" s="3">
        <v>9</v>
      </c>
    </row>
    <row r="44" spans="7:19" x14ac:dyDescent="0.25">
      <c r="G44" s="5" t="str">
        <v>Igloo</v>
      </c>
      <c r="H44" s="4" t="str">
        <v>I</v>
      </c>
      <c r="I44" s="6" t="str">
        <v>Alaska</v>
      </c>
      <c r="Q44" s="4" t="str">
        <v>G</v>
      </c>
      <c r="R44" s="4" t="str">
        <v>H</v>
      </c>
      <c r="S44" s="4" t="str">
        <v>I</v>
      </c>
    </row>
    <row r="45" spans="7:19" x14ac:dyDescent="0.25">
      <c r="Q45" s="5" t="str">
        <v>Ghost</v>
      </c>
      <c r="R45" s="5" t="str">
        <v>Harry</v>
      </c>
      <c r="S45" s="5" t="str">
        <v>Igloo</v>
      </c>
    </row>
    <row r="46" spans="7:19" x14ac:dyDescent="0.25">
      <c r="Q46" s="6" t="str">
        <v>Cemetary</v>
      </c>
      <c r="R46" s="6" t="str">
        <v>Hotel</v>
      </c>
      <c r="S46" s="6" t="str">
        <v>Alaska</v>
      </c>
    </row>
    <row r="49" spans="10:18" x14ac:dyDescent="0.25">
      <c r="J49" s="1"/>
      <c r="K49" s="1"/>
      <c r="O49" s="1"/>
      <c r="P49" s="1"/>
      <c r="Q49" s="1"/>
      <c r="R49" s="1"/>
    </row>
    <row r="50" spans="10:18" x14ac:dyDescent="0.25">
      <c r="J50" s="1"/>
      <c r="K50" s="1"/>
      <c r="O50" s="1"/>
      <c r="P50" s="1"/>
      <c r="Q50" s="1"/>
      <c r="R50" s="1"/>
    </row>
    <row r="51" spans="10:18" x14ac:dyDescent="0.25">
      <c r="J51" s="1"/>
      <c r="K51" s="1"/>
      <c r="L51" s="1"/>
      <c r="M51" s="1"/>
      <c r="N51" s="1"/>
      <c r="O51" s="1"/>
      <c r="P51" s="1"/>
      <c r="Q51" s="1"/>
      <c r="R51" s="1"/>
    </row>
    <row r="52" spans="10:18" x14ac:dyDescent="0.25">
      <c r="J52" s="1"/>
      <c r="K52" s="1"/>
      <c r="L52" s="1"/>
      <c r="M52" s="1"/>
      <c r="N52" s="1"/>
      <c r="O52" s="1"/>
      <c r="P52" s="1"/>
      <c r="Q52" s="1"/>
      <c r="R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ACC1-4472-43E1-B920-6E44D8D0CB39}">
  <sheetPr>
    <tabColor theme="5" tint="0.79998168889431442"/>
  </sheetPr>
  <dimension ref="B2:S30"/>
  <sheetViews>
    <sheetView workbookViewId="0">
      <selection activeCell="J23" sqref="J23"/>
    </sheetView>
  </sheetViews>
  <sheetFormatPr defaultColWidth="9.23046875" defaultRowHeight="13.5" x14ac:dyDescent="0.25"/>
  <cols>
    <col min="1" max="1" width="2.84375" style="16" customWidth="1"/>
    <col min="2" max="6" width="3.3046875" style="16" bestFit="1" customWidth="1"/>
    <col min="7" max="7" width="3.3828125" style="16" customWidth="1"/>
    <col min="8" max="8" width="13.921875" style="16" customWidth="1"/>
    <col min="9" max="9" width="12.23046875" style="16" bestFit="1" customWidth="1"/>
    <col min="10" max="10" width="9.53515625" style="16" bestFit="1" customWidth="1"/>
    <col min="11" max="11" width="12.23046875" style="16" bestFit="1" customWidth="1"/>
    <col min="12" max="12" width="12.921875" style="16" bestFit="1" customWidth="1"/>
    <col min="13" max="13" width="11.3828125" style="16" customWidth="1"/>
    <col min="14" max="14" width="6.3046875" style="16" customWidth="1"/>
    <col min="15" max="15" width="12.4609375" style="16" bestFit="1" customWidth="1"/>
    <col min="16" max="17" width="9.4609375" style="16" bestFit="1" customWidth="1"/>
    <col min="18" max="18" width="7.921875" style="16" bestFit="1" customWidth="1"/>
    <col min="19" max="19" width="9.07421875" style="16" bestFit="1" customWidth="1"/>
    <col min="20" max="16384" width="9.23046875" style="16"/>
  </cols>
  <sheetData>
    <row r="2" spans="2:19" x14ac:dyDescent="0.25">
      <c r="B2" s="17" t="s">
        <v>41</v>
      </c>
      <c r="I2" s="17" t="s">
        <v>42</v>
      </c>
      <c r="O2" s="17" t="s">
        <v>68</v>
      </c>
    </row>
    <row r="3" spans="2:19" x14ac:dyDescent="0.25">
      <c r="B3" s="41" cm="1">
        <f t="array" ref="B3:F7">_xlfn.SEQUENCE(5,5)</f>
        <v>1</v>
      </c>
      <c r="C3" s="41">
        <v>2</v>
      </c>
      <c r="D3" s="41">
        <v>3</v>
      </c>
      <c r="E3" s="41">
        <v>4</v>
      </c>
      <c r="F3" s="41">
        <v>5</v>
      </c>
      <c r="I3" s="41" t="s">
        <v>43</v>
      </c>
      <c r="J3" s="41" t="s">
        <v>44</v>
      </c>
      <c r="K3" s="41" t="s">
        <v>45</v>
      </c>
      <c r="L3" s="41" t="s">
        <v>46</v>
      </c>
      <c r="M3" s="41" t="s">
        <v>47</v>
      </c>
      <c r="O3" s="41" t="s">
        <v>69</v>
      </c>
      <c r="P3" s="41" t="s">
        <v>72</v>
      </c>
      <c r="Q3" s="41" t="s">
        <v>73</v>
      </c>
      <c r="R3" s="41" t="s">
        <v>74</v>
      </c>
      <c r="S3" s="41" t="s">
        <v>69</v>
      </c>
    </row>
    <row r="4" spans="2:19" x14ac:dyDescent="0.25">
      <c r="B4" s="41">
        <v>6</v>
      </c>
      <c r="C4" s="41">
        <v>7</v>
      </c>
      <c r="D4" s="41">
        <v>8</v>
      </c>
      <c r="E4" s="41">
        <v>9</v>
      </c>
      <c r="F4" s="41">
        <v>10</v>
      </c>
      <c r="I4" s="41" t="s">
        <v>48</v>
      </c>
      <c r="J4" s="41" t="s">
        <v>49</v>
      </c>
      <c r="K4" s="41" t="s">
        <v>50</v>
      </c>
      <c r="L4" s="41" t="s">
        <v>51</v>
      </c>
      <c r="M4" s="41" t="s">
        <v>52</v>
      </c>
      <c r="O4" s="41" t="s">
        <v>70</v>
      </c>
      <c r="P4" s="41" t="s">
        <v>71</v>
      </c>
      <c r="Q4" s="41" t="s">
        <v>71</v>
      </c>
      <c r="R4" s="41" t="s">
        <v>73</v>
      </c>
      <c r="S4" s="41" t="s">
        <v>74</v>
      </c>
    </row>
    <row r="5" spans="2:19" x14ac:dyDescent="0.25">
      <c r="B5" s="41">
        <v>11</v>
      </c>
      <c r="C5" s="41">
        <v>12</v>
      </c>
      <c r="D5" s="41">
        <v>13</v>
      </c>
      <c r="E5" s="41">
        <v>14</v>
      </c>
      <c r="F5" s="41">
        <v>15</v>
      </c>
      <c r="I5" s="41" t="s">
        <v>53</v>
      </c>
      <c r="J5" s="41" t="s">
        <v>54</v>
      </c>
      <c r="K5" s="41" t="s">
        <v>55</v>
      </c>
      <c r="L5" s="41" t="s">
        <v>56</v>
      </c>
      <c r="M5" s="41" t="s">
        <v>57</v>
      </c>
      <c r="O5" s="41" t="s">
        <v>69</v>
      </c>
      <c r="P5" s="41" t="s">
        <v>70</v>
      </c>
      <c r="Q5" s="41" t="s">
        <v>70</v>
      </c>
      <c r="R5" s="41" t="s">
        <v>69</v>
      </c>
      <c r="S5" s="41" t="s">
        <v>72</v>
      </c>
    </row>
    <row r="6" spans="2:19" x14ac:dyDescent="0.25">
      <c r="B6" s="41">
        <v>16</v>
      </c>
      <c r="C6" s="41">
        <v>17</v>
      </c>
      <c r="D6" s="41">
        <v>18</v>
      </c>
      <c r="E6" s="41">
        <v>19</v>
      </c>
      <c r="F6" s="41">
        <v>20</v>
      </c>
      <c r="I6" s="41" t="s">
        <v>58</v>
      </c>
      <c r="J6" s="41" t="s">
        <v>59</v>
      </c>
      <c r="K6" s="41" t="s">
        <v>60</v>
      </c>
      <c r="L6" s="41" t="s">
        <v>61</v>
      </c>
      <c r="M6" s="41" t="s">
        <v>62</v>
      </c>
      <c r="O6" s="41" t="s">
        <v>70</v>
      </c>
      <c r="P6" s="41" t="s">
        <v>69</v>
      </c>
      <c r="Q6" s="41" t="s">
        <v>70</v>
      </c>
      <c r="R6" s="41" t="s">
        <v>71</v>
      </c>
      <c r="S6" s="41" t="s">
        <v>73</v>
      </c>
    </row>
    <row r="7" spans="2:19" x14ac:dyDescent="0.25">
      <c r="B7" s="41">
        <v>21</v>
      </c>
      <c r="C7" s="41">
        <v>22</v>
      </c>
      <c r="D7" s="41">
        <v>23</v>
      </c>
      <c r="E7" s="41">
        <v>24</v>
      </c>
      <c r="F7" s="41">
        <v>25</v>
      </c>
      <c r="I7" s="41" t="s">
        <v>63</v>
      </c>
      <c r="J7" s="41" t="s">
        <v>64</v>
      </c>
      <c r="K7" s="41" t="s">
        <v>65</v>
      </c>
      <c r="L7" s="41" t="s">
        <v>66</v>
      </c>
      <c r="M7" s="41" t="s">
        <v>67</v>
      </c>
      <c r="O7" s="41" t="s">
        <v>71</v>
      </c>
      <c r="P7" s="41" t="s">
        <v>71</v>
      </c>
      <c r="Q7" s="41" t="s">
        <v>73</v>
      </c>
      <c r="R7" s="41" t="s">
        <v>74</v>
      </c>
      <c r="S7" s="41" t="s">
        <v>75</v>
      </c>
    </row>
    <row r="10" spans="2:19" x14ac:dyDescent="0.25">
      <c r="I10" s="17" t="s">
        <v>85</v>
      </c>
    </row>
    <row r="11" spans="2:19" x14ac:dyDescent="0.25">
      <c r="I11" s="41" t="s">
        <v>76</v>
      </c>
      <c r="J11" s="41" t="s">
        <v>82</v>
      </c>
      <c r="K11" s="41" t="s">
        <v>82</v>
      </c>
      <c r="L11" s="41" t="s">
        <v>80</v>
      </c>
    </row>
    <row r="12" spans="2:19" x14ac:dyDescent="0.25">
      <c r="I12" s="41" t="s">
        <v>77</v>
      </c>
      <c r="J12" s="41" t="s">
        <v>76</v>
      </c>
      <c r="K12" s="41" t="s">
        <v>78</v>
      </c>
      <c r="L12" s="41" t="s">
        <v>80</v>
      </c>
    </row>
    <row r="13" spans="2:19" x14ac:dyDescent="0.25">
      <c r="I13" s="41" t="s">
        <v>78</v>
      </c>
      <c r="J13" s="41" t="s">
        <v>79</v>
      </c>
      <c r="K13" s="41" t="s">
        <v>77</v>
      </c>
      <c r="L13" s="41" t="s">
        <v>81</v>
      </c>
    </row>
    <row r="14" spans="2:19" x14ac:dyDescent="0.25">
      <c r="I14" s="41" t="s">
        <v>79</v>
      </c>
      <c r="J14" s="41" t="s">
        <v>76</v>
      </c>
      <c r="K14" s="41" t="s">
        <v>83</v>
      </c>
      <c r="L14" s="41" t="s">
        <v>83</v>
      </c>
    </row>
    <row r="15" spans="2:19" x14ac:dyDescent="0.25">
      <c r="I15" s="41" t="s">
        <v>80</v>
      </c>
      <c r="J15" s="41" t="s">
        <v>84</v>
      </c>
      <c r="K15" s="41" t="s">
        <v>84</v>
      </c>
      <c r="L15" s="41" t="s">
        <v>84</v>
      </c>
    </row>
    <row r="19" spans="8:13" x14ac:dyDescent="0.25">
      <c r="H19" s="18" t="s">
        <v>87</v>
      </c>
    </row>
    <row r="20" spans="8:13" x14ac:dyDescent="0.25">
      <c r="H20" s="16" t="s">
        <v>79</v>
      </c>
    </row>
    <row r="21" spans="8:13" x14ac:dyDescent="0.25">
      <c r="H21" s="16" t="s">
        <v>76</v>
      </c>
      <c r="J21" s="18" t="s">
        <v>86</v>
      </c>
    </row>
    <row r="22" spans="8:13" x14ac:dyDescent="0.25">
      <c r="H22" s="16" t="s">
        <v>84</v>
      </c>
    </row>
    <row r="23" spans="8:13" x14ac:dyDescent="0.25">
      <c r="J23" s="16" cm="1">
        <f t="array" ref="J23:M30">GetRecordsλ(Directory,SearchTerms)</f>
        <v>1</v>
      </c>
      <c r="K23" s="16" t="str">
        <v>Lee</v>
      </c>
      <c r="L23" s="16" t="str">
        <v>Sales</v>
      </c>
      <c r="M23" s="16" t="str">
        <v>Plano</v>
      </c>
    </row>
    <row r="24" spans="8:13" x14ac:dyDescent="0.25">
      <c r="J24" s="16">
        <v>16</v>
      </c>
      <c r="K24" s="16" t="str">
        <v>Reed</v>
      </c>
      <c r="L24" s="16" t="str">
        <v>Marketing</v>
      </c>
      <c r="M24" s="16" t="str">
        <v>Podunk</v>
      </c>
    </row>
    <row r="25" spans="8:13" x14ac:dyDescent="0.25">
      <c r="J25" s="16">
        <v>7</v>
      </c>
      <c r="K25" s="16" t="str">
        <v>Bailey</v>
      </c>
      <c r="L25" s="16" t="str">
        <v>HR</v>
      </c>
      <c r="M25" s="16" t="str">
        <v>Plano</v>
      </c>
    </row>
    <row r="26" spans="8:13" x14ac:dyDescent="0.25">
      <c r="J26" s="16">
        <v>12</v>
      </c>
      <c r="K26" s="16" t="str">
        <v>Meyer</v>
      </c>
      <c r="L26" s="16" t="str">
        <v>Marketing</v>
      </c>
      <c r="M26" s="16" t="str">
        <v>Podunk</v>
      </c>
    </row>
    <row r="27" spans="8:13" x14ac:dyDescent="0.25">
      <c r="J27" s="16">
        <v>17</v>
      </c>
      <c r="K27" s="16" t="str">
        <v>Michaels</v>
      </c>
      <c r="L27" s="16" t="str">
        <v>Sales</v>
      </c>
      <c r="M27" s="16" t="str">
        <v>Plano</v>
      </c>
    </row>
    <row r="28" spans="8:13" x14ac:dyDescent="0.25">
      <c r="J28" s="16">
        <v>22</v>
      </c>
      <c r="K28" s="16" t="str">
        <v>Jaeger</v>
      </c>
      <c r="L28" s="16" t="str">
        <v>HR</v>
      </c>
      <c r="M28" s="16" t="str">
        <v>Reno</v>
      </c>
    </row>
    <row r="29" spans="8:13" x14ac:dyDescent="0.25">
      <c r="J29" s="16">
        <v>23</v>
      </c>
      <c r="K29" s="16" t="str">
        <v>Paul</v>
      </c>
      <c r="L29" s="16" t="str">
        <v>Security</v>
      </c>
      <c r="M29" s="16" t="str">
        <v>Reno</v>
      </c>
    </row>
    <row r="30" spans="8:13" x14ac:dyDescent="0.25">
      <c r="J30" s="16">
        <v>24</v>
      </c>
      <c r="K30" s="16" t="str">
        <v>Zelkov</v>
      </c>
      <c r="L30" s="16" t="str">
        <v>Finance</v>
      </c>
      <c r="M30" s="16" t="str">
        <v>Reno</v>
      </c>
    </row>
  </sheetData>
  <conditionalFormatting sqref="H20:H50">
    <cfRule type="expression" dxfId="0" priority="1">
      <formula>LEN($H20)&lt;&gt;0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02E8-9F4D-4EB5-85F7-36FE45A702F6}">
  <sheetPr>
    <tabColor theme="3" tint="0.89999084444715716"/>
  </sheetPr>
  <dimension ref="B2:T73"/>
  <sheetViews>
    <sheetView zoomScale="70" zoomScaleNormal="70" workbookViewId="0">
      <selection activeCell="F13" sqref="F13"/>
    </sheetView>
  </sheetViews>
  <sheetFormatPr defaultColWidth="9.23046875" defaultRowHeight="13.5" x14ac:dyDescent="0.25"/>
  <cols>
    <col min="1" max="1" width="4.61328125" style="16" customWidth="1"/>
    <col min="2" max="2" width="8.84375" style="16" bestFit="1" customWidth="1"/>
    <col min="3" max="3" width="3.3046875" style="16" customWidth="1"/>
    <col min="4" max="4" width="7.4609375" style="16" bestFit="1" customWidth="1"/>
    <col min="5" max="5" width="3.765625" style="16" customWidth="1"/>
    <col min="6" max="6" width="18.3828125" style="16" bestFit="1" customWidth="1"/>
    <col min="7" max="7" width="15.3046875" style="16" customWidth="1"/>
    <col min="8" max="8" width="15.07421875" style="16" customWidth="1"/>
    <col min="9" max="9" width="18.3828125" style="16" bestFit="1" customWidth="1"/>
    <col min="10" max="10" width="14.15234375" style="16" customWidth="1"/>
    <col min="11" max="11" width="24.07421875" style="16" customWidth="1"/>
    <col min="12" max="12" width="12.69140625" style="16" customWidth="1"/>
    <col min="13" max="13" width="18.07421875" style="16" bestFit="1" customWidth="1"/>
    <col min="14" max="14" width="9.23046875" style="16"/>
    <col min="15" max="15" width="13.921875" style="16" customWidth="1"/>
    <col min="16" max="16384" width="9.23046875" style="16"/>
  </cols>
  <sheetData>
    <row r="2" spans="2:17" x14ac:dyDescent="0.25">
      <c r="F2" s="18" t="s">
        <v>106</v>
      </c>
      <c r="G2" s="24" t="s">
        <v>107</v>
      </c>
      <c r="H2" s="25" t="s">
        <v>108</v>
      </c>
      <c r="I2" s="25" t="s">
        <v>109</v>
      </c>
      <c r="J2" s="25" t="s">
        <v>110</v>
      </c>
      <c r="K2" s="25" t="s">
        <v>111</v>
      </c>
      <c r="L2" s="26" t="s">
        <v>112</v>
      </c>
    </row>
    <row r="4" spans="2:17" x14ac:dyDescent="0.25">
      <c r="F4" s="18" t="s">
        <v>93</v>
      </c>
      <c r="G4" s="27" t="s">
        <v>94</v>
      </c>
      <c r="H4" s="28" t="s">
        <v>95</v>
      </c>
      <c r="I4" s="28" t="s">
        <v>96</v>
      </c>
      <c r="J4" s="28" t="s">
        <v>97</v>
      </c>
      <c r="K4" s="28" t="s">
        <v>98</v>
      </c>
      <c r="L4" s="29" t="s">
        <v>99</v>
      </c>
    </row>
    <row r="6" spans="2:17" x14ac:dyDescent="0.25">
      <c r="B6" s="18" t="s">
        <v>92</v>
      </c>
      <c r="D6" s="18" t="s">
        <v>113</v>
      </c>
    </row>
    <row r="7" spans="2:17" x14ac:dyDescent="0.25">
      <c r="B7" s="30" t="s">
        <v>88</v>
      </c>
      <c r="D7" s="31" t="s">
        <v>114</v>
      </c>
    </row>
    <row r="8" spans="2:17" x14ac:dyDescent="0.25">
      <c r="B8" s="32" t="s">
        <v>89</v>
      </c>
      <c r="D8" s="33" t="s">
        <v>115</v>
      </c>
    </row>
    <row r="9" spans="2:17" x14ac:dyDescent="0.25">
      <c r="B9" s="32" t="s">
        <v>90</v>
      </c>
      <c r="D9" s="33" t="s">
        <v>116</v>
      </c>
    </row>
    <row r="10" spans="2:17" x14ac:dyDescent="0.25">
      <c r="B10" s="32" t="s">
        <v>91</v>
      </c>
      <c r="D10" s="33" t="s">
        <v>120</v>
      </c>
    </row>
    <row r="11" spans="2:17" x14ac:dyDescent="0.25">
      <c r="B11" s="32" t="s">
        <v>100</v>
      </c>
      <c r="D11" s="33" t="s">
        <v>117</v>
      </c>
      <c r="F11" s="34" t="s">
        <v>101</v>
      </c>
      <c r="I11" s="34" t="s">
        <v>104</v>
      </c>
      <c r="L11" s="34" t="s">
        <v>105</v>
      </c>
    </row>
    <row r="12" spans="2:17" x14ac:dyDescent="0.25">
      <c r="B12" s="35" t="s">
        <v>119</v>
      </c>
      <c r="D12" s="36" t="s">
        <v>118</v>
      </c>
      <c r="F12" s="34" t="s">
        <v>102</v>
      </c>
      <c r="L12" s="53" t="str" cm="1">
        <f t="array" ref="L12:Q13">Pairwiseλ("Red",clothing)</f>
        <v>Red</v>
      </c>
      <c r="M12" s="53" t="str">
        <v>Red</v>
      </c>
      <c r="N12" s="53" t="str">
        <v>Red</v>
      </c>
      <c r="O12" s="53" t="str">
        <v>Red</v>
      </c>
      <c r="P12" s="53" t="str">
        <v>Red</v>
      </c>
      <c r="Q12" s="53" t="str">
        <v>Red</v>
      </c>
    </row>
    <row r="13" spans="2:17" x14ac:dyDescent="0.25">
      <c r="F13" s="51" t="str" cm="1">
        <f t="array" ref="F13:G48">Pairwiseλ(colors,clothing)</f>
        <v>Shirt</v>
      </c>
      <c r="G13" s="52" t="str">
        <v>Red</v>
      </c>
      <c r="I13" s="52" t="str" cm="1">
        <f t="array" ref="I13:J18">Pairwiseλ("Shirt",colors)</f>
        <v>Shirt</v>
      </c>
      <c r="J13" s="52" t="str">
        <v>Red</v>
      </c>
      <c r="L13" s="53" t="str">
        <v>Shirt</v>
      </c>
      <c r="M13" s="53" t="str">
        <v>Cardigan</v>
      </c>
      <c r="N13" s="53" t="str">
        <v>Socks</v>
      </c>
      <c r="O13" s="53" t="str">
        <v>Slacks</v>
      </c>
      <c r="P13" s="53" t="str">
        <v>Scarf</v>
      </c>
      <c r="Q13" s="53" t="str">
        <v>Gloves</v>
      </c>
    </row>
    <row r="14" spans="2:17" x14ac:dyDescent="0.25">
      <c r="F14" s="52" t="str">
        <v>Shirt</v>
      </c>
      <c r="G14" s="52" t="str">
        <v>Blue</v>
      </c>
      <c r="I14" s="52" t="str">
        <v>Shirt</v>
      </c>
      <c r="J14" s="52" t="str">
        <v>Blue</v>
      </c>
    </row>
    <row r="15" spans="2:17" x14ac:dyDescent="0.25">
      <c r="F15" s="52" t="str">
        <v>Shirt</v>
      </c>
      <c r="G15" s="52" t="str">
        <v>Green</v>
      </c>
      <c r="I15" s="52" t="str">
        <v>Shirt</v>
      </c>
      <c r="J15" s="52" t="str">
        <v>Green</v>
      </c>
    </row>
    <row r="16" spans="2:17" x14ac:dyDescent="0.25">
      <c r="F16" s="52" t="str">
        <v>Shirt</v>
      </c>
      <c r="G16" s="52" t="str">
        <v>Orange</v>
      </c>
      <c r="I16" s="52" t="str">
        <v>Shirt</v>
      </c>
      <c r="J16" s="52" t="str">
        <v>Orange</v>
      </c>
    </row>
    <row r="17" spans="6:20" x14ac:dyDescent="0.25">
      <c r="F17" s="52" t="str">
        <v>Shirt</v>
      </c>
      <c r="G17" s="52" t="str">
        <v>Brown</v>
      </c>
      <c r="I17" s="52" t="str">
        <v>Shirt</v>
      </c>
      <c r="J17" s="52" t="str">
        <v>Brown</v>
      </c>
    </row>
    <row r="18" spans="6:20" x14ac:dyDescent="0.25">
      <c r="F18" s="52" t="str">
        <v>Shirt</v>
      </c>
      <c r="G18" s="52" t="str">
        <v>Gold</v>
      </c>
      <c r="I18" s="52" t="str">
        <v>Shirt</v>
      </c>
      <c r="J18" s="52" t="str">
        <v>Gold</v>
      </c>
    </row>
    <row r="19" spans="6:20" x14ac:dyDescent="0.25">
      <c r="F19" s="52" t="str">
        <v>Cardigan</v>
      </c>
      <c r="G19" s="52" t="str">
        <v>Red</v>
      </c>
    </row>
    <row r="20" spans="6:20" x14ac:dyDescent="0.25">
      <c r="F20" s="52" t="str">
        <v>Cardigan</v>
      </c>
      <c r="G20" s="52" t="str">
        <v>Blue</v>
      </c>
    </row>
    <row r="21" spans="6:20" x14ac:dyDescent="0.25">
      <c r="F21" s="52" t="str">
        <v>Cardigan</v>
      </c>
      <c r="G21" s="52" t="str">
        <v>Green</v>
      </c>
    </row>
    <row r="22" spans="6:20" x14ac:dyDescent="0.25">
      <c r="F22" s="52" t="str">
        <v>Cardigan</v>
      </c>
      <c r="G22" s="52" t="str">
        <v>Orange</v>
      </c>
      <c r="I22" s="34" t="s">
        <v>103</v>
      </c>
    </row>
    <row r="23" spans="6:20" x14ac:dyDescent="0.25">
      <c r="F23" s="52" t="str">
        <v>Cardigan</v>
      </c>
      <c r="G23" s="52" t="str">
        <v>Brown</v>
      </c>
      <c r="I23" s="53" t="str" cm="1">
        <f t="array" ref="I23:T23">Pairwiseλ(brand,clothing)</f>
        <v>Thread &amp; Theory</v>
      </c>
      <c r="J23" s="53" t="str">
        <v>Shirt</v>
      </c>
      <c r="K23" s="53" t="str">
        <v>Velvet Anchor</v>
      </c>
      <c r="L23" s="53" t="str">
        <v>Cardigan</v>
      </c>
      <c r="M23" s="53" t="str">
        <v>Grainline Supply Co.</v>
      </c>
      <c r="N23" s="53" t="str">
        <v>Socks</v>
      </c>
      <c r="O23" s="53" t="str">
        <v>Nimbus Atelier</v>
      </c>
      <c r="P23" s="53" t="str">
        <v>Slacks</v>
      </c>
      <c r="Q23" s="53" t="str">
        <v>Stitchmark</v>
      </c>
      <c r="R23" s="53" t="str">
        <v>Scarf</v>
      </c>
      <c r="S23" s="53" t="str">
        <v>Fablewear</v>
      </c>
      <c r="T23" s="53" t="str">
        <v>Gloves</v>
      </c>
    </row>
    <row r="24" spans="6:20" x14ac:dyDescent="0.25">
      <c r="F24" s="52" t="str">
        <v>Cardigan</v>
      </c>
      <c r="G24" s="52" t="str">
        <v>Gold</v>
      </c>
    </row>
    <row r="25" spans="6:20" x14ac:dyDescent="0.25">
      <c r="F25" s="52" t="str">
        <v>Socks</v>
      </c>
      <c r="G25" s="52" t="str">
        <v>Red</v>
      </c>
    </row>
    <row r="26" spans="6:20" x14ac:dyDescent="0.25">
      <c r="F26" s="52" t="str">
        <v>Socks</v>
      </c>
      <c r="G26" s="52" t="str">
        <v>Blue</v>
      </c>
      <c r="I26" s="34" t="s">
        <v>160</v>
      </c>
      <c r="K26" s="34" t="s">
        <v>122</v>
      </c>
      <c r="N26" s="34" t="s">
        <v>121</v>
      </c>
    </row>
    <row r="27" spans="6:20" x14ac:dyDescent="0.25">
      <c r="F27" s="52" t="str">
        <v>Socks</v>
      </c>
      <c r="G27" s="52" t="str">
        <v>Green</v>
      </c>
      <c r="I27" s="52" t="str" cm="1">
        <f t="array" ref="I27:I38">Pairwiseλ(colors,things)</f>
        <v>Red</v>
      </c>
      <c r="K27" s="52" t="str" cm="1">
        <f t="array" ref="K27:L32">Pairwiseλ(colors,"Shirt")</f>
        <v>Red</v>
      </c>
      <c r="L27" s="52" t="str">
        <v>Shirt</v>
      </c>
      <c r="N27" s="53" t="str" cm="1">
        <f t="array" ref="N27:S28">Pairwiseλ(clothing,"Red")</f>
        <v>Shirt</v>
      </c>
      <c r="O27" s="53" t="str">
        <v>Cardigan</v>
      </c>
      <c r="P27" s="53" t="str">
        <v>Socks</v>
      </c>
      <c r="Q27" s="53" t="str">
        <v>Slacks</v>
      </c>
      <c r="R27" s="53" t="str">
        <v>Scarf</v>
      </c>
      <c r="S27" s="53" t="str">
        <v>Gloves</v>
      </c>
    </row>
    <row r="28" spans="6:20" x14ac:dyDescent="0.25">
      <c r="F28" s="52" t="str">
        <v>Socks</v>
      </c>
      <c r="G28" s="52" t="str">
        <v>Orange</v>
      </c>
      <c r="I28" s="52" t="str">
        <v>Car</v>
      </c>
      <c r="K28" s="52" t="str">
        <v>Blue</v>
      </c>
      <c r="L28" s="52" t="str">
        <v>Shirt</v>
      </c>
      <c r="N28" s="53" t="str">
        <v>Red</v>
      </c>
      <c r="O28" s="53" t="str">
        <v>Red</v>
      </c>
      <c r="P28" s="53" t="str">
        <v>Red</v>
      </c>
      <c r="Q28" s="53" t="str">
        <v>Red</v>
      </c>
      <c r="R28" s="53" t="str">
        <v>Red</v>
      </c>
      <c r="S28" s="53" t="str">
        <v>Red</v>
      </c>
    </row>
    <row r="29" spans="6:20" x14ac:dyDescent="0.25">
      <c r="F29" s="52" t="str">
        <v>Socks</v>
      </c>
      <c r="G29" s="52" t="str">
        <v>Brown</v>
      </c>
      <c r="I29" s="52" t="str">
        <v>Blue</v>
      </c>
      <c r="K29" s="52" t="str">
        <v>Green</v>
      </c>
      <c r="L29" s="52" t="str">
        <v>Shirt</v>
      </c>
    </row>
    <row r="30" spans="6:20" x14ac:dyDescent="0.25">
      <c r="F30" s="52" t="str">
        <v>Socks</v>
      </c>
      <c r="G30" s="52" t="str">
        <v>Gold</v>
      </c>
      <c r="I30" s="52" t="str">
        <v>Water</v>
      </c>
      <c r="K30" s="52" t="str">
        <v>Orange</v>
      </c>
      <c r="L30" s="52" t="str">
        <v>Shirt</v>
      </c>
    </row>
    <row r="31" spans="6:20" x14ac:dyDescent="0.25">
      <c r="F31" s="52" t="str">
        <v>Slacks</v>
      </c>
      <c r="G31" s="52" t="str">
        <v>Red</v>
      </c>
      <c r="I31" s="52" t="str">
        <v>Green</v>
      </c>
      <c r="K31" s="52" t="str">
        <v>Brown</v>
      </c>
      <c r="L31" s="52" t="str">
        <v>Shirt</v>
      </c>
    </row>
    <row r="32" spans="6:20" x14ac:dyDescent="0.25">
      <c r="F32" s="52" t="str">
        <v>Slacks</v>
      </c>
      <c r="G32" s="52" t="str">
        <v>Blue</v>
      </c>
      <c r="I32" s="52" t="str">
        <v>Grass</v>
      </c>
      <c r="K32" s="52" t="str">
        <v>Gold</v>
      </c>
      <c r="L32" s="52" t="str">
        <v>Shirt</v>
      </c>
    </row>
    <row r="33" spans="6:12" x14ac:dyDescent="0.25">
      <c r="F33" s="52" t="str">
        <v>Slacks</v>
      </c>
      <c r="G33" s="52" t="str">
        <v>Green</v>
      </c>
      <c r="I33" s="52" t="str">
        <v>Orange</v>
      </c>
    </row>
    <row r="34" spans="6:12" x14ac:dyDescent="0.25">
      <c r="F34" s="52" t="str">
        <v>Slacks</v>
      </c>
      <c r="G34" s="52" t="str">
        <v>Orange</v>
      </c>
      <c r="I34" s="52" t="str">
        <v>Liquid</v>
      </c>
    </row>
    <row r="35" spans="6:12" x14ac:dyDescent="0.25">
      <c r="F35" s="52" t="str">
        <v>Slacks</v>
      </c>
      <c r="G35" s="52" t="str">
        <v>Brown</v>
      </c>
      <c r="I35" s="52" t="str">
        <v>Brown</v>
      </c>
    </row>
    <row r="36" spans="6:12" x14ac:dyDescent="0.25">
      <c r="F36" s="52" t="str">
        <v>Slacks</v>
      </c>
      <c r="G36" s="52" t="str">
        <v>Gold</v>
      </c>
      <c r="I36" s="52" t="str">
        <v>Cow</v>
      </c>
      <c r="K36" s="34" t="s">
        <v>159</v>
      </c>
    </row>
    <row r="37" spans="6:12" x14ac:dyDescent="0.25">
      <c r="F37" s="52" t="str">
        <v>Scarf</v>
      </c>
      <c r="G37" s="52" t="str">
        <v>Red</v>
      </c>
      <c r="I37" s="52" t="str">
        <v>Gold</v>
      </c>
    </row>
    <row r="38" spans="6:12" x14ac:dyDescent="0.25">
      <c r="F38" s="52" t="str">
        <v>Scarf</v>
      </c>
      <c r="G38" s="52" t="str">
        <v>Blue</v>
      </c>
      <c r="I38" s="52" t="str">
        <v>Sun</v>
      </c>
      <c r="K38" s="52" t="str" cm="1">
        <f t="array" ref="K38:L73">Pairwiseλ(clothing,colors)</f>
        <v>Shirt</v>
      </c>
      <c r="L38" s="52" t="str">
        <v>Red</v>
      </c>
    </row>
    <row r="39" spans="6:12" x14ac:dyDescent="0.25">
      <c r="F39" s="52" t="str">
        <v>Scarf</v>
      </c>
      <c r="G39" s="52" t="str">
        <v>Green</v>
      </c>
      <c r="K39" s="52" t="str">
        <v>Shirt</v>
      </c>
      <c r="L39" s="52" t="str">
        <v>Blue</v>
      </c>
    </row>
    <row r="40" spans="6:12" x14ac:dyDescent="0.25">
      <c r="F40" s="52" t="str">
        <v>Scarf</v>
      </c>
      <c r="G40" s="52" t="str">
        <v>Orange</v>
      </c>
      <c r="K40" s="52" t="str">
        <v>Shirt</v>
      </c>
      <c r="L40" s="52" t="str">
        <v>Green</v>
      </c>
    </row>
    <row r="41" spans="6:12" x14ac:dyDescent="0.25">
      <c r="F41" s="52" t="str">
        <v>Scarf</v>
      </c>
      <c r="G41" s="52" t="str">
        <v>Brown</v>
      </c>
      <c r="K41" s="52" t="str">
        <v>Shirt</v>
      </c>
      <c r="L41" s="52" t="str">
        <v>Orange</v>
      </c>
    </row>
    <row r="42" spans="6:12" x14ac:dyDescent="0.25">
      <c r="F42" s="52" t="str">
        <v>Scarf</v>
      </c>
      <c r="G42" s="52" t="str">
        <v>Gold</v>
      </c>
      <c r="K42" s="52" t="str">
        <v>Shirt</v>
      </c>
      <c r="L42" s="52" t="str">
        <v>Brown</v>
      </c>
    </row>
    <row r="43" spans="6:12" x14ac:dyDescent="0.25">
      <c r="F43" s="52" t="str">
        <v>Gloves</v>
      </c>
      <c r="G43" s="52" t="str">
        <v>Red</v>
      </c>
      <c r="K43" s="52" t="str">
        <v>Shirt</v>
      </c>
      <c r="L43" s="52" t="str">
        <v>Gold</v>
      </c>
    </row>
    <row r="44" spans="6:12" x14ac:dyDescent="0.25">
      <c r="F44" s="52" t="str">
        <v>Gloves</v>
      </c>
      <c r="G44" s="52" t="str">
        <v>Blue</v>
      </c>
      <c r="K44" s="52" t="str">
        <v>Cardigan</v>
      </c>
      <c r="L44" s="52" t="str">
        <v>Red</v>
      </c>
    </row>
    <row r="45" spans="6:12" x14ac:dyDescent="0.25">
      <c r="F45" s="52" t="str">
        <v>Gloves</v>
      </c>
      <c r="G45" s="52" t="str">
        <v>Green</v>
      </c>
      <c r="K45" s="52" t="str">
        <v>Cardigan</v>
      </c>
      <c r="L45" s="52" t="str">
        <v>Blue</v>
      </c>
    </row>
    <row r="46" spans="6:12" x14ac:dyDescent="0.25">
      <c r="F46" s="52" t="str">
        <v>Gloves</v>
      </c>
      <c r="G46" s="52" t="str">
        <v>Orange</v>
      </c>
      <c r="K46" s="52" t="str">
        <v>Cardigan</v>
      </c>
      <c r="L46" s="52" t="str">
        <v>Green</v>
      </c>
    </row>
    <row r="47" spans="6:12" x14ac:dyDescent="0.25">
      <c r="F47" s="52" t="str">
        <v>Gloves</v>
      </c>
      <c r="G47" s="52" t="str">
        <v>Brown</v>
      </c>
      <c r="K47" s="52" t="str">
        <v>Cardigan</v>
      </c>
      <c r="L47" s="52" t="str">
        <v>Orange</v>
      </c>
    </row>
    <row r="48" spans="6:12" x14ac:dyDescent="0.25">
      <c r="F48" s="52" t="str">
        <v>Gloves</v>
      </c>
      <c r="G48" s="52" t="str">
        <v>Gold</v>
      </c>
      <c r="K48" s="52" t="str">
        <v>Cardigan</v>
      </c>
      <c r="L48" s="52" t="str">
        <v>Brown</v>
      </c>
    </row>
    <row r="49" spans="11:12" x14ac:dyDescent="0.25">
      <c r="K49" s="52" t="str">
        <v>Cardigan</v>
      </c>
      <c r="L49" s="52" t="str">
        <v>Gold</v>
      </c>
    </row>
    <row r="50" spans="11:12" x14ac:dyDescent="0.25">
      <c r="K50" s="52" t="str">
        <v>Socks</v>
      </c>
      <c r="L50" s="52" t="str">
        <v>Red</v>
      </c>
    </row>
    <row r="51" spans="11:12" x14ac:dyDescent="0.25">
      <c r="K51" s="52" t="str">
        <v>Socks</v>
      </c>
      <c r="L51" s="52" t="str">
        <v>Blue</v>
      </c>
    </row>
    <row r="52" spans="11:12" x14ac:dyDescent="0.25">
      <c r="K52" s="52" t="str">
        <v>Socks</v>
      </c>
      <c r="L52" s="52" t="str">
        <v>Green</v>
      </c>
    </row>
    <row r="53" spans="11:12" x14ac:dyDescent="0.25">
      <c r="K53" s="52" t="str">
        <v>Socks</v>
      </c>
      <c r="L53" s="52" t="str">
        <v>Orange</v>
      </c>
    </row>
    <row r="54" spans="11:12" x14ac:dyDescent="0.25">
      <c r="K54" s="52" t="str">
        <v>Socks</v>
      </c>
      <c r="L54" s="52" t="str">
        <v>Brown</v>
      </c>
    </row>
    <row r="55" spans="11:12" x14ac:dyDescent="0.25">
      <c r="K55" s="52" t="str">
        <v>Socks</v>
      </c>
      <c r="L55" s="52" t="str">
        <v>Gold</v>
      </c>
    </row>
    <row r="56" spans="11:12" x14ac:dyDescent="0.25">
      <c r="K56" s="52" t="str">
        <v>Slacks</v>
      </c>
      <c r="L56" s="52" t="str">
        <v>Red</v>
      </c>
    </row>
    <row r="57" spans="11:12" x14ac:dyDescent="0.25">
      <c r="K57" s="52" t="str">
        <v>Slacks</v>
      </c>
      <c r="L57" s="52" t="str">
        <v>Blue</v>
      </c>
    </row>
    <row r="58" spans="11:12" x14ac:dyDescent="0.25">
      <c r="K58" s="52" t="str">
        <v>Slacks</v>
      </c>
      <c r="L58" s="52" t="str">
        <v>Green</v>
      </c>
    </row>
    <row r="59" spans="11:12" x14ac:dyDescent="0.25">
      <c r="K59" s="52" t="str">
        <v>Slacks</v>
      </c>
      <c r="L59" s="52" t="str">
        <v>Orange</v>
      </c>
    </row>
    <row r="60" spans="11:12" x14ac:dyDescent="0.25">
      <c r="K60" s="52" t="str">
        <v>Slacks</v>
      </c>
      <c r="L60" s="52" t="str">
        <v>Brown</v>
      </c>
    </row>
    <row r="61" spans="11:12" x14ac:dyDescent="0.25">
      <c r="K61" s="52" t="str">
        <v>Slacks</v>
      </c>
      <c r="L61" s="52" t="str">
        <v>Gold</v>
      </c>
    </row>
    <row r="62" spans="11:12" x14ac:dyDescent="0.25">
      <c r="K62" s="52" t="str">
        <v>Scarf</v>
      </c>
      <c r="L62" s="52" t="str">
        <v>Red</v>
      </c>
    </row>
    <row r="63" spans="11:12" x14ac:dyDescent="0.25">
      <c r="K63" s="52" t="str">
        <v>Scarf</v>
      </c>
      <c r="L63" s="52" t="str">
        <v>Blue</v>
      </c>
    </row>
    <row r="64" spans="11:12" x14ac:dyDescent="0.25">
      <c r="K64" s="52" t="str">
        <v>Scarf</v>
      </c>
      <c r="L64" s="52" t="str">
        <v>Green</v>
      </c>
    </row>
    <row r="65" spans="11:12" x14ac:dyDescent="0.25">
      <c r="K65" s="52" t="str">
        <v>Scarf</v>
      </c>
      <c r="L65" s="52" t="str">
        <v>Orange</v>
      </c>
    </row>
    <row r="66" spans="11:12" x14ac:dyDescent="0.25">
      <c r="K66" s="52" t="str">
        <v>Scarf</v>
      </c>
      <c r="L66" s="52" t="str">
        <v>Brown</v>
      </c>
    </row>
    <row r="67" spans="11:12" x14ac:dyDescent="0.25">
      <c r="K67" s="52" t="str">
        <v>Scarf</v>
      </c>
      <c r="L67" s="52" t="str">
        <v>Gold</v>
      </c>
    </row>
    <row r="68" spans="11:12" x14ac:dyDescent="0.25">
      <c r="K68" s="52" t="str">
        <v>Gloves</v>
      </c>
      <c r="L68" s="52" t="str">
        <v>Red</v>
      </c>
    </row>
    <row r="69" spans="11:12" x14ac:dyDescent="0.25">
      <c r="K69" s="52" t="str">
        <v>Gloves</v>
      </c>
      <c r="L69" s="52" t="str">
        <v>Blue</v>
      </c>
    </row>
    <row r="70" spans="11:12" x14ac:dyDescent="0.25">
      <c r="K70" s="52" t="str">
        <v>Gloves</v>
      </c>
      <c r="L70" s="52" t="str">
        <v>Green</v>
      </c>
    </row>
    <row r="71" spans="11:12" x14ac:dyDescent="0.25">
      <c r="K71" s="52" t="str">
        <v>Gloves</v>
      </c>
      <c r="L71" s="52" t="str">
        <v>Orange</v>
      </c>
    </row>
    <row r="72" spans="11:12" x14ac:dyDescent="0.25">
      <c r="K72" s="52" t="str">
        <v>Gloves</v>
      </c>
      <c r="L72" s="52" t="str">
        <v>Brown</v>
      </c>
    </row>
    <row r="73" spans="11:12" x14ac:dyDescent="0.25">
      <c r="K73" s="52" t="str">
        <v>Gloves</v>
      </c>
      <c r="L73" s="52" t="str">
        <v>Gold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7232-5A72-4581-9D97-B4A700838874}">
  <sheetPr>
    <tabColor rgb="FFFFCCCC"/>
  </sheetPr>
  <dimension ref="A1:D16"/>
  <sheetViews>
    <sheetView showGridLines="0" showRowColHeaders="0" workbookViewId="0">
      <selection activeCell="B5" sqref="B5"/>
    </sheetView>
  </sheetViews>
  <sheetFormatPr defaultColWidth="0" defaultRowHeight="13.5" zeroHeight="1" x14ac:dyDescent="0.25"/>
  <cols>
    <col min="1" max="1" width="10.69140625" style="16" customWidth="1"/>
    <col min="2" max="2" width="54.69140625" style="37" customWidth="1"/>
    <col min="3" max="3" width="31.15234375" style="37" customWidth="1"/>
    <col min="4" max="4" width="8.69140625" style="16" customWidth="1"/>
    <col min="5" max="16384" width="8.69140625" style="16" hidden="1"/>
  </cols>
  <sheetData>
    <row r="1" spans="2:3" x14ac:dyDescent="0.25"/>
    <row r="2" spans="2:3" x14ac:dyDescent="0.25">
      <c r="B2" s="49" t="s">
        <v>151</v>
      </c>
    </row>
    <row r="3" spans="2:3" ht="81" x14ac:dyDescent="0.25">
      <c r="B3" s="39" t="s">
        <v>157</v>
      </c>
    </row>
    <row r="4" spans="2:3" x14ac:dyDescent="0.25"/>
    <row r="5" spans="2:3" x14ac:dyDescent="0.25">
      <c r="B5" s="49" t="s">
        <v>128</v>
      </c>
      <c r="C5" s="49" t="s">
        <v>124</v>
      </c>
    </row>
    <row r="6" spans="2:3" ht="27" x14ac:dyDescent="0.25">
      <c r="B6" s="48" t="s">
        <v>152</v>
      </c>
      <c r="C6" s="39" t="s">
        <v>153</v>
      </c>
    </row>
    <row r="7" spans="2:3" x14ac:dyDescent="0.25">
      <c r="C7" s="16"/>
    </row>
    <row r="8" spans="2:3" x14ac:dyDescent="0.25"/>
    <row r="9" spans="2:3" x14ac:dyDescent="0.25"/>
    <row r="10" spans="2:3" x14ac:dyDescent="0.25">
      <c r="B10" s="49" t="s">
        <v>127</v>
      </c>
      <c r="C10" s="50" t="s">
        <v>124</v>
      </c>
    </row>
    <row r="11" spans="2:3" ht="40.5" x14ac:dyDescent="0.25">
      <c r="B11" s="40" t="s">
        <v>154</v>
      </c>
      <c r="C11" s="38" t="s">
        <v>155</v>
      </c>
    </row>
    <row r="12" spans="2:3" ht="81" x14ac:dyDescent="0.25">
      <c r="B12" s="48" t="s">
        <v>156</v>
      </c>
      <c r="C12" s="38" t="s">
        <v>158</v>
      </c>
    </row>
    <row r="13" spans="2:3" x14ac:dyDescent="0.25"/>
    <row r="14" spans="2:3" x14ac:dyDescent="0.25"/>
    <row r="15" spans="2:3" x14ac:dyDescent="0.25"/>
    <row r="16" spans="2:3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BBAHUAdABoAG8AcgA6ACAAIAAgACAAIAAgAFAAYQB0AHIAaQBjAGsAIABIAC4AXABuAC8ALwAgAE0AbwBkAHUAbABlADoAIAAgACAAIAAgACAAQQByAHIAYQB5ACAAbwByAGMAaABlAHMAdAByAGEAdABpAG8AbgBcAG4ALwAvACAARgB1AG4AYwB0AGkAbwBuAHMAOgAgACAAIABaAGkAcAC7AywAIABMAGEAeQBlAHIAuwMsACAAUABhAGkAcgB3AGkAcwBlALsDLAAgAEcAZQB0AFIAZQBjAG8AcgBkAHMAuwNcAG4ALwAvACAAVgBlAHIAcwBpAG8AbgA6ACAAIAAgACAAIAAxAC4AMABcAG4ALwAvACAARABhAHQAZQA6ACAAIAAgACAAIAAgACAAIAAxADAALwAxADgALwAyADAAMgA1AFwAbgAvAC8AIABEAGUAcwBjAHIAaQBwAHQAaQBvAG4AOgAgAEMAbwBtAHAAbwBzAGkAdABpAG8AbgBhAGwAIABhAHIAcgBhAHkAIABvAHIAYwBoAGUAcwB0AHIAYQB0AGkAbwBuACAAYQBuAGQAIAByAGUAYwBvAHIAZAAgAHIAZQB0AHIAaQBlAHYAYQBsAC4AXABuAC8ALwAgACAAIAAgACAAIAAgACAAIAAgACAAIAAgAC0AIABaAGkAcAC7AyAAYQBuAGQAIABMAGEAeQBlAHIAuwMgAGEAbABpAGcAbgAgAGEAcgByAGEAeQBzACAAaABvAHIAaQB6AG8AbgB0AGEAbABsAHkAIABvAHIAIAB2AGUAcgB0AGkAYwBhAGwAbAB5ACAAdwBpAHQAaAAgAG8AcAB0AGkAbwBuAGEAbAAgAGYAbABhAHQAdABlAG4AaQBuAGcALgBcAG4ALwAvACAAIAAgACAAIAAgACAAIAAgACAAIAAgACAALQAgAFAAYQBpAHIAdwBpAHMAZQC7AyAAcABhAGkAcgBzACAAdgBlAGMAdABvAHIAcwAgAHcAaQB0AGgAIABzAGMAYQBsAGEAcgAgAGUAeABwAGEAbgBzAGkAbwBuACAAYQBuAGQAIABjAHIAbwBzAHMAIABwAHIAbwBkAHUAYwB0ACAAbABvAGcAaQBjAC4AXABuAC8ALwAgACAAIAAgACAAIAAgACAAIAAgACAAIAAgAC0AIABHAGUAdABSAGUAYwBvAHIAZABzALsDIAByAGUAdAByAGkAZQB2AGUAcwAgAHIAZQBjAG8AcgBkAHMAIABmAHIAbwBtACAAYQAgAGQAaQBjAHQAaQBvAG4AYQByAHkAIAB1AHMAaQBuAGcAIAByAGUAZwBlAHgAIABtAGEAdABjAGgAaQBuAGcALgBcAG4AXABuAC8ALwBWAGUAcgBzAGkAbwBuACAAaABpAHMAdABvAHIAeQA6AFwAbgAvAC8AMQAxAC8ANwAvADIAMAAyADUAIAAtACAAUgBlAGYAbwByAG0AYQB0AHQAZQBkACAAbQBvAGQAdQBsAGUAIABmAG8AcgAgAGEAbABpAGcAbgBtAGUAbgB0ACAAYQBuAGQAIAByAGUAYQBkAGEAYgBpAGwAaQB0AHkALgBcAG4AXABuAFwAbgAvAC8ALQAtAC0ALQAtAC0ALQAtAC0ALQBJAG4AdABlAHIAbgBhAGwAIABGAHUAbgBjAHQAaQBvAG4ALQAtAC0ALQAtAC0ALQAtAC0ALQAtAC0ALQAtAC0ALQAtAC0ALQAtAC0ALQAtAC0ALQAtAC0ALQAtAC0ALQAtAC0ALQAtAC0ALQAtAC0ALQAtAC0ALQAtAC0ALQAtAC0ALQAtAC0ALQBcAG4ALwAvAEQAZQBzAGMAcgBpAHAAdABpAG8AbgA6AFwAbgAvAC8AIABDAG8AbQBwAG8AcwBlALsDIABvAHIAYwBoAGUAcwB0AHIAYQB0AGUAcwAgAGQAaQByAGUAYwB0AGkAbwBuAGEAbAAgAHMAdABhAGMAawBpAG4AZwAgAGEAbgBkACAAbwBwAHQAaQBvAG4AYQBsACAAZgBsAGEAdAB0AGUAbgBpAG4AZwAgAG8AZgAgAHUAcAAgAHQAbwAgAGYAbwB1AHIAIABhAHIAcgBhAHkAcwAuAFwAbgAvAC8AIABJAHQAIAB0AHIAaQBtAHMAIABpAG4AcAB1AHQAcwAgAHQAbwAgAHMAaABhAHIAZQBkACAAZABpAG0AZQBuAHMAaQBvAG4AcwAsACAAYQByAHIAYQBuAGcAZQBzACAAYgB5ACAASABTAFQAQQBDAEsAIABvAHIAIABWAFMAVABBAEMASwAsACAAYQBuAGQAIABmAGwAYQB0AHQAZQBuAHMAIABpAGYAIAByAGUAcQB1AGUAcwB0AGUAZAAuAFwAbgAvAC8AIABVAHMAZQBkACAAaQBuAHQAZQByAG4AYQBsAGwAeQAgAGIAeQAgAFoAaQBwALsDIABhAG4AZAAgAEwAYQB5AGUAcgC7Ay4AXABuAFwAbgAvAC8AIABQAGEAcgBhAG0AZQB0AGUAcgBzADoAXABuAC8ALwAgAGQAaQByAGUAYwB0AGkAbwBuACAAIAAgACAALQAgACAAIABTAHUAcABwAGwAaQBlAGQAIABiAHkAIABaAGkAcAC7AyAAKABIAFMAVABBAEMASwApACAAYQBuAGQAIABMAGEAeQBlAHIAuwMgACgAVgBTAFQAQQBDAEsAKQBcAG4ALwAvACAAYQByAHIAYQB5AF8AMQAgACAAIAAgACAAIAAtACAAIAAgAEkAbgBwAHUAdAAgAGEAcgByAGEAeQBzACAAYQByAGUAIABzAGkAegBlAGQAIAB0AG8AIABjAG8AbQBtAG8AbgAgAGQAaQBtAGUAbgBzAGkAbwBuAHMAXABuAC8ALwAgAGEAcgByAGEAeQBfADIAIAAgACAAIAAgACAALQAgACAAIABJAG4AcAB1AHQAIABhAHIAcgBhAHkAcwAgAGEAcgBlACAAcwBpAHoAZQBkACAAdABvACAAYwBvAG0AbQBvAG4AIABkAGkAbQBlAG4AcwBpAG8AbgBzAFwAbgAvAC8AIABbAGEAcgByAGEAeQBfADMAXQAgACAAIAAgAC0AIAAgACAATwBwAHQAaQBvAG4AYQBsAFwAbgAvAC8AIABbAGEAcgByAGEAeQBfADQAXQAgACAAIAAgAC0AIAAgACAATwBwAHQAaQBvAG4AYQBsAFwAbgAvAC8AIABbAGYAbABhAHQAdABlAG4AXQAgACAAIAAgAC0AIAAgACAATwBwAHQAaQBvAG4AYQBsADoAIABJAGYAIABUAFIAVQBFACwAIABaAGkAcAC7AyAAYQByAHIAYQBuAGcAZQBtAGUAbgB0ACAAZgBsAGEAdAB0AGUAbgBkACAAYwBvAGwAdQBtAG4ALQB3AGkAcwBlAC4AXABuAC8ALwAgACAAIAAgACAAIAAgACAAIAAgACAAIAAgACAAIAAgACAAIAAgACAAIAAgACAAIAAgACAAIAAgAEwAYQB5AGUAcgC7AyAAZgBsAGEAdAB0AGUAbgBlAGQAIAByAG8AdwAtAHcAaQBzAGUALgBcAG4AXABuAEMAbwBtAHAAbwBzAGUAuwM9AFwAbgBcAG4ATABBAE0AQgBEAEEAKABcAG4AIAAgACAAIABkAGkAcgBlAGMAdABpAG8AbgAsAFwAbgAgACAAIAAgAGEAcgByAGEAeQBfADEALABhAHIAcgBhAHkAXwAyACwAWwBhAHIAcgBhAHkAXwAzAF0ALABbAGEAcgByAGEAeQBfADQAXQAsAFwAbgAgACAAIAAgAFsAZgBsAGEAdAB0AGUAbgBdACwAIAAgACAAIAAgACAAIAAgACAAIAAgACAAIAAgACAAIAAgACAAIAAgACAAIAAgACAAIAAgAFwAbgBcAG4AXABuAEwARQBUACgAXABuACAAIAAgACAALwAvAEMAaABlAGMAawAgAGQAaQByAGUAYwB0AGkAbwBuACAALQAgAFYAUwBUAEEAQwBLACAAKABMAGEAeQBlAHIAuwMpACwAIABIAFMAVABBAEMASwAgACgAWgBpAHAAuwMpAFwAbgAgACAAIAAgAEkAcwBWAGUAcgB0AGkAYwBhAGwAPwAsAFIATwBXAFMAKABkAGkAcgBlAGMAdABpAG8AbgAoADEALAAxACkAKQA9ADIALABcAG4AIAAgACAAIABcAG4AIAAgACAAIAAvAC8AQwBoAGUAYwBrACAAbwBwAHQAaQBvAG4AYQBsACAAaQBuAHAAdQB0AHMAXABuACAAIAAgACAAUwBrAGkAcABBAHIAcgAzAD8ALABJAFMATwBNAEkAVABUAEUARAAoAGEAcgByAGEAeQBfADMAKQAsACAAIAAgAFMAawBpAHAAQQByAHIANAA/ACwASQBTAE8ATQBJAFQAVABFAEQAKABhAHIAcgBhAHkAXwA0ACkALABcAG4AXABuACAAIAAgACAAZgBsAGEAdAB0AGUAbgBlAGQAPwAsACAAIAAgACAAIAAgACAAIAAgACAAIAAgACAAIAAgACAAIAAgACAAIAAgAEkARgAoAEkAUwBPAE0ASQBUAFQARQBEACgAZgBsAGEAdAB0AGUAbgApACwARgBBAEwAUwBFACwAZgBsAGEAdAB0AGUAbgApACwAXABuACAAIAAgACAAZgBsAGEAdAB0AGUAbgBlAGQAXwBhAG4AZABfAHYAZQByAHQAaQBjAGEAbAA/ACwAIAAgACAAIAAgACAAIAAgACgAZgBsAGEAdAB0AGUAbgBlAGQAPwApACoAKABJAHMAVgBlAHIAdABpAGMAYQBsAD8AKQAsAFwAbgAgACAAIAAgAFwAbgAgACAAIAAgAC8ALwBDAG8AdQBuAHQAIABpAG4AcAB1AHQAIABhAHIAcgBhAHkAcwBcAG4AIAAgACAAIABtACwAMgAgACsAIABOAE8AVAAoAFMAawBpAHAAQQByAHIAMwA/ACkAKwBOAE8AVAAoAFMAawBpAHAAQQByAHIANAA/ACkALABcAG4AXABuACAAIAAgACAALwAvAEMAaABlAGMAawAgAGQAaQBtAGUAbgBzAGkAbwBuAHMAXABuACAAIAAgACAASQBzAFYAZQBjAHQAbwByAD8ALABMAEEATQBCAEQAQQAoAGEAcgByAGEAeQAsAFgATwBSACgAUgBPAFcAUwAoAGEAcgByAGEAeQApAD0AMQAsAEMATwBMAFUATQBOAFMAKABhAHIAcgBhAHkAKQA9ADEAKQApACwAXABuAFwAbgAgACAAIAAgAGkALAAgAFIATwBXAFMAKABhAHIAcgBhAHkAXwAxACkALAAgACAAIAAgAGoALAAgAEMATwBMAFUATQBOAFMAKABhAHIAcgBhAHkAXwAxACkALABcAG4AIAAgACAAIABpAIIgLABSAE8AVwBTACgAYQByAHIAYQB5AF8AMgApACwAIAAgACAAagCCICwAIABDAE8ATABVAE0ATgBTACgAYQByAHIAYQB5AF8AMgApACwAXABuAFwAbgAgACAAIAAgAC8ALwBPAHAAdABpAG8AbgBhAGwAIABpAG4AcAB1AHQAIABhAHIAcgBhAHkAcwAgAGQAZQBmAGEAdQBsAHQAIAB0AG8AIABsAGEAcgBnAGUAIABuAHUAbQBiAGUAcgAgAHQAbwAgAGEAdgBvAGkAZAAgADAAIAByAGUAdAB1AHIAbgAgAGYAcgBvAG0AIABNAEkATgBcAG4AIAAgACAAIABpAIMgLABJAEYAKABTAGsAaQBwAEEAcgByADMAPwAsADkARQA5ACwAUgBPAFcAUwAoAGEAcgByAGEAeQBfADMAKQApACwAIABqAIMgLABJAEYAKABTAGsAaQBwAEEAcgByADMAPwAsADkARQA5ACwAQwBPAEwAVQBNAE4AUwAoAGEAcgByAGEAeQBfADMAKQApACwAXABuAFwAbgAgACAAIAAgAGkAhCAsAEkARgAoAFMAawBpAHAAQQByAHIANAA/ACwAOQBFADkALABSAE8AVwBTACgAYQByAHIAYQB5AF8ANAApACkALAAgAGoAhCAsAEkARgAoAFMAawBpAHAAQQByAHIANAA/ACwAOQBFADkALABDAE8ATABVAE0ATgBTACgAYQByAHIAYQB5AF8ANAApACkALABcAG4AXABuACAAIAAgACAALwAvAFMAaABhAHIAZQBkACAAZABpAG0AZQBuAHMAaQBvAG4AcwBcAG4AIAAgACAAIABpAF8ALABNAEkATgAoAGkALABpAIIgLABpAIMgLABpAIQgKQAsACAAIAAgACAAIABqAF8ALABNAEkATgAoAGoALABqAIIgLABqAIMgLABqAIQgKQAsAFwAbgBcAG4AIAAgACAAIAAvAC8AVAByAGkAbQAgAGEAcgByAGEAeQBzACAAdABvACAAcwBoAGEAcgBlAGQAIABkAGkAbQBlAG4AcwBpAG8AbgBzAFwAbgAgACAAIAAgAFQAcgBpAG0AuwMsAEwAQQBNAEIARABBACgAYQByAHIAYQB5ACwAVABBAEsARQAoAGEAcgByAGEAeQAsAGkAXwAsAGoAXwApACkALABcAG4AXABuACAAIAAgACAAYQAsAFQAcgBpAG0AuwMoAGEAcgByAGEAeQBfADEAKQAsACAAIAAgAGIALABUAHIAaQBtALsDKABhAHIAcgBhAHkAXwAyACkALAAgACAAIABjACwAVAByAGkAbQC7AygAYQByAHIAYQB5AF8AMwApACwAIAAgACAAZAAsAFQAcgBpAG0AuwMoAGEAcgByAGEAeQBfADQAKQAsAFwAbgBcAG4AIAAgACAAIAAvAC8AUwB0AGEAYwBrACAAYQByAHIAYQB5AHMAIABiAHkAIABkAGkAcgBlAGMAdABpAG8AbgBcAG4AIAAgACAAIABzAHQAYQBjAGsAXwAyACwAIAAgACAAIABkAGkAcgBlAGMAdABpAG8AbgAoAGEALABiACkALABcAG4AIAAgACAAIABzAHQAYQBjAGsAXwAzACwAIAAgACAAIABkAGkAcgBlAGMAdABpAG8AbgAoAGEALABiACwASQBGACgAKABTAGsAaQBwAEEAcgByADMAPwApACoAKABOAE8AVAAoAFMAawBpAHAAQQByAHIANAA/ACkAKQAsAGQALABjACkAKQAsAFwAbgAgACAAIAAgAHMAdABhAGMAawBfADQALAAgACAAIAAgAGQAaQByAGUAYwB0AGkAbwBuACgAYQAsAGIALABjACwAZAApACwAXABuACAAIAAgACAAXABuACAAIAAgACAALwAvAFMAZQBsAGUAYwB0ACAAYQByAHIAYQBuAGcAZQBtAGUAbgB0ACAAYgBhAHMAZQBkACAAbwBuACAAdABvAHQAYQBsACAAaQBuAHAAdQB0ACAAYQByAHIAYQB5AHMAXABuACAAIAAgACAAYQByAHIAYQBuAGcAZQBtAGUAbgB0ACwAQwBIAE8ATwBTAEUAKABtACwAMQAsACAALwAvAEQAbwAgAG4AbwB0AGgAaQBuAGcAXABuACAAIAAgACAAIAAgACAAIAAgACAAIAAgACAAIAAgACAAIAAgACAAIAAgACAAIAAgACAAcwB0AGEAYwBrAF8AMgAsAHMAdABhAGMAawBfADMALABzAHQAYQBjAGsAXwA0ACkALABcAG4AIAAgACAAIABcAG4AIAAgACAAIAAvAC8ARABpAG0AZQBuAHMAaQBvAG4AcwAgAG8AZgAgAHMAdABhAGMAawBlAGQAIABhAHIAcgBhAHkAcwBcAG4AIAAgACAAIABoAGUAaQBnAGgAdAAsAFIATwBXAFMAKABhAHIAcgBhAG4AZwBlAG0AZQBuAHQAKQAsACAAIAAgAHcAaQBkAHQAaAAsAEMATwBMAFUATQBOAFMAKABhAHIAcgBhAG4AZwBlAG0AZQBuAHQAKQAsAFwAbgBcAG4AIAAgACAAIAAvAC8ASQBuAGQAaQBjAGUAcwAgAGQAZQBmAGUAcgByAGUAZABcAG4AIAAgACAAIAB4ACwAIAAgACAAIAAgACAATABBAE0AQgBEAEEAKABUAE8AQwBPAEwAKABXAFIAQQBQAFIATwBXAFMAKABTAEUAUQBVAEUATgBDAEUAKABoAGUAaQBnAGgAdAApACwAaQApACwAMgAsADEAKQAqAFMARQBRAFUARQBOAEMARQAoACwAdwBpAGQAdABoACwAMQAsADAAKQApACwAXABuAFwAbgAgACAAIAAgAHkALAAgACAAIAAgACAAIABMAEEATQBCAEQAQQAoAFQATwBSAE8AVwAoAFcAUgBBAFAAUgBPAFcAUwAoAFMARQBRAFUARQBOAEMARQAoAHcAaQBkAHQAaAApACwAagApACwAMgAsADEAKQAqAFMARQBRAFUARQBOAEMARQAoAGgAZQBpAGcAaAB0ACwALAAxACwAMAApACkALABcAG4AXABuACAAIAAgACAALwAvAFUAbgB3AHIAYQBwACAAaQBuAGQAaQBjAGUAcwAgAGEAbgBkACAAcAB1AGwAbAAgAGYAcgBvAG0AIABhAHIAcgBhAG4AZwBlAG0AZQBuAHQAXABuACAAIAAgACAAcwBoAGEAcABlAGQALAAgAEkATgBEAEUAWAAoAGEAcgByAGEAbgBnAGUAbQBlAG4AdAAsAHgAKAApACwAeQAoACkAKQAsAFwAbgBcAG4AIAAgACAAIAAvAC8ASQBmACAAbgBvAHQAIABmAGwAYQB0AHQAZQBuAGUAZAAsACAAcgBlAHQAdQByAG4AIABzAGgAYQBwAGUAZAAsACAAbwB0AGgAZQByAHcAaQBzAGUALAAgAGYAbABhAHQAdABlAG4AIABhAG4AZAAgAHcAcgBhAHAAXABuACAAIAAgACAAZABlAGwAaQB2AGUAcgAsAEkARgAoAE4ATwBUACgAZgBsAGEAdAB0AGUAbgBlAGQAPwApACwAcwBoAGEAcABlAGQALABcAG4AIAAgACAAIAAgACAAIAAgACAAIAAgACAASQBGACgAZgBsAGEAdAB0AGUAbgBlAGQAXwBhAG4AZABfAHYAZQByAHQAaQBjAGEAbAA/ACwAVwBSAEEAUABSAE8AVwBTACgAVABPAEMATwBMACgAcwBoAGEAcABlAGQALAAsADEAKQAsAG0AKQAsACAALwAvAEMAbwBsAHUAbQBuAC0AdwBpAHMAZQBcAG4AIAAgACAAIAAgACAAIAAgACAAIAAgACAAIAAgACAAIAAgACAAIAAgACAAIAAgACAAIAAgACAAIAAgACAAIAAgACAAIAAgACAAIAAgACAAVwBSAEEAUABDAE8ATABTACgAVABPAEMATwBMACgAcwBoAGEAcABlAGQAKQAsAG0AKQApACkALAAgACAALwAvAFIAbwB3AC0AdwBpAHMAZQBcAG4AIAAgACAAIABkAGUAbABpAHYAZQByAFwAbgApACkAOwBcAG4AXABuAC8ALwAtAC0ALQAtAC0ALQAtAC0ALQAtAEYAdQBuAGMAdABpAG8AbgBzAC0ALQAtAC0ALQAtAC0ALQAtAC0ALQAtAC0ALQAtAC0ALQAtAC0ALQAtAC0ALQAtAC0ALQAtAC0ALQAtAC0ALQAtAC0ALQAtAC0ALQAtAC0ALQAtAC0ALQAtAC0ALQAtAC0ALQAtAC0ALQAtAC0ALQAtAC0ALQAtAFwAbgBcAG4ALwAvAFAAbABlAGEAcwBlACAAcwBlAGUAIABDAG8AbQBwAG8AcwBlALsDIABmAG8AcgAgAHAAYQByAGEAbQBlAHQAZQByACAAZABlAHMAYwByAGkAcAB0AGkAbwBuAHMAIABmAG8AcgAgAFoAaQBwALsDIABhAG4AZAAgAEwAYQB5AGUAcgC7Ay4AXABuAFwAbgAvAC8ALQAtAC0ALQAtAC0ALQAtAC0ALQAtAC0ALQAtAC0ALQAtAC0ALQAtAC0ALQAtAC0ALQAtAC0ALQAtAC0ALQAtAC0ALQAtAC0ALQAtAC0ALQAtAC0ALQAtAC0ALQAtAC0ALQAtAC0ALQAtAC0ALQAtAC0ALQAtAC0ALQAtAC0ALQAtAC0ALQAtAC0ALQAtAC0ALQAtAC0ALQAtAC0ALQAtAFwAbgAvAC8AWgBpAHAAuwNcAG4ALwAvAC0ALQAtAC0ALQAtAC0ALQAtAC0ALQAtAC0ALQAtAC0ALQAtAC0ALQAtAC0ALQAtAC0ALQAtAC0ALQAtAC0ALQAtAC0ALQAtAC0ALQAtAC0ALQAtAC0ALQAtAC0ALQAtAC0ALQAtAC0ALQAtAC0ALQAtAC0ALQAtAC0ALQAtAC0ALQAtAC0ALQAtAC0ALQAtAC0ALQAtAC0ALQAtAC0ALQBcAG4ALwAvAEQAZQBzAGMAcgBpAHAAdABpAG8AbgA6AFwAbgAvAC8ASABvAHIAaQB6AG8AbgB0AGEAbABsAHkAIABhAGwAaQBnAG4AcwAgAHUAcAAgAHQAbwAgAGYAbwB1AHIAIABhAHIAcgBhAHkAcwAgAHcAaQB0AGgAIABvAHAAdABpAG8AbgBhAGwAIABjAG8AbAB1AG0AbgAtAHcAaQBzAGUAIABmAGwAYQB0AHQAZQBuAGkAbgBnAC4AXABuAFwAbgBaAGkAcAC7AyAAPQBcAG4ATABBAE0AQgBEAEEAKABcAG4AIAAgACAAIABhAHIAcgBhAHkAXwAxACwAYQByAHIAYQB5AF8AMgAsAFsAYQByAHIAYQB5AF8AMwBdACwAWwBhAHIAcgBhAHkAXwA0AF0ALABbAGYAbABhAHQAdABlAG4AXQAsAFwAbgAgACAAIAAgAEMAbwBtAHAAbwBzAGUAuwMoAEgAUwBUAEEAQwBLACwAYQByAHIAYQB5AF8AMQAsAGEAcgByAGEAeQBfADIALABhAHIAcgBhAHkAXwAzACwAYQByAHIAYQB5AF8ANAAsAGYAbABhAHQAdABlAG4AKQApADsAXABuAFwAbgAvAC8ALQAtAC0ALQAtAC0ALQAtAC0ALQAtAC0ALQAtAC0ALQAtAC0ALQAtAC0ALQAtAC0ALQAtAC0ALQAtAC0ALQAtAC0ALQAtAC0ALQAtAC0ALQAtAC0ALQAtAC0ALQAtAC0ALQAtAC0ALQAtAC0ALQAtAC0ALQAtAC0ALQAtAC0ALQAtAC0ALQAtAC0ALQAtAC0ALQAtAC0ALQAtAC0ALQAtAFwAbgAvAC8ATABhAHkAZQByALsDXABuAC8ALwAtAC0ALQAtAC0ALQAtAC0ALQAtAC0ALQAtAC0ALQAtAC0ALQAtAC0ALQAtAC0ALQAtAC0ALQAtAC0ALQAtAC0ALQAtAC0ALQAtAC0ALQAtAC0ALQAtAC0ALQAtAC0ALQAtAC0ALQAtAC0ALQAtAC0ALQAtAC0ALQAtAC0ALQAtAC0ALQAtAC0ALQAtAC0ALQAtAC0ALQAtAC0ALQAtAC0AXABuAFwAbgAvAC8AVgBlAHIAdABpAGMAYQBsAGwAeQAgAGEAbABpAGcAbgBzACAAdQBwACAAdABvACAAZgBvAHUAcgAgAGEAcgByAGEAeQBzACAAdwBpAHQAaAAgAG8AcAB0AGkAbwBuAGEAbAAgAHIAbwB3AC0AdwBpAHMAZQAgAGYAbABhAHQAdABlAG4AaQBuAGcALgBcAG4AXABuAEwAYQB5AGUAcgC7AyAAPQBcAG4ATABBAE0AQgBEAEEAKABcAG4AIAAgACAAIABhAHIAcgBhAHkAXwAxACwAYQByAHIAYQB5AF8AMgAsAFsAYQByAHIAYQB5AF8AMwBdACwAWwBhAHIAcgBhAHkAXwA0AF0ALABbAGYAbABhAHQAdABlAG4AXQAsAFwAbgAgACAAIAAgAEMAbwBtAHAAbwBzAGUAuwMoAFYAUwBUAEEAQwBLACwAYQByAHIAYQB5AF8AMQAsAGEAcgByAGEAeQBfADIALABhAHIAcgBhAHkAXwAzACwAYQByAHIAYQB5AF8ANAAsAGYAbABhAHQAdABlAG4AKQApADsAXABuAFwAbgAvAC8ALQAtAC0ALQAtAC0ALQAtAC0ALQAtAC0ALQAtAC0ALQAtAC0ALQAtAC0ALQAtAC0ALQAtAC0ALQAtAC0ALQAtAC0ALQAtAC0ALQAtAC0ALQAtAC0ALQAtAC0ALQAtAC0ALQAtAC0ALQAtAC0ALQAtAC0ALQAtAC0ALQAtAC0ALQAtAC0ALQAtAC0ALQAtAC0ALQAtAC0ALQAtAC0ALQAtAFwAbgAvAC8ARwBlAHQAUgBlAGMAbwByAGQAcwC7A1wAbgAvAC8ALQAtAC0ALQAtAC0ALQAtAC0ALQAtAC0ALQAtAC0ALQAtAC0ALQAtAC0ALQAtAC0ALQAtAC0ALQAtAC0ALQAtAC0ALQAtAC0ALQAtAC0ALQAtAC0ALQAtAC0ALQAtAC0ALQAtAC0ALQAtAC0ALQAtAC0ALQAtAC0ALQAtAC0ALQAtAC0ALQAtAC0ALQAtAC0ALQAtAC0ALQAtAC0ALQAtAFwAbgAvAC8ARABlAHMAYwByAGkAcAB0AGkAbwBuADoAXABuAC8ALwBSAGUAdAByAGkAZQB2AGUAcwAgAHIAZQBjAG8AcgBkAHMAIABmAHIAbwBtACAAYQAgAGQAaQBjAHQAaQBvAG4AYQByAHkAIAB1AHMAaQBuAGcAIABtAHUAbAB0AGkALQBrAGUAeQAgAHIAZQBnAGUAeAAgAG0AYQB0AGMAaABpAG4AZwAuAFwAbgAvAC8AUwB1AHAAcABvAHIAdABzACAAcABhAHIAdABpAGEAbAAgAG0AYQB0AGMAaABlAHMAIABhAGMAcgBvAHMAcwAgAGEAbABsACAAYwBvAGwAdQBtAG4AcwAuACAAUgBlAHQAdQByAG4AcwAgAG0AYQB0AGMAaABpAG4AZwAgAHIAbwB3AHMAIABvAHIAIABmAGEAbABsAGIAYQBjAGsAIABtAGUAcwBzAGEAZwBlAC4AXABuAFwAbgAvAC8AUABhAHIAYQBtAGUAdABlAHIAcwA6AFwAbgAvAC8AZABpAGMAdABpAG8AbgBhAHIAeQAgACAAIAAgAC0AIAAgACAAQwBvAG4AcwBvAGwAaQBkAGEAdABlACAAYQByAHIAYQB5ACAAYwByAGUAYQB0AGUAZAAgAHcAaQB0AGgAIABaAGkAcAC7AyAAbwByACAATABhAHkAZQByALsDXABuAC8ALwBrAGUAeQAgACAAIAAgACAAIAAgACAAIAAgACAALQAgACAAIABTAGUAYQByAGMAaAAgAHQAZQByAG0AKABzACkAIAB1AHMAZQBkACAAdABvACAAcgBlAHQAcgBpAGUAdgBlACAAcgBlAGMAbwByAGQAKABzACkAIABmAHIAbwBtACAAZABpAGMAdABpAG8AbgBhAHIAeQBcAG4AXABuAEcAZQB0AFIAZQBjAG8AcgBkAHMAuwMgAD0AIABcAG4ATABBAE0AQgBEAEEAKABcAG4AIAAgACAAIABkAGkAYwB0AGkAbwBuAGEAcgB5ACwAXABuACAAIAAgACAAawBlAHkALABcAG4AXABuAC8ALwBJAG4AcAB1AHQAIABjAGgAZQBjAGsAXABuAEkARgAoAE8AUgAoAEkAUwBFAFIAUgBPAFIAKABkAGkAYwB0AGkAbwBuAGEAcgB5ACkALABJAFMARQBSAFIATwBSACgAawBlAHkAKQApACwAXAAiACMAQwBoAGUAYwBrACAAaQBuAHAAdQB0AHMAIQBcACIALABcAG4AXABuAC8ALwBQAHIAbwBjAGUAZQBkAFwAbgBMAEUAVAAoAFwAbgAgACAAIAAgAHQAZQByAG0AcwAsACAAIAAgACAAIAAgACAAIAAgACAAVABFAFgAVABKAE8ASQBOACgAXAAiAHwAXAAiACwAMQAsAGsAZQB5ACkALAAgACAAIAAvAC8ATwBSACAAQwByAGkAdABlAHIAaQBhACAAZgBvAHIAIABSAGUAZwBlAHgAXABuACAAIAAgACAAbABvAGMAYQB0AGUAXwBrAGUAeQBzACwAIAAgACAAIABSAEUARwBFAFgAVABFAFMAVAAoAGQAaQBjAHQAaQBvAG4AYQByAHkALAAgAHQAZQByAG0AcwAsACAAMQApACwAXABuACAAIAAgACAAawBlAGUAcAAsACAAIAAgACAAIAAgACAAIAAgACAAIABCAFkAUgBPAFcAKABsAG8AYwBhAHQAZQBfAGsAZQB5AHMALAAgAE8AUgApACwAXABuACAAIAAgACAAcgBlAGMAbwByAGQAcwAsACAAIAAgACAAIAAgACAAIABGAEkATABUAEUAUgAoAGQAaQBjAHQAaQBvAG4AYQByAHkALAAgAGsAZQBlAHAALAAgAFwAIgBOAG8AbgBlACAAZgBvAHUAbgBkAFwAIgApACwAXABuACAAIAAgACAAcgBlAGMAbwByAGQAcwApACkAKQA7AFwAbgBcAG4ALwAvAC0ALQAtAC0ALQAtAC0ALQAtAC0ALQAtAC0ALQAtAC0ALQAtAC0ALQAtAC0ALQAtAC0ALQAtAC0ALQAtAC0ALQAtAC0ALQAtAC0ALQAtAC0ALQAtAC0ALQAtAC0ALQAtAC0ALQAtAC0ALQAtAC0ALQAtAC0ALQAtAC0ALQAtAC0ALQAtAC0ALQAtAC0ALQAtAC0ALQAtAC0ALQAtAC0ALQBcAG4ALwAvAFAAYQBpAHIAdwBpAHMAZQC7A1wAbgAvAC8ALQAtAC0ALQAtAC0ALQAtAC0ALQAtAC0ALQAtAC0ALQAtAC0ALQAtAC0ALQAtAC0ALQAtAC0ALQAtAC0ALQAtAC0ALQAtAC0ALQAtAC0ALQAtAC0ALQAtAC0ALQAtAC0ALQAtAC0ALQAtAC0ALQAtAC0ALQAtAC0ALQAtAC0ALQAtAC0ALQAtAC0ALQAtAC0ALQAtAC0ALQAtAC0ALQAtAFwAbgAvAC8ARABlAHMAYwByAGkAcAB0AGkAbwBuADoAXABuAC8ALwBDAHIAZQBhAHQAZQAgAGgAbwByAGkAegBvAG4AdABhAGwALAAgAHYAZQByAHQAaQBjAGEAbAAsACAAbwByACAAYwByAG8AcwBzACAAcAByAG8AZAB1AGMAdAAgAGEAcgByAGEAbgBnAGUAbQBlAG4AdABzACAAbwBmACAAdAB3AG8AIAB2AGUAYwB0AG8AcgBzAC4AXABuAFwAbgAvAC8AUABhAHIAYQBtAGUAdABlAHIAcwA6AFwAbgAvAC8AdgBlAGMAdABvAHIAXwAxACAAIAAtACAAIAAgAEgAbwByAGkAegBvAG4AdABhAGwAIABhAG4AZAAgAHYAZQByAHQAaQBjAGEAbAAgAHYAZQBjAHQAbwByAHMAIABhAG4AZABcAG4ALwAvAHYAZQBjAHQAbwByAF8AMgAgACAAIAAgACAAIABzAGMAYQBsAGEAcgBzACAAYQByAGUAIABhAGMAYwBlAHAAdABlAGQAIABmAG8AcgAgAHYAZQBjAHQAbwByAHMAIAAxACAAYQBuAGQAIAAyAC4AXABuAFwAbgBQAGEAaQByAHcAaQBzAGUAuwMgAD0AXABuAEwAQQBNAEIARABBACgAXABuACAAIAAgACAAdgBlAGMAdABvAHIAXwAxACwAXABuACAAIAAgACAAdgBlAGMAdABvAHIAXwAyACwAXABuAFwAbgAvAC8AQwBoAGUAYwBrACAAaQBuAHAAdQB0AHMAXABuAFYAYQBsAGkAZABhAHQAZQC7AygAdgBlAGMAdABvAHIAXwAxACwAdgBlAGMAdABvAHIAXwAyACwAXABuAFwAbgAvAC8AUAByAG8AYwBlAGUAZABcAG4ATABFAFQAKABcAG4AIAAgACAAIAAvAC8AVgBlAGMAdABvAHIAIAAxACAAZABpAG0AZQBuAHMAaQBvAG4AcwBcAG4AIAAgACAAIABpACwAUgBPAFcAUwAoAHYAZQBjAHQAbwByAF8AMQApACwAIAAgACAAIAAgACAAIAAgACAAIAAgAGoALABDAE8ATABVAE0ATgBTACgAdgBlAGMAdABvAHIAXwAxACkALABcAG4AXABuACAAIAAgACAALwAvAFYAZQBjAHQAbwByACAAMgAgAGQAaQBtAGUAbgBzAGkAbwBuAHMAXABuACAAIAAgACAAbQAsAFIATwBXAFMAKAB2AGUAYwB0AG8AcgBfADIAKQAsACAAIAAgACAAIAAgACAAIAAgACAAIABuACwAQwBPAEwAVQBNAE4AUwAoAHYAZQBjAHQAbwByAF8AMgApACwAXABuACAAIAAgACAAXABuACAAIAAgACAALwAvAE0AYQB4ACAAZABpAG0AZQBuAHMAaQBvAG4AcwBcAG4AIAAgACAAIABNAGEAeABEAGkAbQAsACAAIAAgACAAIAAgACAAIAAgACAAIAAgACAAIAAgACAAIAAgACAAIAAgAE0AQQBYACgAaQAsAG0ALABqACwAbgApACwAXABuAFwAbgAgACAAIAAgAC8ALwBDAGEAcgB0AGUAcwBpAGEAbgAgAG0AZQBzAGgAIABmAG8AcgAgAHAAcgBvAGQAdQBjAHQAIAAtACAAZABlAGYAZQByAHIAZQBkAFwAbgAgACAAIAAgAHIALABMAEEATQBCAEQAQQAoAFMARQBRAFUARQBOAEMARQAoAE0AYQB4AEQAaQBtACkAKgBTAEUAUQBVAEUATgBDAEUAKAAsAE0AYQB4AEQAaQBtACwAMQAsADAAKQApACwAXABuACAAIAAgACAAXABuACAAIAAgACAAYwAsAEwAQQBNAEIARABBACgAVABSAEEATgBTAFAATwBTAEUAKAByACgAKQApACkALABcAG4AXABuACAAIAAgACAALwAvAFYAZQBjAHQAbwByACAAZABpAHIAZQBjAHQAaQBvAG4AYQBsACAAYwBoAGUAYwBrAHMAXABuACAAIAAgACAASQBzAFYAZQByAHQAaQBjAGEAbABfADEAPwAsAGkAPgBqACwAIAAgACAAIAAgACAAIAAgACAAIABJAHMAVgBlAHIAdABpAGMAYQBsAF8AMgA/ACwAbQA+AG4ALABcAG4AXABuACAAIAAgACAALwAvAFMAYwBhAGwAYQByACAAYwBoAGUAYwBrAHMAXABuACAAIAAgACAASQBzAFMAYwBhAGwAYQByAF8AMQA/ACwAKABpAD0AMQApACoAKABqAD0AMQApACwAIAAgACAAIABJAHMAUwBjAGEAbABhAHIAXwAyAD8ALAAoAG0APQAxACkAKgAoAG4APQAxACkALABcAG4AXABuACAAIAAgACAASQBzAFMAYwBhAGwAYQByAF8AUABhAGkAcgA/ACwAKABJAHMAUwBjAGEAbABhAHIAXwAxAD8AKQArACgASQBzAFMAYwBhAGwAYQByAF8AMgA/ACkALABcAG4AXABuACAAIAAgACAALwAvAFMAYwBhAGwAYQByACAAZQB4AHAAYQBuAHMAaQBvAG4AXABuACAAIAAgACAARQB4AHAAYQBuAGQAUwBjAGEAbABhAHIAuwMsACAAIAAgACAAIAAgACAAIAAgACAAIAAgACAAIABMAEEATQBCAEQAQQAoAHMAYwBhAGwAYQByACwAIABzAGgAYQBwAGUAXwByAGUAZgAsAFwAbgAgACAAIAAgACAAIAAgACAAIAAgACAAIAAgACAAIAAgACAAIAAgACAAIAAgACAAIAAgACAAIAAgACAAIAAgACAASQBGACgAUgBPAFcAUwAoAHMAaABhAHAAZQBfAHIAZQBmACkAIAA+ACAAQwBPAEwAVQBNAE4AUwAoAHMAaABhAHAAZQBfAHIAZQBmACkALABcAG4AIAAgACAAIAAgACAAIAAgACAAIAAgACAAIAAgACAAIAAgACAAIAAgACAAIAAgACAAIAAgACAAIAAgACAAIAAgAEUAWABQAEEATgBEACgAcwBjAGEAbABhAHIALAAgAFIATwBXAFMAKABzAGgAYQBwAGUAXwByAGUAZgApACwAIAAsACAAcwBjAGEAbABhAHIAKQAsAFwAbgAgACAAIAAgACAAIAAgACAAIAAgACAAIAAgACAAIAAgACAAIAAgACAAIAAgACAAIAAgACAAIAAgACAAIAAgACAARQBYAFAAQQBOAEQAKABzAGMAYQBsAGEAcgAsACAALAAgAEMATwBMAFUATQBOAFMAKABzAGgAYQBwAGUAXwByAGUAZgApACwAIABzAGMAYQBsAGEAcgApACkAKQAsAFwAbgBcAG4AIAAgACAAIABcAG4AIAAgACAAIAAvAC8AUwBoAGEAcABlAHMAIABmAG8AcgAgADUAIABvAHUAdABjAG8AbQBlAHMAXABuACAAIAAgACAAVgBlAHIAdABpAGMAYQBsACwAIAAgACAAIAAgACAAIAAgACAAIAAxACAAKgAgACgASQBzAFYAZQByAHQAaQBjAGEAbABfADEAPwApACoAKABJAHMAVgBlAHIAdABpAGMAYQBsAF8AMgA/ACkALABcAG4AXABuACAAIAAgACAAQwByAG8AcwBzACwAIAAgACAAIAAgACAAIAAgACAAIAAgACAAIAAyACAAKgAgACgATgBPAFQAKABJAHMAUwBjAGEAbABhAHIAXwBQAGEAaQByAD8AKQApACoAWABPAFIAKABOAE8AVAAoAEkAcwBWAGUAcgB0AGkAYwBhAGwAXwAxAD8AKQAsAE4ATwBUACgASQBzAFYAZQByAHQAaQBjAGEAbABfADIAPwApACkALABcAG4AXABuACAAIAAgACAASABvAHIAaQB6AG8AbgB0AGEAbAAsACAAIAAgACAAIAAgACAAIAAzACAAKgAgACgATgBPAFQAKABJAHMAVgBlAHIAdABpAGMAYQBsAF8AMQA/ACkAKQAqACgATgBPAFQAKABJAHMAVgBlAHIAdABpAGMAYQBsAF8AMgA/ACkAKQAsAFwAbgAgACAAIAAgAFwAbgAgACAAIAAgAFMAYwBhAGwAYQByAFYAZQByAHQAaQBjAGEAbAAsACAAIAAgACAASQBGACgASQBzAFMAYwBhAGwAYQByAF8AUABhAGkAcgA/ACwASQBGACgATwBSACgASQBzAFYAZQByAHQAaQBjAGEAbABfADEAPwAsAEkAcwBWAGUAcgB0AGkAYwBhAGwAXwAyAD8AKQAsADQALAAwACkAKQAsAFwAbgAgACAAIAAgAFwAbgAgACAAIAAgAFMAYwBhAGwAYQByAEgAbwByAGkAegBvAG4AdABhAGwALAAgACAASQBGACgASQBzAFMAYwBhAGwAYQByAF8AUABhAGkAcgA/ACwASQBGACgASABvAHIAaQB6AG8AbgB0AGEAbAAsADUALAAwACkAKQAsAFwAbgBcAG4AIAAgACAAIAAvAC8AUwBoAGEAcABlACAAcwBlAGwAZQBjAHQAaQBvAG4AXABuACAAIAAgACAAawAsAE0AQQBYACgAVgBlAHIAdABpAGMAYQBsACwAQwByAG8AcwBzACwASABvAHIAaQB6AG8AbgB0AGEAbAAsAFMAYwBhAGwAYQByAFYAZQByAHQAaQBjAGEAbAAsAFMAYwBhAGwAYQByAEgAbwByAGkAegBvAG4AdABhAGwAKQAsAFwAbgBcAG4AIAAgACAAIAAvAC8AVgBlAGMAdABvAHIAIABzAGUAbABlAGMAdABpAG8AbgBcAG4AIAAgACAAIABhACwAIAAgACAAIAAgACAAIAAgACAAIAAgACAAIAAgACAAIAAgACAATABBAE0AQgBEAEEAKABJAEYAKABJAHMAUwBjAGEAbABhAHIAXwAxAD8ALAAgAEUAeABwAGEAbgBkAFMAYwBhAGwAYQByALsDKAB2AGUAYwB0AG8AcgBfADEALAAgAHYAZQBjAHQAbwByAF8AMgApACwAXABuACAAIAAgACAAIAAgACAAIAAgACAAIAAgACAAIAAgACAAIAAgACAAIAAgACAAIAAgACAAIAAgACAAIAAgACAASQBGACgAQwByAG8AcwBzACwAIABJAEYAKABJAHMAVgBlAHIAdABpAGMAYQBsAF8AMQA/ACwAIAB2AGUAYwB0AG8AcgBfADIALAAgAHYAZQBjAHQAbwByAF8AMQApACwAIAB2AGUAYwB0AG8AcgBfADEAKQApACkALABcAG4AIAAgACAAIABcAG4AIAAgACAAIABiACwAIAAgACAAIAAgACAAIAAgACAAIAAgACAAIAAgACAAIAAgACAATABBAE0AQgBEAEEAKABJAEYAKABJAHMAUwBjAGEAbABhAHIAXwAyAD8ALAAgAEUAeABwAGEAbgBkAFMAYwBhAGwAYQByALsDKAB2AGUAYwB0AG8AcgBfADIALAAgAHYAZQBjAHQAbwByAF8AMQApACwAXABuACAAIAAgACAAIAAgACAAIAAgACAAIAAgACAAIAAgACAAIAAgACAAIAAgACAAIAAgACAAIAAgACAAIAAgACAASQBGACgAQwByAG8AcwBzACwAIABJAEYAKABJAHMAVgBlAHIAdABpAGMAYQBsAF8AMgA/ACwAIAB2AGUAYwB0AG8AcgBfADIALAAgAHYAZQBjAHQAbwByAF8AMQApACwAIAB2AGUAYwB0AG8AcgBfADIAKQApACkALABcAG4AXABuACAAIAAgACAALwAvAE8AdQB0AGMAbwBtAGUAcwAgAC0AIABkAGUAZgBlAHIAcgBlAGQAIAB1AG4AdABpAGwAIABzAGUAbABlAGMAdABpAG8AbgBcAG4AIAAgACAAIABpAG4AdABlAHIAbABlAGEAdgBlAF8AdgBlAHIAdABpAGMAYQBsACwAIAAgACAAIABMAEEATQBCAEQAQQAoAFQATwBDAE8ATAAoAEgAUwBUAEEAQwBLACgAYQAoACkALABiACgAKQApACkAKQAsAFwAbgBcAG4AIAAgACAAIABpAG4AdABlAHIAbABlAGEAdgBlAF8AaABvAHIAaQB6AG8AbgB0AGEAbAAsACAAIABMAEEATQBCAEQAQQAoAFQATwBSAE8AVwAoAFYAUwBUAEEAQwBLACgAYQAoACkALABiACgAKQApACwALAAxACkAKQAsAFwAbgBcAG4AIAAgACAAIABjAHIAbwBzAHMAXwBwAHIAbwBkAHUAYwB0ACwAIAAgACAAIAAgACAAIAAgACAAIABMAEEATQBCAEQAQQAoAEgAUwBUAEEAQwBLACgAVABPAEMATwBMACgASQBOAEQARQBYACgAYQAoACkALAByACgAKQApACkALABcAG4AIAAgACAAIAAgACAAIAAgACAAIAAgACAAIAAgACAAIAAgACAAIAAgACAAIAAgACAAIAAgACAAIAAgACAAIAAgAFQATwBDAE8ATAAoAEkATgBEAEUAWAAoAGIAKAApACwAYwAoACkAKQApACkAKQAsAFwAbgBcAG4AIAAgACAAIABzAGMAYQBsAGEAcgBfAGgAcwB0AGEAYwBrACwAIAAgACAAIAAgACAAIAAgACAAIABMAEEATQBCAEQAQQAoAEgAUwBUAEEAQwBLACgAYQAoACkALABiACgAKQApACkALABcAG4AXABuACAAIAAgACAAcwBjAGEAbABhAHIAXwB2AHMAdABhAGMAawAsACAAIAAgACAAIAAgACAAIAAgACAATABBAE0AQgBEAEEAKABWAFMAVABBAEMASwAoAGEAKAApACwAYgAoACkAKQApACwAXABuACAAIAAgACAAXABuACAAIAAgACAALwAvAFAAYQBpAHIAdwBpAHMAZQAgAHMAZQBsAGUAYwB0AGkAbwBuAFwAbgAgACAAIAAgAG8AdQB0AGMAbwBtAGUALAAgACAAIAAgACAAIAAgACAAIAAgACAAIAAgACAAIAAgAEMASABPAE8AUwBFACgAawAsAGkAbgB0AGUAcgBsAGUAYQB2AGUAXwB2AGUAcgB0AGkAYwBhAGwAKAApACwAYwByAG8AcwBzAF8AcAByAG8AZAB1AGMAdAAoACkALABcAG4AIAAgACAAIAAgACAAIAAgACAAIAAgACAAIAAgACAAIAAgACAAIAAgACAAIAAgACAAIAAgACAAIABpAG4AdABlAHIAbABlAGEAdgBlAF8AaABvAHIAaQB6AG8AbgB0AGEAbAAoACkALABzAGMAYQBsAGEAcgBfAGgAcwB0AGEAYwBrACgAKQAsAHMAYwBhAGwAYQByAF8AdgBzAHQAYQBjAGsAKAApACkALABcAG4AXABuACAAIAAgACAAbwB1AHQAYwBvAG0AZQBcAG4AKQApACkAOwBcAG4AXABuAC8ALwAtAC0ALQAtAC0ALQAtAC0ALQAtAC0ALQAtAC0ALQAtAC0ALQAtAC0ALQAtAC0ARQByAHIAbwByACAAaABhAG4AZABsAGkAbgBnAC0ALQAtAC0ALQAtAC0ALQAtAC0ALQAtAC0ALQAtAC0ALQAtAC0ALQAtAC0ALQAtAC0ALQAtAC0ALQAtAC0ALQAtAC0ALQAtAC0ALQAtAC0ALQAtAC0ALQAtAC0ALQAtAFwAbgAvAC8ARABlAHMAYwByAGkAcAB0AGkAbwBuADoAXABuAC8ALwBDAGgAZQBjAGsAIABpAG4AcAB1AHQAcwAgAGYAbwByACAAUABhAGkAcgB3AGkAcwBlALsDLgBcAG4AXABuAFYAYQBsAGkAZABhAHQAZQC7AyAAPQBcAG4ATABBAE0AQgBEAEEAKABcAG4AIAAgACAAIAB2AGUAYwB0AG8AcgBfADEALABcAG4AIAAgACAAIAB2AGUAYwB0AG8AcgBfADIALABcAG4AIAAgACAAIABvAG4AXwB2AGEAbABpAGQALABcAG4AXABuAEwARQBUACgAXABuACAAIAAgACAALwAvAEQAaQBtAGUAbgBzAGkAbwBuAHMAIABvAGYAIAB2AGUAYwB0AG8AcgBzAFwAbgAgACAAIAAgAGkALAAgAFIATwBXAFMAKAB2AGUAYwB0AG8AcgBfADEAKQAsACAAIAAgACAAagAsACAAQwBPAEwAVQBNAE4AUwAoAHYAZQBjAHQAbwByAF8AMQApACwAXABuACAAIAAgACAAbQAsACAAUgBPAFcAUwAoAHYAZQBjAHQAbwByAF8AMgApACwAIAAgACAAIABuACwAIABDAE8ATABVAE0ATgBTACgAdgBlAGMAdABvAHIAXwAyACkALABcAG4AIAAgACAAIABNAGEAeABEAGkAbQAsAE0AQQBYACgAaQAsAGoALABtACwAbgApACwAXABuACAAIAAgACAAXABuACAAIAAgACAALwAvAEMAaABlAGMAawBzAFwAbgAgACAAIAAgAEkAcwBTAGMAYQBsAGEAcgBQAGEAaQByAD8ALAAgACAAIAAgACAAIAAgACAAQQBOAEQAKABpAD0AMQAsAGoAPQAxACwAbQA9ADEALABuAD0AMQApACwAXABuACAAIAAgACAATgBvAHQAUwBjAGEAbABhAHIALAAgACAAIAAgACAAIAAgACAAIAAgACAAIABOAE8AVAAoAFgATwBSACgAaQAqAGoAPQAxACwAbQAqADEAPQAxACkAKQAsAFwAbgAgACAAIAAgAEkAcwBDAHIAbwBzAHMAUAByAG8AZAB1AGMAdAA/ACwAIAAgACAAIAAgACAAKABOAG8AdABTAGMAYQBsAGEAcgApACoAWABPAFIAKABOAE8AVAAoAGkAPgBqACkALABOAE8AVAAoAG0APgBuACkAKQAsAFwAbgAgACAAIAAgAFMAaABhAHAAZQBNAGkAcwBtAGEAdABjAGgALAAgACAAIAAgACAAIAAgACAAKABOAG8AdABTAGMAYQBsAGEAcgApACoAKABOAE8AVAAoAFgATwBSACgAaQAgAD0AIABtACwAIABpACAAPQAgAG4AKQApACkALABcAG4AIAAgACAAIABTAHAAaQBsAGwAUgBpAHMAawBfAFYAZQByAHQAaQBjAGEAbAAsACAAIAAgAEEATgBEACgATgBvAHQAUwBjAGEAbABhAHIALABJAHMAQwByAG8AcwBzAFAAcgBvAGQAdQBjAHQAPwAsAE0AYQB4AEQAaQBtAF4AMgA+AD0AMQAwADIANABeADIAKQAsACAAIAAgACAAIAAgACAAIAAgACAALwAvAHIAbwB3ACAAbABpAG0AaQB0AFwAbgAgACAAIAAgAFMAcABpAGwAbABSAGkAcwBrAF8ASABvAHIAaQB6AG8AbgB0AGEAbAAsACAAQQBOAEQAKABOAG8AdABTAGMAYQBsAGEAcgAsAE4ATwBUACgASQBzAEMAcgBvAHMAcwBQAHIAbwBkAHUAYwB0AD8AKQAsACAAMgAgACoAIABNAGEAeABEAGkAbQAgAD4APQAgADEANgAzADgANAApACwAIAAvAC8AYwBvAGwAdQBtAG4AIABsAGkAbQBpAHQAXABuAFwAbgAgACAAIAAgAC8ALwBMAG8AZwBpAGMAIABnAGEAdABlAFwAbgAgACAAIAAgACAAIAAgACAAXABuACAAIAAgACAASQBGACgASQBzAFMAYwBhAGwAYQByAFAAYQBpAHIAPwAsAG8AbgBfAHYAYQBsAGkAZAAsAFwAbgAgACAAIAAgAEkARgAoAFMAcABpAGwAbABSAGkAcwBrAF8AVgBlAHIAdABpAGMAYQBsACwAXAAiACMAUwBQAEkATABMAC0AUgBJAFMASwAhAFwAIgAsAFwAbgAgACAAIAAgAEkARgAoAFMAcABpAGwAbABSAGkAcwBrAF8ASABvAHIAaQB6AG8AbgB0AGEAbAAsAFwAIgBTAFAASQBMAEwALQBSAEkAUwBLAFwAIgAsAFwAbgAgACAAIAAgAEkARgAoAFMAaABhAHAAZQBNAGkAcwBtAGEAdABjAGgALAAgAFwAIgAjAEQASQBNAEUATgBTAEkATwBOAFMAIQBcACIALABcAG4AIAAgACAAIABcAG4AIAAgACAAIABvAG4AXwB2AGEAbABpAGQAKQApACkAKQApACkAOwBcAG4AXABuAC8ALwAtAC0ALQAtAC0ALQAtAC0ALQAtAE4AYQBtAGUAZAAgAGkAdABlAG0AcwAtAC0ALQAtAC0ALQAtAC0ALQAtAC0ALQAtAC0ALQAtAC0ALQAtAC0ALQAtAC0ALQAtAC0ALQAtAC0ALQAtAC0ALQAtAC0ALQAtAC0ALQAtAC0ALQAtAC0ALQAtAC0ALQAtAC0AXABuAFwAbgAvAC8ARABpAGMAdABpAG8AbgBhAHIAeQAgAHUAcwBlAGQAIAB0AG8AIABkAGUAbQBvACAARwBlAHQAUgBlAGMAbwByAGQAcwC7AywAXABuAEQAaQByAGUAYwB0AG8AcgB5ACAAPQAgAEwAYQB5AGUAcgC7AygASQBEACwAQQBnAGUAbgB0ACwARABlAHAAYQByAHQAbQBlAG4AdAAsAEMAaQB0AHkALAAxACkAOwBcAG4AXABuAC8ALwBEAHkAbgBhAG0AaQBjACAAbABpAHMAdAAgAG8AZgAgAHMAZQBhAHIAYwBoACAAdABlAHIAbQBzAFwAbgBTAGUAYQByAGMAaABUAGUAcgBtAHMAIAA9AEQAaQBjAHQAaQBvAG4AYQByAHkAIQAkAEgAJAAyADAAOgAuACQASAAkADUAMABcAG4AXABuADsAXABuAFwAbgAiAH0AXQAsACIAcAByAG8AagBlAGMAdABOAGEAbQBlAHMAIgA6AFsAIgBDAG8AbQBwAG8AcwBlALsDIgAsACIAWgBpAHAAuwMiACwAIgBMAGEAeQBlAHIAuwMiACwAIgBHAGUAdABSAGUAYwBvAHIAZABzALsDIgAsACIAUABhAGkAcgB3AGkAcwBlALsDIgAsACIAVgBhAGwAaQBkAGEAdABlALsDIgAsACIARABpAHIAZQBjAHQAbwByAHkAIgAsACIAUwBlAGEAcgBjAGgAVABlAHIAbQ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TQBE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25BEA500-AFE9-42F5-8A45-1A947AEF64EF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Introduction</vt:lpstr>
      <vt:lpstr>Layer_Zip</vt:lpstr>
      <vt:lpstr>Dictionary</vt:lpstr>
      <vt:lpstr>Pairwise</vt:lpstr>
      <vt:lpstr>Function_Errors</vt:lpstr>
      <vt:lpstr>Agent</vt:lpstr>
      <vt:lpstr>brand</vt:lpstr>
      <vt:lpstr>City</vt:lpstr>
      <vt:lpstr>clothing</vt:lpstr>
      <vt:lpstr>colors</vt:lpstr>
      <vt:lpstr>Department</vt:lpstr>
      <vt:lpstr>ID</vt:lpstr>
      <vt:lpstr>letters</vt:lpstr>
      <vt:lpstr>locations</vt:lpstr>
      <vt:lpstr>numbers</vt:lpstr>
      <vt:lpstr>things</vt:lpstr>
      <vt:lpstr>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Hogan</dc:creator>
  <cp:lastModifiedBy>Patrick Hogan</cp:lastModifiedBy>
  <dcterms:created xsi:type="dcterms:W3CDTF">2025-10-05T14:58:47Z</dcterms:created>
  <dcterms:modified xsi:type="dcterms:W3CDTF">2025-11-07T18:30:39Z</dcterms:modified>
</cp:coreProperties>
</file>