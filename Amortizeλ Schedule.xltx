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atrickHogan\OneDrive - Alithya\Documents\Custom Office Templates\"/>
    </mc:Choice>
  </mc:AlternateContent>
  <xr:revisionPtr revIDLastSave="0" documentId="8_{4320D868-88AB-4B91-88F6-AC19EDAA2198}" xr6:coauthVersionLast="47" xr6:coauthVersionMax="47" xr10:uidLastSave="{00000000-0000-0000-0000-000000000000}"/>
  <bookViews>
    <workbookView xWindow="28680" yWindow="-120" windowWidth="29040" windowHeight="15720" xr2:uid="{BAD09C18-4EDD-4285-91BA-D4A816C25B9C}"/>
  </bookViews>
  <sheets>
    <sheet name="Introduction" sheetId="9" r:id="rId1"/>
    <sheet name="Schedule" sheetId="1" r:id="rId2"/>
  </sheets>
  <definedNames>
    <definedName name="Amortizeλ">_xlfn.LAMBDA(_xlpm.principal_amount,_xlpm.interest_rate,_xlpm.duration_years,_xlop.payments_per_year, IF(_xlfn.SINGLE(_xlpm.principal_amount) &lt;= 0, "#PRINCIPAL!", IF(_xlpm.interest_rate &lt;= 0, "#INTEREST!", IF(_xlpm.interest_rate &gt; 1, "#INTEREST!", IF(_xlpm.duration_years &lt; 1, "#DURATION!", _xlfn.LET(_xlpm.payments_per_year, IF(OR(_xlfn.ISOMITTED(_xlpm.payments_per_year), _xlpm.payments_per_year &lt; 1, _xlpm.payments_per_year &gt; 52), 12, _xlpm.payments_per_year), _xlpm.payment, ABS(PMT(_xlpm.interest_rate / _xlpm.payments_per_year, _xlpm.duration_years * _xlpm.payments_per_year, _xlfn.SINGLE(_xlpm.principal_amount))), _xlpm.last_balance, _xlfn.TAKE(_xlpm.principal_amount, -1, -1), _xlpm.interest_amount, _xlpm.last_balance * (_xlpm.interest_rate / _xlpm.payments_per_year), _xlpm.principal, _xlpm.payment - _xlpm.interest_amount, _xlpm.balance, IF(ABS(_xlpm.last_balance - _xlpm.principal) &lt;= 0.01, 0, _xlpm.last_balance - _xlpm.principal), _xlpm.acc, _xlfn.VSTACK(_xlpm.principal_amount, _xlfn.HSTACK(_xlpm.payment, _xlpm.interest_amount, _xlpm.principal, _xlpm.balance)), IF(MIN(_xlpm.balance) &lt;= 0, _xlfn.VSTACK({"Payment#","Payment","Interest","Principal","Balance"}, _xlfn.HSTACK(_xlfn.SEQUENCE(ROWS(_xlpm.acc) - 1), _xlfn.DROP(_xlpm.acc, 1))), Amortizeλ(_xlfn.VSTACK(_xlpm.principal_amount, _xlfn.HSTACK(_xlpm.payment, _xlpm.interest_amount, _xlpm.principal, _xlpm.balance)), _xlpm.interest_rate, _xlpm.duration_years, _xlpm.payments_per_year))))))))</definedName>
    <definedName name="InterestRate">Schedule!$C$5</definedName>
    <definedName name="LoanAmount">Schedule!$C$4</definedName>
    <definedName name="LoanYears">Schedule!$C$6</definedName>
    <definedName name="PaymentsPerYear">Schedule!$C$7</definedName>
    <definedName name="Summaryλ">_xlfn.LAMBDA(_xlpm.loan_schedule, _xlfn.LET(_xlpm.header, {"Total payments","Sum of payments","Total interest","Total principal"}, _xlpm.payment_no, _xlfn.TAKE(_xlfn.DROP(_xlpm.loan_schedule, 1), , 1), _xlpm.schedule_details, _xlfn.DROP(_xlfn.DROP(_xlpm.loan_schedule, 1, 1), , -1), _xlpm.a, COUNT(_xlpm.payment_no), _xlpm.b, _xlfn.BYCOL(_xlpm.schedule_details, _xleta.SUM), _xlpm.delivery, _xlfn.VSTACK(_xlpm.header, _xlfn.HSTACK(_xlpm.a, _xlpm.b)), IFERROR(_xlpm.delivery, " - 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 a="1"/>
  <c r="C14" i="1" s="1"/>
  <c r="E4" i="1" s="1" a="1"/>
  <c r="E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<sst xmlns="http://schemas.openxmlformats.org/spreadsheetml/2006/main" count="24" uniqueCount="23">
  <si>
    <t>Inputs:</t>
  </si>
  <si>
    <t>principal_amount</t>
  </si>
  <si>
    <t>duration_years</t>
  </si>
  <si>
    <t>interest_rate</t>
  </si>
  <si>
    <t>duration (years):</t>
  </si>
  <si>
    <t>payments per year:</t>
  </si>
  <si>
    <t>principal amount:</t>
  </si>
  <si>
    <t>interest rate:</t>
  </si>
  <si>
    <t>[payments_per_year]</t>
  </si>
  <si>
    <t>Initial loan amount</t>
  </si>
  <si>
    <t>Annual interest rate as decimal (e.g., 6% → 0.06)</t>
  </si>
  <si>
    <t>Loan duration in years (minimum 1)</t>
  </si>
  <si>
    <t>Function argument</t>
  </si>
  <si>
    <t>Description</t>
  </si>
  <si>
    <t>Error</t>
  </si>
  <si>
    <t>#PRINCIPAL!</t>
  </si>
  <si>
    <t>#INTEREST!</t>
  </si>
  <si>
    <t>#DURATION!</t>
  </si>
  <si>
    <t>The amount provided is less than or equal to 0.</t>
  </si>
  <si>
    <t>The interest rate provided is less than or equal to zero or greater than 1.</t>
  </si>
  <si>
    <t>The duration provided is less than 1.</t>
  </si>
  <si>
    <t>Optional: total payments per year (defaults to 12; valid range: 1–52)</t>
  </si>
  <si>
    <t>Input&gt;&gt;&gt;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</si>
</sst>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&quot;$&quot;#,##0.00_);[Red]\(&quot;$&quot;#,##0.00\)"/>
    <numFmt numFmtId="43" formatCode="_(* #,##0.00_);_(* \(#,##0.00\);_(* &quot;-&quot;??_);_(@_)"/>
  </numFmts>
  <fonts count="7" x14ac:knownFonts="1">
    <font>
      <sz val="11"/>
      <color theme="1"/>
      <name val="Aptos Mono"/>
      <family val="2"/>
    </font>
    <font>
      <sz val="11"/>
      <color theme="1"/>
      <name val="Aptos Mono"/>
      <family val="2"/>
    </font>
    <font>
      <sz val="11"/>
      <color theme="1"/>
      <name val="Segoe UI"/>
      <family val="2"/>
    </font>
    <font>
      <b/>
      <sz val="11"/>
      <color theme="9"/>
      <name val="Segoe UI"/>
      <family val="2"/>
    </font>
    <font>
      <b/>
      <sz val="11"/>
      <color theme="1"/>
      <name val="Segoe UI"/>
      <family val="2"/>
    </font>
    <font>
      <b/>
      <i/>
      <sz val="11"/>
      <color theme="1" tint="0.499984740745262"/>
      <name val="Segoe UI"/>
      <family val="2"/>
    </font>
    <font>
      <b/>
      <u/>
      <sz val="11"/>
      <color theme="1" tint="0.499984740745262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D9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B7CCE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horizontal="center"/>
    </xf>
    <xf numFmtId="43" fontId="2" fillId="0" borderId="0" xfId="1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1" applyNumberFormat="1" applyFont="1"/>
    <xf numFmtId="8" fontId="2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1" applyNumberFormat="1" applyFont="1" applyAlignment="1">
      <alignment horizontal="center"/>
    </xf>
    <xf numFmtId="43" fontId="4" fillId="0" borderId="0" xfId="1" applyFont="1"/>
    <xf numFmtId="43" fontId="2" fillId="0" borderId="0" xfId="1" applyFont="1" applyAlignment="1">
      <alignment horizontal="center"/>
    </xf>
    <xf numFmtId="0" fontId="2" fillId="0" borderId="0" xfId="1" applyNumberFormat="1" applyFont="1" applyAlignment="1">
      <alignment horizontal="center"/>
    </xf>
    <xf numFmtId="0" fontId="2" fillId="0" borderId="0" xfId="0" applyFont="1" applyAlignment="1">
      <alignment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6" fillId="0" borderId="0" xfId="1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39" fontId="2" fillId="0" borderId="0" xfId="1" applyNumberFormat="1" applyFont="1" applyAlignment="1">
      <alignment horizontal="center"/>
    </xf>
    <xf numFmtId="0" fontId="5" fillId="0" borderId="0" xfId="0" applyFont="1" applyAlignment="1">
      <alignment horizontal="right"/>
    </xf>
    <xf numFmtId="10" fontId="2" fillId="3" borderId="1" xfId="2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3" fontId="2" fillId="2" borderId="1" xfId="0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9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2F0D9"/>
        </patternFill>
      </fill>
    </dxf>
    <dxf>
      <fill>
        <patternFill>
          <bgColor rgb="FFA9D18E"/>
        </patternFill>
      </fill>
    </dxf>
  </dxfs>
  <tableStyles count="1" defaultTableStyle="TableStyleMedium2" defaultPivotStyle="PivotStyleLight16">
    <tableStyle name="Invisible" pivot="0" table="0" count="0" xr9:uid="{24F97B0E-DAB4-4CD2-AD44-69900FB18D73}"/>
  </tableStyles>
  <colors>
    <mruColors>
      <color rgb="FF196B24"/>
      <color rgb="FFA9D18E"/>
      <color rgb="FFE2F0D9"/>
      <color rgb="FFFFFFFF"/>
      <color rgb="FFB7CCE2"/>
      <color rgb="FFF8CBAD"/>
      <color rgb="FFF2F2F2"/>
      <color rgb="FFF6ADC6"/>
      <color rgb="FFFF9999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chedul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352425</xdr:colOff>
      <xdr:row>0</xdr:row>
      <xdr:rowOff>123825</xdr:rowOff>
    </xdr:from>
    <xdr:to>
      <xdr:col>6</xdr:col>
      <xdr:colOff>425450</xdr:colOff>
      <xdr:row>19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68987E-5D26-45B4-96D9-7C5740E3FB63}"/>
            </a:ext>
          </a:extLst>
        </xdr:cNvPr>
        <xdr:cNvSpPr txBox="1"/>
      </xdr:nvSpPr>
      <xdr:spPr>
        <a:xfrm>
          <a:off x="1111250" y="120650"/>
          <a:ext cx="8832850" cy="3886200"/>
        </a:xfrm>
        <a:prstGeom prst="rect">
          <a:avLst/>
        </a:prstGeom>
        <a:solidFill>
          <a:srgbClr val="FFFFFF"/>
        </a:solidFill>
        <a:ln w="9525" cmpd="sng"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500" b="0">
              <a:solidFill>
                <a:schemeClr val="accent3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Amortize</a:t>
          </a:r>
          <a:r>
            <a:rPr lang="el-GR" sz="9500" b="0">
              <a:solidFill>
                <a:schemeClr val="accent3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λ</a:t>
          </a:r>
          <a:endParaRPr lang="en-US" sz="9500" b="0">
            <a:solidFill>
              <a:schemeClr val="accent3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i="1"/>
            <a:t>Plug-and-play Lambda for recursive amortization</a:t>
          </a:r>
          <a:endParaRPr lang="el-GR" sz="1800" b="0" i="1">
            <a:solidFill>
              <a:schemeClr val="accent3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endParaRPr lang="en-US" sz="1800">
            <a:latin typeface="Consolas" panose="020B0609020204030204" pitchFamily="49" charset="0"/>
          </a:endParaRPr>
        </a:p>
        <a:p>
          <a:r>
            <a:rPr lang="en-US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Amortize</a:t>
          </a:r>
          <a:r>
            <a:rPr lang="el-GR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λ </a:t>
          </a:r>
          <a:r>
            <a:rPr lang="en-US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generates a full amortization schedule recursively.</a:t>
          </a:r>
          <a:r>
            <a:rPr lang="en-US" sz="1800" b="0" baseline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 </a:t>
          </a:r>
        </a:p>
        <a:p>
          <a:r>
            <a:rPr lang="en-US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Inputs: principal amount, annual interest rate, and loan duration in years.</a:t>
          </a:r>
        </a:p>
        <a:p>
          <a:r>
            <a:rPr lang="en-US" sz="18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Each row includes: payment, interest, principal, and remaining balance</a:t>
          </a:r>
          <a:r>
            <a:rPr lang="en-US" sz="1100" b="0">
              <a:solidFill>
                <a:schemeClr val="dk1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.</a:t>
          </a:r>
        </a:p>
        <a:p>
          <a:endParaRPr lang="en-US" sz="1100" b="0">
            <a:solidFill>
              <a:schemeClr val="dk1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r>
            <a:rPr lang="en-US" sz="2000" b="0">
              <a:solidFill>
                <a:schemeClr val="accent3"/>
              </a:solidFill>
              <a:effectLst/>
              <a:latin typeface="Consolas" panose="020B0609020204030204" pitchFamily="49" charset="0"/>
              <a:ea typeface="+mn-ea"/>
              <a:cs typeface="+mn-cs"/>
            </a:rPr>
            <a:t>=</a:t>
          </a:r>
          <a:r>
            <a:rPr lang="en-US" sz="2000" b="0">
              <a:solidFill>
                <a:schemeClr val="accent3"/>
              </a:solidFill>
              <a:effectLst/>
              <a:latin typeface="+mn-lt"/>
              <a:ea typeface="+mn-ea"/>
              <a:cs typeface="+mn-cs"/>
            </a:rPr>
            <a:t>Amortize</a:t>
          </a:r>
          <a:r>
            <a:rPr lang="el-GR" sz="2000" b="0">
              <a:solidFill>
                <a:schemeClr val="accent3"/>
              </a:solidFill>
              <a:effectLst/>
              <a:latin typeface="+mn-lt"/>
              <a:ea typeface="+mn-ea"/>
              <a:cs typeface="+mn-cs"/>
            </a:rPr>
            <a:t>λ </a:t>
          </a:r>
          <a:r>
            <a:rPr lang="en-US" sz="2000" b="0">
              <a:solidFill>
                <a:schemeClr val="accent3"/>
              </a:solidFill>
              <a:effectLst/>
              <a:latin typeface="+mn-lt"/>
              <a:ea typeface="+mn-ea"/>
              <a:cs typeface="+mn-cs"/>
            </a:rPr>
            <a:t>(principal_amount,interest_rate,duration_years,[payments_per_year]</a:t>
          </a:r>
          <a:endParaRPr lang="en-US" sz="2000" b="0">
            <a:solidFill>
              <a:schemeClr val="accent3"/>
            </a:solidFill>
            <a:effectLst/>
            <a:latin typeface="Consolas" panose="020B0609020204030204" pitchFamily="49" charset="0"/>
            <a:ea typeface="+mn-ea"/>
            <a:cs typeface="+mn-cs"/>
          </a:endParaRPr>
        </a:p>
        <a:p>
          <a:endParaRPr lang="en-US" sz="1100">
            <a:latin typeface="Consolas" panose="020B0609020204030204" pitchFamily="49" charset="0"/>
          </a:endParaRPr>
        </a:p>
      </xdr:txBody>
    </xdr:sp>
    <xdr:clientData/>
  </xdr:twoCellAnchor>
  <xdr:twoCellAnchor editAs="absolute">
    <xdr:from>
      <xdr:col>5</xdr:col>
      <xdr:colOff>692150</xdr:colOff>
      <xdr:row>24</xdr:row>
      <xdr:rowOff>19050</xdr:rowOff>
    </xdr:from>
    <xdr:to>
      <xdr:col>7</xdr:col>
      <xdr:colOff>692150</xdr:colOff>
      <xdr:row>27</xdr:row>
      <xdr:rowOff>133350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DEA2CF-2E78-2E84-C8EF-DA13D5319B42}"/>
            </a:ext>
          </a:extLst>
        </xdr:cNvPr>
        <xdr:cNvSpPr/>
      </xdr:nvSpPr>
      <xdr:spPr>
        <a:xfrm>
          <a:off x="9448800" y="5048250"/>
          <a:ext cx="1524000" cy="742950"/>
        </a:xfrm>
        <a:prstGeom prst="rect">
          <a:avLst/>
        </a:prstGeom>
        <a:solidFill>
          <a:srgbClr val="196B24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Verdana" panose="020B0604030504040204" pitchFamily="34" charset="0"/>
              <a:ea typeface="Verdana" panose="020B0604030504040204" pitchFamily="34" charset="0"/>
            </a:rPr>
            <a:t>View Schedule</a:t>
          </a:r>
          <a:endParaRPr lang="en-US" sz="1050" b="1"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0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2C4E38-5594-4875-A249-8287F5AA91BD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3D76F98C-D38B-426D-900D-F6DBDB069EB4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D253-DB87-443C-8915-1E7F0B0705FF}">
  <sheetPr>
    <tabColor theme="0" tint="-0.34998626667073579"/>
  </sheetPr>
  <dimension ref="A1:J49"/>
  <sheetViews>
    <sheetView showGridLines="0" showRowColHeaders="0" tabSelected="1" workbookViewId="0">
      <selection activeCell="A3" sqref="A3"/>
    </sheetView>
  </sheetViews>
  <sheetFormatPr defaultColWidth="0" defaultRowHeight="16.5" zeroHeight="1" x14ac:dyDescent="0.45"/>
  <cols>
    <col min="1" max="3" width="9.23046875" style="3" customWidth="1"/>
    <col min="4" max="4" width="21" style="3" bestFit="1" customWidth="1"/>
    <col min="5" max="5" width="57.3828125" style="13" customWidth="1"/>
    <col min="6" max="10" width="9.23046875" style="3" customWidth="1"/>
    <col min="11" max="16384" width="9.23046875" style="3" hidden="1"/>
  </cols>
  <sheetData>
    <row r="1" x14ac:dyDescent="0.45"/>
    <row r="2" x14ac:dyDescent="0.45"/>
    <row r="3" x14ac:dyDescent="0.45"/>
    <row r="4" x14ac:dyDescent="0.45"/>
    <row r="5" x14ac:dyDescent="0.45"/>
    <row r="6" x14ac:dyDescent="0.45"/>
    <row r="7" x14ac:dyDescent="0.45"/>
    <row r="8" x14ac:dyDescent="0.45"/>
    <row r="9" x14ac:dyDescent="0.45"/>
    <row r="10" x14ac:dyDescent="0.45"/>
    <row r="11" x14ac:dyDescent="0.45"/>
    <row r="12" x14ac:dyDescent="0.45"/>
    <row r="13" x14ac:dyDescent="0.45"/>
    <row r="14" x14ac:dyDescent="0.45"/>
    <row r="15" x14ac:dyDescent="0.45"/>
    <row r="16" x14ac:dyDescent="0.45"/>
    <row r="17" spans="4:5" x14ac:dyDescent="0.45"/>
    <row r="18" spans="4:5" x14ac:dyDescent="0.45"/>
    <row r="19" spans="4:5" x14ac:dyDescent="0.45"/>
    <row r="20" spans="4:5" x14ac:dyDescent="0.45"/>
    <row r="21" spans="4:5" x14ac:dyDescent="0.45"/>
    <row r="22" spans="4:5" x14ac:dyDescent="0.45">
      <c r="D22" s="21" t="s">
        <v>12</v>
      </c>
      <c r="E22" s="22" t="s">
        <v>13</v>
      </c>
    </row>
    <row r="23" spans="4:5" x14ac:dyDescent="0.45">
      <c r="D23" s="14" t="s">
        <v>1</v>
      </c>
      <c r="E23" s="15" t="s">
        <v>9</v>
      </c>
    </row>
    <row r="24" spans="4:5" x14ac:dyDescent="0.45">
      <c r="D24" s="14" t="s">
        <v>3</v>
      </c>
      <c r="E24" s="15" t="s">
        <v>10</v>
      </c>
    </row>
    <row r="25" spans="4:5" x14ac:dyDescent="0.45">
      <c r="D25" s="14" t="s">
        <v>2</v>
      </c>
      <c r="E25" s="15" t="s">
        <v>11</v>
      </c>
    </row>
    <row r="26" spans="4:5" x14ac:dyDescent="0.45">
      <c r="D26" s="14" t="s">
        <v>8</v>
      </c>
      <c r="E26" s="15" t="s">
        <v>21</v>
      </c>
    </row>
    <row r="27" spans="4:5" x14ac:dyDescent="0.45">
      <c r="D27" s="16"/>
      <c r="E27" s="17"/>
    </row>
    <row r="28" spans="4:5" x14ac:dyDescent="0.45">
      <c r="D28" s="16"/>
      <c r="E28" s="17"/>
    </row>
    <row r="29" spans="4:5" x14ac:dyDescent="0.45">
      <c r="D29" s="20" t="s">
        <v>14</v>
      </c>
      <c r="E29" s="20" t="s">
        <v>13</v>
      </c>
    </row>
    <row r="30" spans="4:5" x14ac:dyDescent="0.45">
      <c r="D30" s="14" t="s">
        <v>15</v>
      </c>
      <c r="E30" s="18" t="s">
        <v>18</v>
      </c>
    </row>
    <row r="31" spans="4:5" x14ac:dyDescent="0.45">
      <c r="D31" s="14" t="s">
        <v>16</v>
      </c>
      <c r="E31" s="19" t="s">
        <v>19</v>
      </c>
    </row>
    <row r="32" spans="4:5" x14ac:dyDescent="0.45">
      <c r="D32" s="14" t="s">
        <v>17</v>
      </c>
      <c r="E32" s="18" t="s">
        <v>20</v>
      </c>
    </row>
    <row r="33" x14ac:dyDescent="0.45"/>
    <row r="34" x14ac:dyDescent="0.45"/>
    <row r="35" x14ac:dyDescent="0.45"/>
    <row r="36" x14ac:dyDescent="0.45"/>
    <row r="37" x14ac:dyDescent="0.45"/>
    <row r="38" x14ac:dyDescent="0.45"/>
    <row r="39" x14ac:dyDescent="0.45"/>
    <row r="40" x14ac:dyDescent="0.45"/>
    <row r="41" x14ac:dyDescent="0.45"/>
    <row r="42" x14ac:dyDescent="0.45"/>
    <row r="43" x14ac:dyDescent="0.45"/>
    <row r="44" x14ac:dyDescent="0.45"/>
    <row r="45" x14ac:dyDescent="0.45"/>
    <row r="46" x14ac:dyDescent="0.45"/>
    <row r="47" x14ac:dyDescent="0.45"/>
    <row r="48" x14ac:dyDescent="0.45"/>
    <row r="49" x14ac:dyDescent="0.4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0D427-DA33-4DDD-9DA4-8007F5908322}">
  <sheetPr>
    <tabColor rgb="FF196B24"/>
  </sheetPr>
  <dimension ref="A2:I38"/>
  <sheetViews>
    <sheetView workbookViewId="0">
      <selection activeCell="C14" sqref="C14"/>
    </sheetView>
  </sheetViews>
  <sheetFormatPr defaultRowHeight="16.5" x14ac:dyDescent="0.45"/>
  <cols>
    <col min="1" max="1" width="5.69140625" style="1" customWidth="1"/>
    <col min="2" max="2" width="15.3046875" style="1" bestFit="1" customWidth="1"/>
    <col min="3" max="3" width="15.69140625" style="12" bestFit="1" customWidth="1"/>
    <col min="4" max="5" width="13.61328125" style="2" bestFit="1" customWidth="1"/>
    <col min="6" max="7" width="15.69140625" style="2" bestFit="1" customWidth="1"/>
    <col min="8" max="8" width="13" style="3" bestFit="1" customWidth="1"/>
    <col min="9" max="9" width="12" style="3" bestFit="1" customWidth="1"/>
    <col min="10" max="16384" width="9.23046875" style="3"/>
  </cols>
  <sheetData>
    <row r="2" spans="2:9" x14ac:dyDescent="0.45">
      <c r="C2" s="23" t="s">
        <v>0</v>
      </c>
    </row>
    <row r="4" spans="2:9" x14ac:dyDescent="0.45">
      <c r="B4" s="4" t="s">
        <v>6</v>
      </c>
      <c r="C4" s="30">
        <v>10000</v>
      </c>
      <c r="E4" s="1" t="str" cm="1">
        <f t="array" ref="E4:H5">Summaryλ(_xlfn.ANCHORARRAY(C14))</f>
        <v>Total payments</v>
      </c>
      <c r="F4" s="11" t="str">
        <v>Sum of payments</v>
      </c>
      <c r="G4" s="11" t="str">
        <v>Total interest</v>
      </c>
      <c r="H4" s="11" t="str">
        <v>Total principal</v>
      </c>
      <c r="I4" s="6"/>
    </row>
    <row r="5" spans="2:9" x14ac:dyDescent="0.45">
      <c r="B5" s="4" t="s">
        <v>7</v>
      </c>
      <c r="C5" s="27">
        <v>0.05</v>
      </c>
      <c r="E5" s="12">
        <v>24</v>
      </c>
      <c r="F5" s="25">
        <v>10529.133536176423</v>
      </c>
      <c r="G5" s="25">
        <v>529.13353617642485</v>
      </c>
      <c r="H5" s="25">
        <v>10000.000000000004</v>
      </c>
    </row>
    <row r="6" spans="2:9" x14ac:dyDescent="0.45">
      <c r="B6" s="4" t="s">
        <v>4</v>
      </c>
      <c r="C6" s="28">
        <v>2</v>
      </c>
    </row>
    <row r="7" spans="2:9" x14ac:dyDescent="0.45">
      <c r="B7" s="4" t="s">
        <v>5</v>
      </c>
      <c r="C7" s="29">
        <v>12</v>
      </c>
    </row>
    <row r="8" spans="2:9" x14ac:dyDescent="0.45">
      <c r="C8" s="1"/>
    </row>
    <row r="13" spans="2:9" x14ac:dyDescent="0.45">
      <c r="B13" s="7"/>
      <c r="C13" s="8"/>
      <c r="D13" s="9"/>
      <c r="E13" s="10"/>
      <c r="F13" s="10"/>
      <c r="G13" s="10"/>
    </row>
    <row r="14" spans="2:9" x14ac:dyDescent="0.45">
      <c r="B14" s="26" t="s">
        <v>22</v>
      </c>
      <c r="C14" s="24" t="str" cm="1">
        <f t="array" ref="C14:G38">Amortizeλ(LoanAmount,InterestRate,LoanYears,PaymentsPerYear)</f>
        <v>Payment#</v>
      </c>
      <c r="D14" s="11" t="str">
        <v>Payment</v>
      </c>
      <c r="E14" s="11" t="str">
        <v>Interest</v>
      </c>
      <c r="F14" s="11" t="str">
        <v>Principal</v>
      </c>
      <c r="G14" s="11" t="str">
        <v>Balance</v>
      </c>
    </row>
    <row r="15" spans="2:9" x14ac:dyDescent="0.45">
      <c r="C15" s="12">
        <v>1</v>
      </c>
      <c r="D15" s="2">
        <v>438.71389734068447</v>
      </c>
      <c r="E15" s="2">
        <v>41.666666666666664</v>
      </c>
      <c r="F15" s="2">
        <v>397.04723067401778</v>
      </c>
      <c r="G15" s="2">
        <v>9602.9527693259824</v>
      </c>
    </row>
    <row r="16" spans="2:9" x14ac:dyDescent="0.45">
      <c r="C16" s="12">
        <v>2</v>
      </c>
      <c r="D16" s="2">
        <v>438.71389734068447</v>
      </c>
      <c r="E16" s="2">
        <v>40.01230320552493</v>
      </c>
      <c r="F16" s="2">
        <v>398.70159413515955</v>
      </c>
      <c r="G16" s="2">
        <v>9204.2511751908223</v>
      </c>
    </row>
    <row r="17" spans="2:7" x14ac:dyDescent="0.45">
      <c r="C17" s="12">
        <v>3</v>
      </c>
      <c r="D17" s="2">
        <v>438.71389734068447</v>
      </c>
      <c r="E17" s="2">
        <v>38.351046563295093</v>
      </c>
      <c r="F17" s="2">
        <v>400.36285077738938</v>
      </c>
      <c r="G17" s="2">
        <v>8803.8883244134322</v>
      </c>
    </row>
    <row r="18" spans="2:7" x14ac:dyDescent="0.45">
      <c r="C18" s="12">
        <v>4</v>
      </c>
      <c r="D18" s="2">
        <v>438.71389734068447</v>
      </c>
      <c r="E18" s="2">
        <v>36.6828680183893</v>
      </c>
      <c r="F18" s="2">
        <v>402.03102932229518</v>
      </c>
      <c r="G18" s="2">
        <v>8401.8572950911366</v>
      </c>
    </row>
    <row r="19" spans="2:7" x14ac:dyDescent="0.45">
      <c r="C19" s="12">
        <v>5</v>
      </c>
      <c r="D19" s="2">
        <v>438.71389734068447</v>
      </c>
      <c r="E19" s="2">
        <v>35.007738729546404</v>
      </c>
      <c r="F19" s="2">
        <v>403.70615861113805</v>
      </c>
      <c r="G19" s="2">
        <v>7998.151136479999</v>
      </c>
    </row>
    <row r="20" spans="2:7" x14ac:dyDescent="0.45">
      <c r="C20" s="12">
        <v>6</v>
      </c>
      <c r="D20" s="2">
        <v>438.71389734068447</v>
      </c>
      <c r="E20" s="2">
        <v>33.32562973533333</v>
      </c>
      <c r="F20" s="2">
        <v>405.38826760535113</v>
      </c>
      <c r="G20" s="2">
        <v>7592.7628688746481</v>
      </c>
    </row>
    <row r="21" spans="2:7" x14ac:dyDescent="0.45">
      <c r="C21" s="12">
        <v>7</v>
      </c>
      <c r="D21" s="2">
        <v>438.71389734068447</v>
      </c>
      <c r="E21" s="2">
        <v>31.636511953644366</v>
      </c>
      <c r="F21" s="2">
        <v>407.07738538704012</v>
      </c>
      <c r="G21" s="2">
        <v>7185.6854834876076</v>
      </c>
    </row>
    <row r="22" spans="2:7" x14ac:dyDescent="0.45">
      <c r="C22" s="12">
        <v>8</v>
      </c>
      <c r="D22" s="2">
        <v>438.71389734068447</v>
      </c>
      <c r="E22" s="2">
        <v>29.940356181198364</v>
      </c>
      <c r="F22" s="2">
        <v>408.77354115948611</v>
      </c>
      <c r="G22" s="2">
        <v>6776.9119423281218</v>
      </c>
    </row>
    <row r="23" spans="2:7" x14ac:dyDescent="0.45">
      <c r="C23" s="12">
        <v>9</v>
      </c>
      <c r="D23" s="2">
        <v>438.71389734068447</v>
      </c>
      <c r="E23" s="2">
        <v>28.23713309303384</v>
      </c>
      <c r="F23" s="2">
        <v>410.47676424765064</v>
      </c>
      <c r="G23" s="2">
        <v>6366.4351780804709</v>
      </c>
    </row>
    <row r="24" spans="2:7" x14ac:dyDescent="0.45">
      <c r="C24" s="12">
        <v>10</v>
      </c>
      <c r="D24" s="2">
        <v>438.71389734068447</v>
      </c>
      <c r="E24" s="2">
        <v>26.52681324200196</v>
      </c>
      <c r="F24" s="2">
        <v>412.18708409868253</v>
      </c>
      <c r="G24" s="2">
        <v>5954.2480939817888</v>
      </c>
    </row>
    <row r="25" spans="2:7" x14ac:dyDescent="0.45">
      <c r="C25" s="12">
        <v>11</v>
      </c>
      <c r="D25" s="2">
        <v>438.71389734068447</v>
      </c>
      <c r="E25" s="2">
        <v>24.809367058257454</v>
      </c>
      <c r="F25" s="2">
        <v>413.904530282427</v>
      </c>
      <c r="G25" s="2">
        <v>5540.3435636993618</v>
      </c>
    </row>
    <row r="26" spans="2:7" x14ac:dyDescent="0.45">
      <c r="C26" s="12">
        <v>12</v>
      </c>
      <c r="D26" s="2">
        <v>438.71389734068447</v>
      </c>
      <c r="E26" s="2">
        <v>23.084764848747341</v>
      </c>
      <c r="F26" s="2">
        <v>415.62913249193713</v>
      </c>
      <c r="G26" s="2">
        <v>5124.7144312074242</v>
      </c>
    </row>
    <row r="27" spans="2:7" x14ac:dyDescent="0.45">
      <c r="C27" s="12">
        <v>13</v>
      </c>
      <c r="D27" s="2">
        <v>438.71389734068447</v>
      </c>
      <c r="E27" s="2">
        <v>21.3529767966976</v>
      </c>
      <c r="F27" s="2">
        <v>417.36092054398688</v>
      </c>
      <c r="G27" s="2">
        <v>4707.3535106634372</v>
      </c>
    </row>
    <row r="28" spans="2:7" x14ac:dyDescent="0.45">
      <c r="C28" s="12">
        <v>14</v>
      </c>
      <c r="D28" s="2">
        <v>438.71389734068447</v>
      </c>
      <c r="E28" s="2">
        <v>19.613972961097655</v>
      </c>
      <c r="F28" s="2">
        <v>419.09992437958681</v>
      </c>
      <c r="G28" s="2">
        <v>4288.2535862838504</v>
      </c>
    </row>
    <row r="29" spans="2:7" x14ac:dyDescent="0.45">
      <c r="B29" s="5"/>
      <c r="C29" s="12">
        <v>15</v>
      </c>
      <c r="D29" s="2">
        <v>438.71389734068447</v>
      </c>
      <c r="E29" s="2">
        <v>17.867723276182709</v>
      </c>
      <c r="F29" s="2">
        <v>420.84617406450178</v>
      </c>
      <c r="G29" s="2">
        <v>3867.4074122193488</v>
      </c>
    </row>
    <row r="30" spans="2:7" x14ac:dyDescent="0.45">
      <c r="C30" s="12">
        <v>16</v>
      </c>
      <c r="D30" s="2">
        <v>438.71389734068447</v>
      </c>
      <c r="E30" s="2">
        <v>16.114197550913953</v>
      </c>
      <c r="F30" s="2">
        <v>422.59969978977051</v>
      </c>
      <c r="G30" s="2">
        <v>3444.8077124295783</v>
      </c>
    </row>
    <row r="31" spans="2:7" x14ac:dyDescent="0.45">
      <c r="C31" s="12">
        <v>17</v>
      </c>
      <c r="D31" s="2">
        <v>438.71389734068447</v>
      </c>
      <c r="E31" s="2">
        <v>14.353365468456575</v>
      </c>
      <c r="F31" s="2">
        <v>424.36053187222791</v>
      </c>
      <c r="G31" s="2">
        <v>3020.4471805573503</v>
      </c>
    </row>
    <row r="32" spans="2:7" x14ac:dyDescent="0.45">
      <c r="C32" s="12">
        <v>18</v>
      </c>
      <c r="D32" s="2">
        <v>438.71389734068447</v>
      </c>
      <c r="E32" s="2">
        <v>12.585196585655627</v>
      </c>
      <c r="F32" s="2">
        <v>426.12870075502883</v>
      </c>
      <c r="G32" s="2">
        <v>2594.3184798023212</v>
      </c>
    </row>
    <row r="33" spans="3:7" x14ac:dyDescent="0.45">
      <c r="C33" s="12">
        <v>19</v>
      </c>
      <c r="D33" s="2">
        <v>438.71389734068447</v>
      </c>
      <c r="E33" s="2">
        <v>10.809660332509672</v>
      </c>
      <c r="F33" s="2">
        <v>427.90423700817479</v>
      </c>
      <c r="G33" s="2">
        <v>2166.4142427941465</v>
      </c>
    </row>
    <row r="34" spans="3:7" x14ac:dyDescent="0.45">
      <c r="C34" s="12">
        <v>20</v>
      </c>
      <c r="D34" s="2">
        <v>438.71389734068447</v>
      </c>
      <c r="E34" s="2">
        <v>9.0267260116422765</v>
      </c>
      <c r="F34" s="2">
        <v>429.6871713290422</v>
      </c>
      <c r="G34" s="2">
        <v>1736.7270714651042</v>
      </c>
    </row>
    <row r="35" spans="3:7" x14ac:dyDescent="0.45">
      <c r="C35" s="12">
        <v>21</v>
      </c>
      <c r="D35" s="2">
        <v>438.71389734068447</v>
      </c>
      <c r="E35" s="2">
        <v>7.2363627977712675</v>
      </c>
      <c r="F35" s="2">
        <v>431.47753454291319</v>
      </c>
      <c r="G35" s="2">
        <v>1305.2495369221911</v>
      </c>
    </row>
    <row r="36" spans="3:7" x14ac:dyDescent="0.45">
      <c r="C36" s="12">
        <v>22</v>
      </c>
      <c r="D36" s="2">
        <v>438.71389734068447</v>
      </c>
      <c r="E36" s="2">
        <v>5.4385397371757964</v>
      </c>
      <c r="F36" s="2">
        <v>433.27535760350867</v>
      </c>
      <c r="G36" s="2">
        <v>871.97417931868245</v>
      </c>
    </row>
    <row r="37" spans="3:7" x14ac:dyDescent="0.45">
      <c r="C37" s="12">
        <v>23</v>
      </c>
      <c r="D37" s="2">
        <v>438.71389734068447</v>
      </c>
      <c r="E37" s="2">
        <v>3.6332257471611769</v>
      </c>
      <c r="F37" s="2">
        <v>435.08067159352328</v>
      </c>
      <c r="G37" s="2">
        <v>436.89350772515917</v>
      </c>
    </row>
    <row r="38" spans="3:7" x14ac:dyDescent="0.45">
      <c r="C38" s="12">
        <v>24</v>
      </c>
      <c r="D38" s="2">
        <v>438.71389734068447</v>
      </c>
      <c r="E38" s="2">
        <v>1.8203896155214965</v>
      </c>
      <c r="F38" s="2">
        <v>436.89350772516298</v>
      </c>
      <c r="G38" s="2">
        <v>0</v>
      </c>
    </row>
  </sheetData>
  <conditionalFormatting sqref="C14:G2000">
    <cfRule type="expression" dxfId="4" priority="1">
      <formula>$C14=MAX($C$14:$C$2000)</formula>
    </cfRule>
    <cfRule type="expression" dxfId="3" priority="5">
      <formula>ISODD($C14)</formula>
    </cfRule>
    <cfRule type="expression" dxfId="2" priority="6">
      <formula>LEN($C14)&lt;&gt;0</formula>
    </cfRule>
  </conditionalFormatting>
  <conditionalFormatting sqref="E4:H4">
    <cfRule type="expression" dxfId="1" priority="2">
      <formula>LEN($E$5)&lt;&gt;0</formula>
    </cfRule>
  </conditionalFormatting>
  <conditionalFormatting sqref="E4:H5">
    <cfRule type="expression" dxfId="0" priority="4">
      <formula>LEN($E$5)&lt;&gt;0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BBAHUAdABoAG8AcgA6ACAAIAAgACAAIAAgAFAAYQB0AHIAaQBjAGsAIABIAC4AXABuAC8ALwAgAEYAdQBuAGMAdABpAG8AbgA6ACAAIAAgACAAQQBtAG8AcgB0AGkAegBlALsDXABuAC8ALwAgAFYAZQByAHMAaQBvAG4AOgAgACAAIAAgACAAMQAuADAAXABuAC8ALwAgAFAAdQBiAGwAaQBzAGgAZQBkADoAIAAgACAAOQAvADMAMAAvADIAMAAyADUAXABuAC8ALwAgAEQAZQBzAGMAcgBpAHAAdABpAG8AbgA6ACAAQQBtAG8AcgB0AGkAegBlALsDIABnAGUAbgBlAHIAYQB0AGUAcwAgAGEAIABmAHUAbABsACAAYQBtAG8AcgB0AGkAegBhAHQAaQBvAG4AIABzAGMAaABlAGQAdQBsAGUAIAByAGUAYwB1AHIAcwBpAHYAZQBsAHkALgBcAG4ALwAvACAAIAAgACAAIAAgACAAIAAgACAAIAAgACAAIABJAG4AcAB1AHQAcwA6ACAAcAByAGkAbgBjAGkAcABhAGwAIABhAG0AbwB1AG4AdAAsACAAYQBuAG4AdQBhAGwAIABpAG4AdABlAHIAZQBzAHQAIAByAGEAdABlACwAIABhAG4AZAAgAGwAbwBhAG4AIABkAHUAcgBhAHQAaQBvAG4AIABpAG4AIAB5AGUAYQByAHMALgBcAG4ALwAvACAAIAAgACAAIAAgACAAIAAgACAAIAAgACAAIABFAGEAYwBoACAAcgBvAHcAIABpAG4AYwBsAHUAZABlAHMAOgAgAHAAYQB5AG0AZQBuAHQALAAgAGkAbgB0AGUAcgBlAHMAdAAsACAAcAByAGkAbgBjAGkAcABhAGwALAAgAGEAbgBkACAAcgBlAG0AYQBpAG4AaQBuAGcAIABiAGEAbABhAG4AYwBlAC4AXABuAFwAbgBBAG0AbwByAHQAaQB6AGUAuwMgAD0AIABcAG4AXABuAEwAQQBNAEIARABBACgAXABuAHAAcgBpAG4AYwBpAHAAYQBsAF8AYQBtAG8AdQBuAHQALAAgACAAIAAvAC8AIABJAG4AaQB0AGkAYQBsACAAbABvAGEAbgAgAGEAbQBvAHUAbgB0ACAAKABzAGMAYQBsAGEAcgAsACAAYgBlAGMAbwBtAGUAcwAgAHMAdABhAGMAawBlAGQAIAByAGUAYwB1AHIAcwBpAHYAZQBsAHkAKQBcAG4AaQBuAHQAZQByAGUAcwB0AF8AcgBhAHQAZQAsACAAIAAgACAAIAAgAC8ALwAgAEEAbgBuAHUAYQBsACAAaQBuAHQAZQByAGUAcwB0ACAAcgBhAHQAZQAgAGEAcwAgAGQAZQBjAGkAbQBhAGwAIAAoAGUALgBnAC4ALAAgADYAJQAgAJIhIAAwAC4AMAA2ACkAXABuAGQAdQByAGEAdABpAG8AbgBfAHkAZQBhAHIAcwAsACAAIAAgACAAIAAvAC8AIABMAG8AYQBuACAAZAB1AHIAYQB0AGkAbwBuACAAaQBuACAAeQBlAGEAcgBzACAAKABtAGkAbgBpAG0AdQBtACAAMQApAFwAbgBbAHAAYQB5AG0AZQBuAHQAcwBfAHAAZQByAF8AeQBlAGEAcgBdACwALwAvACAATABvAGEAbgAgAGQAdQByAGEAdABpAG8AbgAgAGkAbgAgAHkAZQBhAHIAcwAgACgAbQBpAG4AaQBtAHUAbQAgADEAKQBcAG4AXABuACAAIAAvAC8ASQBuAHAAdQB0ACAAYwBoAGUAYwBrAHMAXABuACAAIABJAEYAKABAAHAAcgBpAG4AYwBpAHAAYQBsAF8AYQBtAG8AdQBuAHQAIAA8AD0AIAAwACwAIABcACIAIwBQAFIASQBOAEMASQBQAEEATAAhAFwAIgAsAFwAbgBcAG4AIAAgAEkARgAoAGkAbgB0AGUAcgBlAHMAdABfAHIAYQB0AGUAIAA8AD0AIAAwACwAIABcACIAIwBJAE4AVABFAFIARQBTAFQAIQBcACIALABcAG4AIAAgAFwAbgAgACAASQBGACgAaQBuAHQAZQByAGUAcwB0AF8AcgBhAHQAZQA+ADEALABcACIAIwBJAE4AVABFAFIARQBTAFQAIQBcACIALABcAG4AIAAgAFwAbgAgACAASQBGACgAZAB1AHIAYQB0AGkAbwBuAF8AeQBlAGEAcgBzACAAPAAgADEALAAgAFwAIgAjAEQAVQBSAEEAVABJAE8ATgAhAFwAIgAsAFwAbgBcAG4ATABFAFQAKABcAG4AIAAgACAAIAAvAC8ATwBwAHQAaQBvAG4AYQBsACAAcABhAHIAYQBtAGUAdABlAHIAXABuACAAIAAgACAAcABhAHkAbQBlAG4AdABzAF8AcABlAHIAXwB5AGUAYQByACwASQBGACgATwBSACgASQBTAE8ATQBJAFQAVABFAEQAKABwAGEAeQBtAGUAbgB0AHMAXwBwAGUAcgBfAHkAZQBhAHIAKQAsAFwAbgAgACAAIAAgACAAIAAgACAAIAAgACAAIAAgACAAIAAgACAAIAAgACAAIAAgACAAIAAgAHAAYQB5AG0AZQBuAHQAcwBfAHAAZQByAF8AeQBlAGEAcgA8ADEALABwAGEAeQBtAGUAbgB0AHMAXwBwAGUAcgBfAHkAZQBhAHIAPgA1ADIAKQAsADEAMgAsAHAAYQB5AG0AZQBuAHQAcwBfAHAAZQByAF8AeQBlAGEAcgApACwAXABuACAAIAAgACAAXABuACAAIAAgACAALwAvAE0AbwBuAHQAaABsAHkAIABwAGEAeQBtAGUAbgB0AFwAbgAgACAAIAAgAHAAYQB5AG0AZQBuAHQALABBAEIAUwAoAFAATQBUACgAaQBuAHQAZQByAGUAcwB0AF8AcgBhAHQAZQAvAHAAYQB5AG0AZQBuAHQAcwBfAHAAZQByAF8AeQBlAGEAcgAsAGQAdQByAGEAdABpAG8AbgBfAHkAZQBhAHIAcwAqAHAAYQB5AG0AZQBuAHQAcwBfAHAAZQByAF8AeQBlAGEAcgAsAEAAcAByAGkAbgBjAGkAcABhAGwAXwBhAG0AbwB1AG4AdAApACkALABcAG4AIAAgACAAIABsAGEAcwB0AF8AYgBhAGwAYQBuAGMAZQAsAFQAQQBLAEUAKABwAHIAaQBuAGMAaQBwAGEAbABfAGEAbQBvAHUAbgB0ACwALQAxACwALQAxACkALABcAG4AXABuACAAIAAgACAALwAvAEkAbgB0AGUAcgBlAHMAdAAgAGEAbgBkACAAcAByAGkAbgBjAGkAcABhAGwAXABuACAAIAAgACAAaQBuAHQAZQByAGUAcwB0AF8AYQBtAG8AdQBuAHQALABsAGEAcwB0AF8AYgBhAGwAYQBuAGMAZQAqACgAaQBuAHQAZQByAGUAcwB0AF8AcgBhAHQAZQAvAHAAYQB5AG0AZQBuAHQAcwBfAHAAZQByAF8AeQBlAGEAcgApACwAXABuACAAIAAgACAAcAByAGkAbgBjAGkAcABhAGwALABwAGEAeQBtAGUAbgB0AC0AaQBuAHQAZQByAGUAcwB0AF8AYQBtAG8AdQBuAHQALABcAG4AIAAgACAAIABiAGEAbABhAG4AYwBlACwASQBGACgAQQBCAFMAKABsAGEAcwB0AF8AYgBhAGwAYQBuAGMAZQAtAHAAcgBpAG4AYwBpAHAAYQBsACkAPAA9AC4AMAAxACwAMAAsAGwAYQBzAHQAXwBiAGEAbABhAG4AYwBlAC0AcAByAGkAbgBjAGkAcABhAGwAKQAsAFwAbgAgACAAIAAgAFwAbgAgACAAIAAgAC8ALwBBAGMAYwB1AG0AdQBsAGEAdABlACAAcwBjAGgAZQBkAHUAbABlAFwAbgAgACAAIAAgAGEAYwBjACwAVgBTAFQAQQBDAEsAKABwAHIAaQBuAGMAaQBwAGEAbABfAGEAbQBvAHUAbgB0ACwASABTAFQAQQBDAEsAKABwAGEAeQBtAGUAbgB0ACwAaQBuAHQAZQByAGUAcwB0AF8AYQBtAG8AdQBuAHQALABwAHIAaQBuAGMAaQBwAGEAbAAsAGIAYQBsAGEAbgBjAGUAKQApACwAXABuAFwAbgAgACAAIAAgAC8ALwBSAGUAYwB1AHIAcwBpAHYAZQAgAGMAbwBuAGQAaQB0AGkAbwBuAFwAbgAgACAAIAAgAEkARgAoAE0ASQBOACgAYgBhAGwAYQBuAGMAZQApADwAPQAwACwAXABuACAAIAAgACAAIAAgACAAIAAgACAAIAAgAFYAUwBUAEEAQwBLACgAewBcACIAUABhAHkAbQBlAG4AdAAjAFwAIgAsAFwAIgBQAGEAeQBtAGUAbgB0AFwAIgAsAFwAIgBJAG4AdABlAHIAZQBzAHQAXAAiACwAXAAiAFAAcgBpAG4AYwBpAHAAYQBsAFwAIgAsAFwAIgBCAGEAbABhAG4AYwBlAFwAIgB9ACwAXABuACAAIAAgACAAIAAgACAAIAAgACAAIAAgAEgAUwBUAEEAQwBLACgAUwBFAFEAVQBFAE4AQwBFACgAUgBPAFcAUwAoAGEAYwBjACkALQAxACkALABEAFIATwBQACgAYQBjAGMALAAxACkAKQApACwAXABuACAAIAAgACAAIAAgACAAIAAgACAAIAAgAEEAbQBvAHIAdABpAHoAZQC7AygAVgBTAFQAQQBDAEsAKABwAHIAaQBuAGMAaQBwAGEAbABfAGEAbQBvAHUAbgB0ACwAXABuACAAIAAgACAAIAAgACAAIAAgACAAIAAgACAAIAAgACAAIAAgACAAIAAgACAAIAAgACAAIAAgACAAIABIAFMAVABBAEMASwAoAHAAYQB5AG0AZQBuAHQALABpAG4AdABlAHIAZQBzAHQAXwBhAG0AbwB1AG4AdAAsAHAAcgBpAG4AYwBpAHAAYQBsACwAYgBhAGwAYQBuAGMAZQApACkALABcAG4AIAAgACAAIAAgACAAIAAgACAAIAAgACAAIAAgACAAIAAgACAAIAAgACAAIABpAG4AdABlAHIAZQBzAHQAXwByAGEAdABlACwAXABuACAAIAAgACAAIAAgACAAIAAgACAAIAAgACAAIAAgACAAIAAgACAAIAAgACAAZAB1AHIAYQB0AGkAbwBuAF8AeQBlAGEAcgBzACwAXABuACAAIAAgACAAIAAgACAAIAAgACAAIAAgACAAIAAgACAAIAAgACAAIAAgACAAcABhAHkAbQBlAG4AdABzAF8AcABlAHIAXwB5AGUAYQByACkAKQApACkAKQApACkAKQA7AFwAbgBcAG4AXABuAC8ALwBHAGUAbgBlAHIAYQB0AGUAcwAgAGEAIAB0AG8AcAAtAGwAZQB2AGUAbAAgAHMAdQBtAG0AYQByAHkAIABvAGYAIABsAG8AYQBuACAAcwBjAGgAZQBkAHUAbABlACAAZwBlAG4AZQByAGEAdABlAGQAIABiAHkAXABuAC8ALwBBAG0AbwByAHQAaQB6AGUAuwMuAFwAbgBcAG4AUwB1AG0AbQBhAHIAeQC7AyAAPQAgAFwAbgBMAEEATQBCAEQAQQAoAFwAbgBsAG8AYQBuAF8AcwBjAGgAZQBkAHUAbABlACwAIAAgAC8ALwBHAGUAbgBlAHIAYQB0AGUAZAAgAGIAeQAgAEEAbQBvAHIAdABpAHoAZQC7A1wAbgBcAG4ATABFAFQAKABcAG4AIAAgACAAIAAvAC8AQQBzAHMAaQBnAG4AIABzAHUAbQBtAGEAcgB5ACAAaABlAGEAZABlAHIAXABuACAAIAAgACAAaABlAGEAZABlAHIALAB7AFwAIgBUAG8AdABhAGwAIABwAGEAeQBtAGUAbgB0AHMAXAAiACwAXAAiAFMAdQBtACAAbwBmACAAcABhAHkAbQBlAG4AdABzAFwAIgAsAFwAbgAgACAAIAAgACAAIAAgACAAIAAgACAAXAAiAFQAbwB0AGEAbAAgAGkAbgB0AGUAcgBlAHMAdABcACIALABcACIAVABvAHQAYQBsACAAcAByAGkAbgBjAGkAcABhAGwAXAAiAH0ALABcAG4AIAAgACAAIAAvAC8ARwBlAHQAIABwAGEAeQBtAGUAbgB0AHMAIAB2AGUAYwB0AG8AcgBcAG4AIAAgACAAIABwAGEAeQBtAGUAbgB0AF8AbgBvACwAVABBAEsARQAoAEQAUgBPAFAAKABsAG8AYQBuAF8AcwBjAGgAZQBkAHUAbABlACwAMQApACwALAAxACkALABcAG4AXABuACAAIAAgACAALwAvAEcAZQB0ACAAbABvAGEAbgAgAHMAYwBoAGUAZAB1AGwAZQAgAGMAbwBsAHUAbQBuAHMAIAAtACAAUABhAHkAbQBlAG4AdAAsACAASQBuAHQAZQByAGUAcwB0ACwAIABQAHIAaQBuAGMAaQBwAGEAbABcAG4AIAAgACAAIABzAGMAaABlAGQAdQBsAGUAXwBkAGUAdABhAGkAbABzACwARABSAE8AUAAoAEQAUgBPAFAAKABsAG8AYQBuAF8AcwBjAGgAZQBkAHUAbABlACwAMQAsADEAKQAsACwALQAxACkALABcAG4AXABuACAAIAAgACAALwAvAEcAZQB0ACAAdABvAHQAYQBsACAAcABhAHkAbQBlAG4AdABzAFwAbgAgACAAIAAgAGEALABDAE8AVQBOAFQAKABwAGEAeQBtAGUAbgB0AF8AbgBvACkALABcAG4AXABuACAAIAAgACAALwAvAEcAZQB0ACAAdABvAHQAYQBsAHMAIABmAG8AcgAgAHAAYQB5AG0AZQBuAHQALAAgAGkAbgB0AGUAcgBlAHMAdAAsACAAYQBuAGQAIABwAHIAaQBuAGMAaQBwAGEAbABcAG4AIAAgACAAIABiACwAQgBZAEMATwBMACgAcwBjAGgAZQBkAHUAbABlAF8AZABlAHQAYQBpAGwAcwAsAFMAVQBNACkALABcAG4AIAAgACAAIAAvAC8AQQBkAGQAIABoAGUAYQBkAGUAcgAgAGEAbgBkACAAcAByAGUAcwBlAG4AdAAuAFwAbgAgACAAIAAgAGQAZQBsAGkAdgBlAHIAeQAsAFYAUwBUAEEAQwBLACgAaABlAGEAZABlAHIALABIAFMAVABBAEMASwAoAGEALABiACkAKQAsAFwAbgBcAG4AIAAgACAAIABJAEYARQBSAFIATwBSACgAZABlAGwAaQB2AGUAcgB5ACwAXAAiACAALQAgAFwAIgApACkAKQA7ACIAfQBdACwAIgBwAHIAbwBqAGUAYwB0AE4AYQBtAGUAcwAiADoAWwAiAEEAbQBvAHIAdABpAHoAZQC7AyIALAAiAFMAdQBtAG0AYQByAHkAuwM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3D76F98C-D38B-426D-900D-F6DBDB069EB4}">
  <ds:schemaRefs>
    <ds:schemaRef ds:uri="http://schemas.advancedformulaenvironment.officeapps.live.com/afejsonblob/1.0"/>
  </ds:schemaRefs>
</ds:datastoreItem>
</file>

<file path=docMetadata/LabelInfo.xml><?xml version="1.0" encoding="utf-8"?>
<clbl:labelList xmlns:clbl="http://schemas.microsoft.com/office/2020/mipLabelMetadata">
  <clbl:label id="{8d0d81ba-ed03-4c6f-9248-a3b3967ca35c}" enabled="0" method="" siteId="{8d0d81ba-ed03-4c6f-9248-a3b3967ca35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Introduction</vt:lpstr>
      <vt:lpstr>Schedule</vt:lpstr>
      <vt:lpstr>InterestRate</vt:lpstr>
      <vt:lpstr>LoanAmount</vt:lpstr>
      <vt:lpstr>LoanYears</vt:lpstr>
      <vt:lpstr>PaymentsPerYear</vt:lpstr>
    </vt:vector>
  </TitlesOfParts>
  <Company>Alithya Canada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Hogan</dc:creator>
  <cp:lastModifiedBy>Patrick Hogan</cp:lastModifiedBy>
  <dcterms:created xsi:type="dcterms:W3CDTF">2025-03-03T19:30:22Z</dcterms:created>
  <dcterms:modified xsi:type="dcterms:W3CDTF">2025-09-30T14:07:25Z</dcterms:modified>
</cp:coreProperties>
</file>