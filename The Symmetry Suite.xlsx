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edgewater-my.sharepoint.com/personal/pat_hogan_alithya_com/Documents/"/>
    </mc:Choice>
  </mc:AlternateContent>
  <xr:revisionPtr revIDLastSave="9886" documentId="8_{8B90A7AB-5C32-4787-80C6-314C3D85A10E}" xr6:coauthVersionLast="47" xr6:coauthVersionMax="47" xr10:uidLastSave="{915A6798-BADB-4B43-B814-DBFBAA9FDB50}"/>
  <bookViews>
    <workbookView xWindow="28680" yWindow="-120" windowWidth="29040" windowHeight="15720" xr2:uid="{1005D32D-B59C-4E2C-A85B-7D3689FC1A99}"/>
  </bookViews>
  <sheets>
    <sheet name="Introduction" sheetId="17" r:id="rId1"/>
    <sheet name="Rows" sheetId="12" r:id="rId2"/>
    <sheet name="Cols" sheetId="13" r:id="rId3"/>
    <sheet name="Squeeze" sheetId="14" r:id="rId4"/>
    <sheet name="Squeeze2" sheetId="15" r:id="rId5"/>
    <sheet name="DeleteWhere" sheetId="16" r:id="rId6"/>
    <sheet name="Countdown_Streak" sheetId="21" r:id="rId7"/>
    <sheet name="Errors" sheetId="18" r:id="rId8"/>
  </sheets>
  <definedNames>
    <definedName name="_xlnm._FilterDatabase" localSheetId="1" hidden="1">Rows!$A$1:$M$1</definedName>
    <definedName name="_xlnm._FilterDatabase" localSheetId="3" hidden="1">Squeeze!$B$2:$G$127</definedName>
    <definedName name="Books">Squeeze!$B$2:$G$127</definedName>
    <definedName name="Books2">Squeeze2!$B$3:$E$28</definedName>
    <definedName name="cities">Countdown_Streak!$B$4:$B$28</definedName>
    <definedName name="Countdownλ">_xlfn.LAMBDA(_xlpm.vector,_xlop.IsHorizontal?, _xlfn.LET(_xlpm.vector, _xlfn.TOCOL(_xlpm.vector), _xlpm.IsVertical?, _xlfn.ISOMITTED(_xlpm.IsHorizontal?), _xlpm.check, _xlpm.vector &lt;&gt; _xlfn.VSTACK(0, _xlfn.DROP(_xlpm.vector, -1)), _xlpm.change, _xlfn.SCAN(0, --_xlpm.check, _xleta.SUM), _xlpm.i, _xlfn.UNIQUE(_xlpm.change), _xlpm.agg, _xlfn.DROP(_xlfn.GROUPBY(_xlpm.change, _xlpm.change, _xleta.COUNTA, , 0), , 1), _xlpm.Descendλ, _xlfn.LAMBDA(_xlpm.a,_xlpm.v, _xlfn.LET(_xlpm.k, _xlfn.SINGLE(INDEX(_xlpm.agg, _xlpm.v)), _xlpm.arr, _xlfn.SEQUENCE(_xlpm.k, , _xlpm.k, -1), _xlpm.stack, _xlfn.VSTACK(_xlpm.a, _xlpm.arr), _xlpm.stack)), _xlpm.idx, _xlfn.DROP(_xlfn.REDUCE(0, _xlpm.i, _xlpm.Descendλ), 1), _xlpm.final, IF(_xlpm.IsVertical?, _xlpm.idx, TRANSPOSE(_xlpm.idx)), _xlpm.final))</definedName>
    <definedName name="DeleteColsλ">_xlfn.LAMBDA(_xlpm.array,_xlpm.delete,_xlpm.at_each_change, _xlfn.LET(_xlpm.OneSubGroup?, COUNTA(_xlfn.UNIQUE(_xlpm.at_each_change, 1)) = 1, _xlpm.Discard, _xlfn.DROP(_xlpm.array, , _xlfn.SINGLE(_xlpm.delete)), _xlpm.ShapeMismatch?, OR(COLUMNS(_xlpm.array) &lt;&gt; COLUMNS(_xlpm.at_each_change)), _xlpm.IsText?, OR(ISTEXT(_xlpm.delete)), _xlpm.NotScalar?, AND(NOT(_xlpm.IsText?), COUNTA(_xlpm.delete)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SIGN(_xlpm.delete), _xlpm.ascend, Streakλ(_xlpm.at_each_change, TRUE), _xlpm.descend, Countdownλ(_xlpm.at_each_change, TRUE), _xlpm.delete, ABS(_xlpm.delete), _xlpm.idx, IF(_xlpm.s = -1, _xlpm.descend, _xlpm.ascend), _xlpm.bool, NOT(_xlpm.idx &lt;= _xlpm.delete), _xlpm.final, _xlfn._xlws.FILTER(_xlpm.array, _xlpm.bool), _xlpm.final)))))</definedName>
    <definedName name="DeleteRowsλ">_xlfn.LAMBDA(_xlpm.array,_xlpm.delete,_xlpm.at_each_change, _xlfn.LET(_xlpm.OneSubGroup?, COUNTA(_xlfn.UNIQUE(_xlpm.at_each_change)) = 1, _xlpm.Discard, _xlfn.DROP(_xlpm.array, _xlfn.SINGLE(_xlpm.delete)), _xlpm.ShapeMismatch?, OR(ROWS(_xlpm.array) &lt;&gt; ROWS(_xlpm.at_each_change)), _xlpm.IsText?, OR(ISTEXT(_xlpm.delete)), _xlpm.NotScalar?, AND(NOT(_xlpm.IsText?), COUNTA(_xlpm.delete)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SIGN(_xlpm.delete), _xlpm.ascend, Streakλ(_xlpm.at_each_change), _xlpm.descend, Countdownλ(_xlpm.at_each_change), _xlpm.delete, ABS(_xlpm.delete), _xlpm.idx, IF(_xlpm.s = -1, _xlpm.descend, _xlpm.ascend), _xlpm.bool, NOT(_xlpm.idx &lt;= _xlpm.delete), _xlpm.final, _xlfn._xlws.FILTER(_xlpm.array, _xlpm.bool), _xlpm.final)))))</definedName>
    <definedName name="DeleteWhereλ">_xlfn.LAMBDA(_xlpm.array,_xlpm.function, _xlfn.LET(_xlpm.i, _xlfn.SEQUENCE(ROWS(_xlpm.array)), _xlpm.j, _xlfn.SEQUENCE(, COLUMNS(_xlpm.array)), _xlpm.fn, _xlfn.LAMBDA(_xlpm.v, NOT(_xlpm.function(_xlpm.v))), _xlpm.a, _xlfn.TOCOL(IF(_xlfn.BYROW(_xlpm.array, _xlpm.fn), _xlpm.i, NA()), 2), _xlpm.b, _xlfn.TOROW(IF(_xlfn.BYCOL(_xlpm.array, _xlpm.fn), _xlpm.j, NA()), 2), _xlpm.IsEmpty?, AND(ISERROR(_xlpm.a), ISERROR(_xlpm.b)), _xlpm.x, ROWS(_xlpm.a), _xlpm.y, COLUMNS(_xlpm.b), _xlpm.r, _xlpm.a * _xlfn.SEQUENCE(, _xlpm.y, 1, 0), _xlpm.c, _xlpm.b * _xlfn.SEQUENCE(_xlpm.x, , 1, 0), _xlpm.final, IF(_xlpm.IsEmpty?, "#EMPTY-ARRAY!", INDEX(_xlpm.array, _xlpm.r, _xlpm.c)), _xlpm.final))</definedName>
    <definedName name="Grid">DeleteWhere!$B$3:$P$17</definedName>
    <definedName name="Grid2">DeleteWhere!$B$23:$K$32</definedName>
    <definedName name="KeepColsλ">_xlfn.LAMBDA(_xlpm.array,_xlpm.keep,_xlpm.at_each_change, _xlfn.LET(_xlpm.OneSubGroup?, COUNTA(_xlfn.UNIQUE(_xlpm.at_each_change, 1)) = 1, _xlpm.Discard, _xlfn.DROP(_xlpm.array, , _xlpm.keep), _xlpm.ShapeMismatch?, OR(COLUMNS(_xlpm.array) &lt;&gt; COLUMNS(_xlpm.at_each_change)), _xlpm.IsText?, OR(ISTEXT(_xlpm.keep)), _xlpm.NotScalar?, AND(NOT(_xlpm.IsText?), COUNTA(_xlpm.keep)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SIGN(_xlpm.keep), _xlpm.ascend, Streakλ(_xlpm.at_each_change, TRUE), _xlpm.descend, Countdownλ(_xlpm.at_each_change, TRUE), _xlpm.keep, ABS(_xlpm.keep), _xlpm.idx, IF(_xlpm.s = -1, _xlpm.descend, _xlpm.ascend), _xlpm.bool, _xlpm.idx &lt;= _xlpm.keep, _xlpm.final, _xlfn._xlws.FILTER(_xlpm.array, _xlpm.bool), _xlpm.final)))))</definedName>
    <definedName name="KeepRowsλ">_xlfn.LAMBDA(_xlpm.array,_xlpm.keep,_xlpm.at_each_change, _xlfn.LET(_xlpm.OneSubGroup?, COUNTA(_xlfn.UNIQUE(_xlpm.at_each_change)) = 1, _xlpm.Discard, _xlfn.DROP(_xlpm.array, _xlpm.keep), _xlpm.ShapeMismatch?, OR(ROWS(_xlpm.array) &lt;&gt; ROWS(_xlpm.at_each_change)), _xlpm.IsText?, OR(ISTEXT(_xlpm.keep)), _xlpm.NotScalar?, AND(NOT(_xlpm.IsText?), COUNTA(_xlpm.keep)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SIGN(_xlpm.keep), _xlpm.ascend, Streakλ(_xlpm.at_each_change), _xlpm.descend, Countdownλ(_xlpm.at_each_change), _xlpm.keep, ABS(_xlpm.keep), _xlpm.idx, IF(_xlpm.s = -1, _xlpm.descend, _xlpm.ascend), _xlpm.bool, _xlpm.idx &lt;= _xlpm.keep, _xlpm.final, _xlfn._xlws.FILTER(_xlpm.array, _xlpm.bool), _xlpm.final)))))</definedName>
    <definedName name="region">Rows!$B$6:$B$38</definedName>
    <definedName name="region_b">Rows!$I$6:$I$38</definedName>
    <definedName name="RegionManagers">Rows!$B$6:$C$38</definedName>
    <definedName name="RegionManagersB">Rows!$I$6:$J$38</definedName>
    <definedName name="Squeezeλ">_xlfn.LAMBDA(_xlpm.array,_xlop.custom_criteria,_xlop.suppress_zeros, _xlfn.LET(_xlpm.HideZero?, NOT(_xlfn.ISOMITTED(_xlpm.suppress_zeros)), _xlpm.i, _xlfn.SEQUENCE(ROWS(_xlpm.array)), _xlpm.j, _xlfn.SEQUENCE(, COLUMNS(_xlpm.array)), _xlpm.Keepλ, _xlfn.LAMBDA(_xlpm.v, NOT(AND(_xlfn.TOCOL(_xlpm.v, 2) = 0))), _xlpm.Customλ, _xlfn.LAMBDA(_xlpm.v, NOT(AND(_xlfn.TOCOL(_xlpm.v, 2) = _xlpm.custom_criteria))), _xlpm.fn, IF(_xlfn.ISOMITTED(_xlpm.custom_criteria), _xlpm.Keepλ, _xlpm.Customλ), _xlpm.a, _xlfn.TOCOL(IF(_xlfn.BYROW(_xlpm.array, _xlpm.fn), _xlpm.i, NA()), 2), _xlpm.b, _xlfn.TOROW(IF(_xlfn.BYCOL(_xlpm.array, _xlpm.fn), _xlpm.j, NA()), 2), _xlpm.IsEmpty?, AND(ISERROR(_xlpm.a), ISERROR(_xlpm.b)), _xlpm.x, ROWS(_xlpm.a), _xlpm.y, COLUMNS(_xlpm.b), _xlpm.r, _xlpm.a * _xlfn.SEQUENCE(, _xlpm.y, 1, 0), _xlpm.c, _xlpm.b * _xlfn.SEQUENCE(_xlpm.x, , 1, 0), _xlpm.result, INDEX(_xlpm.array, _xlpm.r, _xlpm.c), _xlpm.result_b, IF(_xlpm.result = 0, "", _xlpm.result), _xlpm.deliver, IF(_xlpm.IsEmpty?, "#EMPTY-ARRAY!", IF(_xlpm.HideZero?, _xlpm.result_b, _xlpm.result)), _xlpm.deliver))</definedName>
    <definedName name="Staffing">Cols!$B$3:$O$8</definedName>
    <definedName name="StaffingB">Cols!$B$22:$O$27</definedName>
    <definedName name="Streakλ">_xlfn.LAMBDA(_xlpm.array,_xlop.Horizontal?,_xlop.Include_Symbol?, IF(AND(ROWS(_xlpm.array) = 1, COLUMNS(_xlpm.array) = 1), _xlpm.array, _xlfn.LET(_xlpm.i, ROWS(_xlpm.array), _xlpm.j, COLUMNS(_xlpm.array), _xlpm.Is2D?, AND(_xlpm.i &gt; 1, _xlpm.j &gt; 1), _xlpm.array, IF(_xlpm.Is2D?, _xlfn.TOCOL(_xlpm.array), _xlpm.array), _xlpm.NoDir?, _xlfn.ISOMITTED(_xlpm.Horizontal?), _xlpm.fn, IF(_xlpm.NoDir?, _xleta.VSTACK, _xleta.HSTACK), _xlpm.kept, IF(_xlpm.NoDir?, _xlfn.DROP(_xlpm.array, -1), _xlfn.DROP(_xlpm.array, , -1)), _xlpm.bool, _xlpm.array = _xlpm.fn("omit", _xlpm.kept), _xlpm.acc, _xlfn.SCAN(0, _xlpm.bool, _xlfn.LAMBDA(_xlpm.a,_xlpm.v, IF(_xlpm.a = 0, 1, IF(_xlpm.v, _xlpm.a + 1, 1)))), _xlpm.result, IF(_xlfn.ISOMITTED(_xlpm.Include_Symbol?), _xlpm.acc, _xlpm.array &amp; _xlfn.UNICHAR(183) &amp; _xlpm.acc), _xlpm.deliver, IF(_xlpm.Is2D?, _xlfn.WRAPROWS(_xlpm.result, _xlpm.j), _xlpm.result), _xlpm.deliver)))</definedName>
    <definedName name="Supervisor">Cols!$B$3:$O$3</definedName>
    <definedName name="SupervisorB">Cols!$B$22:$O$22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1" l="1" a="1"/>
  <c r="F4" i="21" s="1"/>
  <c r="D4" i="21" a="1"/>
  <c r="D4" i="21" s="1"/>
  <c r="H14" i="13" a="1"/>
  <c r="H14" i="13" s="1"/>
  <c r="H33" i="13" a="1"/>
  <c r="H33" i="13" s="1"/>
  <c r="L29" i="12" a="1"/>
  <c r="L29" i="12" s="1"/>
  <c r="E29" i="12" a="1"/>
  <c r="E29" i="12" s="1"/>
  <c r="B33" i="13" a="1"/>
  <c r="B33" i="13" s="1"/>
  <c r="B14" i="13" a="1"/>
  <c r="B14" i="13" s="1"/>
  <c r="AG23" i="16" l="1" a="1"/>
  <c r="AG23" i="16" s="1"/>
  <c r="R23" i="16" a="1"/>
  <c r="R23" i="16" s="1"/>
  <c r="AG5" i="16" a="1"/>
  <c r="AG5" i="16" s="1"/>
  <c r="R5" i="16" a="1"/>
  <c r="R5" i="16" s="1"/>
  <c r="G3" i="15" a="1"/>
  <c r="G3" i="15" s="1"/>
  <c r="O4" i="14" a="1"/>
  <c r="O4" i="14" s="1"/>
  <c r="I4" i="14" a="1"/>
  <c r="I4" i="14" s="1"/>
  <c r="L6" i="12" a="1"/>
  <c r="L6" i="12" s="1"/>
  <c r="E6" i="12" a="1"/>
  <c r="E6" i="1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<sst xmlns="http://schemas.openxmlformats.org/spreadsheetml/2006/main" count="821" uniqueCount="372">
  <si>
    <t>-</t>
  </si>
  <si>
    <t>X</t>
  </si>
  <si>
    <t>Region</t>
  </si>
  <si>
    <t>Northeast</t>
  </si>
  <si>
    <t>Midwest</t>
  </si>
  <si>
    <t>Southeast</t>
  </si>
  <si>
    <t>Southwest</t>
  </si>
  <si>
    <t>West</t>
  </si>
  <si>
    <t>Northwest</t>
  </si>
  <si>
    <t>Briggs</t>
  </si>
  <si>
    <t>Smith</t>
  </si>
  <si>
    <t>Grisby</t>
  </si>
  <si>
    <t>Dunbar</t>
  </si>
  <si>
    <t>O'Neal</t>
  </si>
  <si>
    <t>Robinson</t>
  </si>
  <si>
    <t>Jordan</t>
  </si>
  <si>
    <t>Bird</t>
  </si>
  <si>
    <t>Barkley</t>
  </si>
  <si>
    <t>Robertson</t>
  </si>
  <si>
    <t>Phelps</t>
  </si>
  <si>
    <t>Quinn</t>
  </si>
  <si>
    <t>Sheldrake</t>
  </si>
  <si>
    <t>Richards</t>
  </si>
  <si>
    <t>Lewis</t>
  </si>
  <si>
    <t>Miller</t>
  </si>
  <si>
    <t>Reed</t>
  </si>
  <si>
    <t>O'Brien</t>
  </si>
  <si>
    <t>Walker</t>
  </si>
  <si>
    <t>Louis</t>
  </si>
  <si>
    <t>Kwan</t>
  </si>
  <si>
    <t>Miyamoto</t>
  </si>
  <si>
    <t>Paul</t>
  </si>
  <si>
    <t>Rice</t>
  </si>
  <si>
    <t>Novotny</t>
  </si>
  <si>
    <t>Reyes</t>
  </si>
  <si>
    <t>Robbins</t>
  </si>
  <si>
    <t>Nichols</t>
  </si>
  <si>
    <t>Schultz</t>
  </si>
  <si>
    <t>Byers</t>
  </si>
  <si>
    <t>McDaniel</t>
  </si>
  <si>
    <t>Jacoby</t>
  </si>
  <si>
    <t>Indio</t>
  </si>
  <si>
    <t>Manager</t>
  </si>
  <si>
    <t>=DeleteRowsλ(RegionManagers,2,region)</t>
  </si>
  <si>
    <t>=DeleteRowsλ(RegionManagersB,-2,region_b)</t>
  </si>
  <si>
    <t>Bob</t>
  </si>
  <si>
    <t>Deb</t>
  </si>
  <si>
    <t>Gus</t>
  </si>
  <si>
    <t>Supervisor:</t>
  </si>
  <si>
    <t>Staff:</t>
  </si>
  <si>
    <t>Mark</t>
  </si>
  <si>
    <t>Walt</t>
  </si>
  <si>
    <t>Tom</t>
  </si>
  <si>
    <t>Myra</t>
  </si>
  <si>
    <t>David</t>
  </si>
  <si>
    <t>Mike</t>
  </si>
  <si>
    <t>Harry</t>
  </si>
  <si>
    <t>John</t>
  </si>
  <si>
    <t>Wes</t>
  </si>
  <si>
    <t>Jo</t>
  </si>
  <si>
    <t>Ned</t>
  </si>
  <si>
    <t>Fred</t>
  </si>
  <si>
    <t>Rob</t>
  </si>
  <si>
    <t>Gene</t>
  </si>
  <si>
    <t>=DeleteColsλ(StaffingB,-2,SupervisorB)</t>
  </si>
  <si>
    <t>Hank</t>
  </si>
  <si>
    <t>Rita</t>
  </si>
  <si>
    <t>Mary Jo</t>
  </si>
  <si>
    <t>Title</t>
  </si>
  <si>
    <t>Author</t>
  </si>
  <si>
    <t>Year</t>
  </si>
  <si>
    <t>Language</t>
  </si>
  <si>
    <t>The Stranger</t>
  </si>
  <si>
    <t>The Outsider</t>
  </si>
  <si>
    <t>Albert Camus</t>
  </si>
  <si>
    <t>French</t>
  </si>
  <si>
    <t>In Search of Lost Time</t>
  </si>
  <si>
    <t>Remembrance of Things Past</t>
  </si>
  <si>
    <t>Marcel Proust</t>
  </si>
  <si>
    <t>1913–27</t>
  </si>
  <si>
    <t>The Trial</t>
  </si>
  <si>
    <t>Franz Kafka</t>
  </si>
  <si>
    <t>German</t>
  </si>
  <si>
    <t>The Little Prince</t>
  </si>
  <si>
    <t>Antoine de Saint-Exupéry</t>
  </si>
  <si>
    <t>Man's Fate</t>
  </si>
  <si>
    <t>André Malraux</t>
  </si>
  <si>
    <t>Journey to the End of the Night</t>
  </si>
  <si>
    <t>Louis-Ferdinand Céline</t>
  </si>
  <si>
    <t>The Grapes of Wrath</t>
  </si>
  <si>
    <t>John Steinbeck</t>
  </si>
  <si>
    <t>English</t>
  </si>
  <si>
    <t>For Whom the Bell Tolls</t>
  </si>
  <si>
    <t>Ernest Hemingway</t>
  </si>
  <si>
    <t>Le Grand Meaulnes</t>
  </si>
  <si>
    <t>Alain-Fournier</t>
  </si>
  <si>
    <t>Froth on the Daydream</t>
  </si>
  <si>
    <t>Boris Vian</t>
  </si>
  <si>
    <t>The Second Sex</t>
  </si>
  <si>
    <t>Simone de Beauvoir</t>
  </si>
  <si>
    <t>Waiting for Godot</t>
  </si>
  <si>
    <t>Samuel Beckett</t>
  </si>
  <si>
    <t>Being and Nothingness</t>
  </si>
  <si>
    <t>Jean-Paul Sartre</t>
  </si>
  <si>
    <t>The Name of the Rose</t>
  </si>
  <si>
    <t>Umberto Eco</t>
  </si>
  <si>
    <t>Italian</t>
  </si>
  <si>
    <t>The Gulag Archipelago</t>
  </si>
  <si>
    <t>Aleksandr Solzhenitsyn</t>
  </si>
  <si>
    <t>Russian</t>
  </si>
  <si>
    <t>Paroles</t>
  </si>
  <si>
    <t>Jacques Prévert</t>
  </si>
  <si>
    <t>Alcools</t>
  </si>
  <si>
    <t>Guillaume Apollinaire</t>
  </si>
  <si>
    <t>The Blue Lotus</t>
  </si>
  <si>
    <t>Hergé</t>
  </si>
  <si>
    <t>The Diary of a Young Girl</t>
  </si>
  <si>
    <t>Anne Frank</t>
  </si>
  <si>
    <t>Dutch</t>
  </si>
  <si>
    <t>Tristes Tropiques</t>
  </si>
  <si>
    <t>Claude Lévi-Strauss</t>
  </si>
  <si>
    <t>Brave New World</t>
  </si>
  <si>
    <t>Aldous Huxley</t>
  </si>
  <si>
    <t>Nineteen Eighty-Four</t>
  </si>
  <si>
    <t>George Orwell</t>
  </si>
  <si>
    <t>Asterix the Gaul</t>
  </si>
  <si>
    <t>René Goscinny and Albert Uderzo</t>
  </si>
  <si>
    <t>The Bald Soprano</t>
  </si>
  <si>
    <t>Eugène Ionesco</t>
  </si>
  <si>
    <t>Three Essays on the Theory of Sexuality</t>
  </si>
  <si>
    <t>Sigmund Freud</t>
  </si>
  <si>
    <t>The Abyss</t>
  </si>
  <si>
    <t>Zeno of Bruges</t>
  </si>
  <si>
    <t>Marguerite Yourcenar</t>
  </si>
  <si>
    <t>Lolita</t>
  </si>
  <si>
    <t>Vladimir Nabokov</t>
  </si>
  <si>
    <t>Ulysses</t>
  </si>
  <si>
    <t>James Joyce</t>
  </si>
  <si>
    <t>The Tartar Steppe</t>
  </si>
  <si>
    <t>Dino Buzzati</t>
  </si>
  <si>
    <t>The Counterfeiters</t>
  </si>
  <si>
    <t>André Gide</t>
  </si>
  <si>
    <t>The Horseman on the Roof</t>
  </si>
  <si>
    <t>Jean Giono</t>
  </si>
  <si>
    <t>Belle du Seigneur</t>
  </si>
  <si>
    <t>Albert Cohen</t>
  </si>
  <si>
    <t>One Hundred Years of Solitude</t>
  </si>
  <si>
    <t>Gabriel García Márquez</t>
  </si>
  <si>
    <t>Spanish</t>
  </si>
  <si>
    <t>The Sound and the Fury</t>
  </si>
  <si>
    <t>William Faulkner</t>
  </si>
  <si>
    <t>Thérèse Desqueyroux</t>
  </si>
  <si>
    <t>François Mauriac</t>
  </si>
  <si>
    <t>Zazie in the Metro</t>
  </si>
  <si>
    <t>Raymond Queneau</t>
  </si>
  <si>
    <t>Confusion of Feelings</t>
  </si>
  <si>
    <t>Stefan Zweig</t>
  </si>
  <si>
    <t>Gone with the Wind</t>
  </si>
  <si>
    <t>Margaret Mitchell</t>
  </si>
  <si>
    <t>Lady Chatterley's Lover</t>
  </si>
  <si>
    <t>D. H. Lawrence</t>
  </si>
  <si>
    <t>The Magic Mountain</t>
  </si>
  <si>
    <t>Thomas Mann</t>
  </si>
  <si>
    <t>Bonjour Tristesse</t>
  </si>
  <si>
    <t>Françoise Sagan</t>
  </si>
  <si>
    <t>Le Silence de la mer</t>
  </si>
  <si>
    <t>Vercors</t>
  </si>
  <si>
    <t>Life: A User's Manual</t>
  </si>
  <si>
    <t>Georges Perec</t>
  </si>
  <si>
    <t>The Hound of the Baskervilles</t>
  </si>
  <si>
    <t>Arthur Conan Doyle</t>
  </si>
  <si>
    <t>1901–02</t>
  </si>
  <si>
    <t>Under the Sun of Satan</t>
  </si>
  <si>
    <t>Georges Bernanos</t>
  </si>
  <si>
    <t>The Great Gatsby</t>
  </si>
  <si>
    <t>F. Scott Fitzgerald</t>
  </si>
  <si>
    <t>The Joke</t>
  </si>
  <si>
    <t>Milan Kundera</t>
  </si>
  <si>
    <t>Czech</t>
  </si>
  <si>
    <t>Contempt/A Ghost at Noon</t>
  </si>
  <si>
    <t>Alberto Moravia</t>
  </si>
  <si>
    <t>The Murder of Roger Ackroyd</t>
  </si>
  <si>
    <t>Agatha Christie</t>
  </si>
  <si>
    <t>Nadja</t>
  </si>
  <si>
    <t>André Breton</t>
  </si>
  <si>
    <t>Aurélien</t>
  </si>
  <si>
    <t>Louis Aragon</t>
  </si>
  <si>
    <t>The Satin Slipper</t>
  </si>
  <si>
    <t>Paul Claudel</t>
  </si>
  <si>
    <t>Six Characters in Search of an Author</t>
  </si>
  <si>
    <t>Luigi Pirandello</t>
  </si>
  <si>
    <t>The Resistible Rise of Arturo Ui</t>
  </si>
  <si>
    <t>Bertolt Brecht</t>
  </si>
  <si>
    <t>Friday</t>
  </si>
  <si>
    <t>Michel Tournier</t>
  </si>
  <si>
    <t>The War of the Worlds</t>
  </si>
  <si>
    <t>H. G. Wells</t>
  </si>
  <si>
    <t>1898[a]</t>
  </si>
  <si>
    <t>If This Is a Man</t>
  </si>
  <si>
    <t>Se questo è un uomo, Survival in Auschwitz</t>
  </si>
  <si>
    <t>Primo Levi</t>
  </si>
  <si>
    <t>The Lord of the Rings</t>
  </si>
  <si>
    <t>J.R.R. Tolkien</t>
  </si>
  <si>
    <t>1954–55</t>
  </si>
  <si>
    <t>The Tendrils of the Vine</t>
  </si>
  <si>
    <t>Colette</t>
  </si>
  <si>
    <t>Capital of Pain</t>
  </si>
  <si>
    <t>Paul Éluard</t>
  </si>
  <si>
    <t>Martin Eden</t>
  </si>
  <si>
    <t>Jack London</t>
  </si>
  <si>
    <t>The Ballad of the Salty Sea</t>
  </si>
  <si>
    <t>Hugo Pratt</t>
  </si>
  <si>
    <t>Writing Degree Zero</t>
  </si>
  <si>
    <t>Roland Barthes</t>
  </si>
  <si>
    <t>The Lost Honour of Katharina Blum</t>
  </si>
  <si>
    <t>Heinrich Böll</t>
  </si>
  <si>
    <t>The Opposing Shore</t>
  </si>
  <si>
    <t>Julien Gracq</t>
  </si>
  <si>
    <t>The Order of Things</t>
  </si>
  <si>
    <t>Michel Foucault</t>
  </si>
  <si>
    <t>On the Road</t>
  </si>
  <si>
    <t>Jack Kerouac</t>
  </si>
  <si>
    <t>The Wonderful Adventures of Nils</t>
  </si>
  <si>
    <t>Selma Lagerlöf</t>
  </si>
  <si>
    <t>1906–07</t>
  </si>
  <si>
    <t>Swedish</t>
  </si>
  <si>
    <t>A Room of One's Own</t>
  </si>
  <si>
    <t>Virginia Woolf</t>
  </si>
  <si>
    <t>The Martian Chronicles</t>
  </si>
  <si>
    <t>Ray Bradbury</t>
  </si>
  <si>
    <t>The Ravishing of Lol Stein</t>
  </si>
  <si>
    <t>Marguerite Duras</t>
  </si>
  <si>
    <t>The Interrogation</t>
  </si>
  <si>
    <t>J. M. G. Le Clézio</t>
  </si>
  <si>
    <t>Tropisms</t>
  </si>
  <si>
    <t>Nathalie Sarraute</t>
  </si>
  <si>
    <t>Journal, 1887–1910</t>
  </si>
  <si>
    <t>Jules Renard</t>
  </si>
  <si>
    <t>Lord Jim</t>
  </si>
  <si>
    <t>Joseph Conrad</t>
  </si>
  <si>
    <t>Écrits</t>
  </si>
  <si>
    <t>Jacques Lacan</t>
  </si>
  <si>
    <t>The Theatre and Its Double</t>
  </si>
  <si>
    <t>Antonin Artaud</t>
  </si>
  <si>
    <t>Manhattan Transfer</t>
  </si>
  <si>
    <t>John Dos Passos</t>
  </si>
  <si>
    <t>Ficciones</t>
  </si>
  <si>
    <t>Jorge Luis Borges</t>
  </si>
  <si>
    <t>Moravagine</t>
  </si>
  <si>
    <t>Blaise Cendrars</t>
  </si>
  <si>
    <t>The General of the Dead Army</t>
  </si>
  <si>
    <t>Ismail Kadare</t>
  </si>
  <si>
    <t>Albanian</t>
  </si>
  <si>
    <t>Sophie's Choice</t>
  </si>
  <si>
    <t>William Styron</t>
  </si>
  <si>
    <t>Gypsy Ballads</t>
  </si>
  <si>
    <t>Federico García Lorca</t>
  </si>
  <si>
    <t>The Strange Case of Peter the Lett</t>
  </si>
  <si>
    <t>Georges Simenon</t>
  </si>
  <si>
    <t>Our Lady of the Flowers</t>
  </si>
  <si>
    <t>Jean Genet</t>
  </si>
  <si>
    <t>The Man Without Qualities</t>
  </si>
  <si>
    <t>Robert Musil</t>
  </si>
  <si>
    <t>1930–42</t>
  </si>
  <si>
    <t>Furor and Mystery</t>
  </si>
  <si>
    <t>René Char</t>
  </si>
  <si>
    <t>The Catcher in the Rye</t>
  </si>
  <si>
    <t>J. D. Salinger</t>
  </si>
  <si>
    <t>No Orchids For Miss Blandish</t>
  </si>
  <si>
    <t>James Hadley Chase</t>
  </si>
  <si>
    <t>Blake and Mortimer</t>
  </si>
  <si>
    <t>Edgar P. Jacobs</t>
  </si>
  <si>
    <t>The Notebooks of Malte Laurids Brigge</t>
  </si>
  <si>
    <t>Rainer Maria Rilke</t>
  </si>
  <si>
    <t>Second Thoughts</t>
  </si>
  <si>
    <t>Michel Butor</t>
  </si>
  <si>
    <t>The Origins of Totalitarianism</t>
  </si>
  <si>
    <t>The Burden of Our Time</t>
  </si>
  <si>
    <t>Hannah Arendt</t>
  </si>
  <si>
    <t>The Master and Margarita</t>
  </si>
  <si>
    <t>Mikhail Bulgakov</t>
  </si>
  <si>
    <t>The Rosy Crucifixion</t>
  </si>
  <si>
    <t>Henry Miller</t>
  </si>
  <si>
    <t>1949–60</t>
  </si>
  <si>
    <t>The Big Sleep</t>
  </si>
  <si>
    <t>Raymond Chandler</t>
  </si>
  <si>
    <t>Amers</t>
  </si>
  <si>
    <t>Saint-John Perse</t>
  </si>
  <si>
    <t>Gaston</t>
  </si>
  <si>
    <t>Gomer Goof</t>
  </si>
  <si>
    <t>André Franquin</t>
  </si>
  <si>
    <t>Under the Volcano</t>
  </si>
  <si>
    <t>Malcolm Lowry</t>
  </si>
  <si>
    <t>Midnight's Children</t>
  </si>
  <si>
    <t>Salman Rushdie</t>
  </si>
  <si>
    <t>=Squeezeλ(Books,,1)  - Zeros hidden</t>
  </si>
  <si>
    <t>Books</t>
  </si>
  <si>
    <t>Books2</t>
  </si>
  <si>
    <t>=Squeezeλ(Books2,"-") - with custom criteria</t>
  </si>
  <si>
    <t>Grid</t>
  </si>
  <si>
    <t>=DeleteWhereλ(Grid,LAMBDA(v,SUM(v)=100))</t>
  </si>
  <si>
    <t>Example A</t>
  </si>
  <si>
    <t>Vectors removed in result for Example A</t>
  </si>
  <si>
    <t>Vectors removed in result for Example B</t>
  </si>
  <si>
    <t>Example B</t>
  </si>
  <si>
    <t>=DeleteWhereλ(Grid,LAMBDA(v,MODE(v)=5))</t>
  </si>
  <si>
    <t>Grid2</t>
  </si>
  <si>
    <t>Del</t>
  </si>
  <si>
    <t>=DeleteWhereλ(Grid2,LAMBDA(v,OR(v="X",v="Del")))</t>
  </si>
  <si>
    <t>Example C</t>
  </si>
  <si>
    <t>Vectors removed in result for Example C</t>
  </si>
  <si>
    <t>Example D</t>
  </si>
  <si>
    <t>Y</t>
  </si>
  <si>
    <t>=DeleteWhereλ(Grid2,LAMBDA(v,AND(ISNUMBER(v))))</t>
  </si>
  <si>
    <t>Values kept after deletion for Example D</t>
  </si>
  <si>
    <t>Example A → Sum-based deletion</t>
  </si>
  <si>
    <t>Example B → Mode-based deletion</t>
  </si>
  <si>
    <t>Example C → Marker-based deletion</t>
  </si>
  <si>
    <t>Example D → Type-based deletion</t>
  </si>
  <si>
    <t>DeleteRowsλ</t>
  </si>
  <si>
    <t>DeleteColsλ</t>
  </si>
  <si>
    <t>Squeezeλ</t>
  </si>
  <si>
    <t>DeleteWhereλ</t>
  </si>
  <si>
    <t>Function</t>
  </si>
  <si>
    <t>I want to remove…</t>
  </si>
  <si>
    <t>Error</t>
  </si>
  <si>
    <t>Description</t>
  </si>
  <si>
    <t>#DIMENSIONS!</t>
  </si>
  <si>
    <t>#TEXT!</t>
  </si>
  <si>
    <t>#MIXED!</t>
  </si>
  <si>
    <t>#EMPTY-ARRAY!</t>
  </si>
  <si>
    <t>Squeezeλ &amp; DeleteWhereλ</t>
  </si>
  <si>
    <t>=KeepRowsλ(RegionManagers,2,region)</t>
  </si>
  <si>
    <t>Rows remaining after DeleteRowsλ</t>
  </si>
  <si>
    <t>Rows retained by KeepRowsλ</t>
  </si>
  <si>
    <t>Columns remaining after DeleteRowsλ</t>
  </si>
  <si>
    <t>Columns retained by KeepRowsλ</t>
  </si>
  <si>
    <t>KeepRowsλ</t>
  </si>
  <si>
    <t>KeepColsλ</t>
  </si>
  <si>
    <t>I want to keep…</t>
  </si>
  <si>
    <t>=KeepColsλ(StaffingB,-2,SupervisorB)</t>
  </si>
  <si>
    <t>=KeepRowsλ(RegionManagersB,-2,region_b)</t>
  </si>
  <si>
    <t>Lambda helpers for generating indices</t>
  </si>
  <si>
    <t>Countdownλ</t>
  </si>
  <si>
    <t>Streakλ</t>
  </si>
  <si>
    <t>Calculate streaks of consecutive values within 1D or 2D arrays.</t>
  </si>
  <si>
    <t>Cities</t>
  </si>
  <si>
    <t>San Antonio</t>
  </si>
  <si>
    <t>Houston</t>
  </si>
  <si>
    <t>Dallas</t>
  </si>
  <si>
    <t>Plano</t>
  </si>
  <si>
    <t>Fort Worth</t>
  </si>
  <si>
    <t>Arlington</t>
  </si>
  <si>
    <t>=Countdownλ(cities)</t>
  </si>
  <si>
    <t>=Streakλ(cities)</t>
  </si>
  <si>
    <t>DeleteRowsλ &amp; DeleteColsλ, KeepRowsλ &amp; KeepColsλ</t>
  </si>
  <si>
    <t>All rows and columns were removed. No output remains after applying the function.</t>
  </si>
  <si>
    <t>For row‑based functions: the number of rows in array and at_each_change do not match. For column‑based functions: the number of columns in array and at_each_change do not match.</t>
  </si>
  <si>
    <t>The delete or keep parameter contains text instead of a numeric scalar.</t>
  </si>
  <si>
    <t>The delete or keep parameter contains a mixture of positive and negative integers. Only all‑positive or all‑negative values are allowed.</t>
  </si>
  <si>
    <t>The Symmetry Suite</t>
  </si>
  <si>
    <t>Remove rows from a 2D array by specifying delete counts for each subgroup.</t>
  </si>
  <si>
    <t>Remove columns from a 2D array by specifying delete counts for each subgroup.</t>
  </si>
  <si>
    <t>Remove empty rows and columns from a 2D array, with optional custom criteria.</t>
  </si>
  <si>
    <t>Remove rows and columns that meet criteria defined by a Lambda.</t>
  </si>
  <si>
    <t>Retain rows from a 2D array by specifying keep counts for each subgroup.</t>
  </si>
  <si>
    <t>Retain columns from a 2D array by specifying keep counts for each subgroup.</t>
  </si>
  <si>
    <t>Generate countdown indices for contiguous runs in a 1D array, counting down from run length to 1.</t>
  </si>
  <si>
    <t>A collection of structural array functions for shaping, trimming, and subgroup-based selection in 2D matrices.</t>
  </si>
  <si>
    <t>=DeleteColsλ(Staffing,2,Supervisor)</t>
  </si>
  <si>
    <t>=KeepColsλ(Staffing,2,Supervisor)</t>
  </si>
  <si>
    <t>=Squeezeλ(Books)  - Zeros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</si>
</sst>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Mono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i/>
      <sz val="11"/>
      <color theme="1"/>
      <name val="Segoe UI"/>
      <family val="2"/>
    </font>
    <font>
      <b/>
      <i/>
      <sz val="11"/>
      <color theme="6" tint="-0.249977111117893"/>
      <name val="Segoe UI"/>
      <family val="2"/>
    </font>
    <font>
      <sz val="11"/>
      <color theme="6" tint="-0.249977111117893"/>
      <name val="Segoe UI"/>
      <family val="2"/>
    </font>
    <font>
      <b/>
      <sz val="11"/>
      <color theme="6" tint="-0.249977111117893"/>
      <name val="Segoe UI"/>
      <family val="2"/>
    </font>
    <font>
      <b/>
      <sz val="14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7C8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4" borderId="0" xfId="0" applyFont="1" applyFill="1"/>
    <xf numFmtId="0" fontId="2" fillId="0" borderId="0" xfId="0" applyFont="1"/>
    <xf numFmtId="0" fontId="4" fillId="0" borderId="0" xfId="0" quotePrefix="1" applyFont="1"/>
    <xf numFmtId="0" fontId="1" fillId="2" borderId="0" xfId="0" applyFont="1" applyFill="1"/>
    <xf numFmtId="0" fontId="1" fillId="5" borderId="0" xfId="0" applyFont="1" applyFill="1"/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center"/>
    </xf>
    <xf numFmtId="0" fontId="6" fillId="0" borderId="0" xfId="0" quotePrefix="1" applyFont="1" applyAlignment="1">
      <alignment horizontal="left"/>
    </xf>
    <xf numFmtId="0" fontId="1" fillId="6" borderId="0" xfId="0" applyFont="1" applyFill="1" applyAlignment="1">
      <alignment horizontal="center"/>
    </xf>
    <xf numFmtId="0" fontId="6" fillId="0" borderId="0" xfId="0" quotePrefix="1" applyFont="1"/>
    <xf numFmtId="0" fontId="2" fillId="0" borderId="1" xfId="0" applyFont="1" applyBorder="1"/>
    <xf numFmtId="0" fontId="5" fillId="0" borderId="0" xfId="0" applyFont="1"/>
    <xf numFmtId="0" fontId="6" fillId="0" borderId="0" xfId="0" applyFont="1"/>
    <xf numFmtId="0" fontId="4" fillId="0" borderId="0" xfId="0" applyFont="1"/>
    <xf numFmtId="0" fontId="3" fillId="0" borderId="0" xfId="0" applyFont="1"/>
    <xf numFmtId="0" fontId="1" fillId="5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1" fillId="5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8" xfId="0" applyFont="1" applyBorder="1"/>
    <xf numFmtId="0" fontId="1" fillId="3" borderId="1" xfId="0" applyFont="1" applyFill="1" applyBorder="1" applyAlignment="1">
      <alignment horizontal="center"/>
    </xf>
    <xf numFmtId="0" fontId="1" fillId="3" borderId="0" xfId="0" applyFont="1" applyFill="1"/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7" borderId="0" xfId="0" applyFont="1" applyFill="1"/>
    <xf numFmtId="0" fontId="1" fillId="7" borderId="0" xfId="0" applyFont="1" applyFill="1" applyAlignment="1">
      <alignment horizontal="center"/>
    </xf>
    <xf numFmtId="0" fontId="4" fillId="0" borderId="0" xfId="0" quotePrefix="1" applyFont="1" applyAlignment="1">
      <alignment horizontal="left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92B3A7A-2271-41F4-9881-B88E810EAAA6}"/>
  </tableStyles>
  <colors>
    <mruColors>
      <color rgb="FFFF7C8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4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DF5F547-1EF9-4426-98B9-7344EEBF78C2}">
  <we:reference id="WA200003696" version="1.3.0.0" store="Omex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800F0461-B5BE-4C9A-9875-93573FEB42EF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15F4-3386-411C-978D-8EE182878B15}">
  <sheetPr codeName="Sheet1">
    <tabColor theme="0" tint="-4.9989318521683403E-2"/>
  </sheetPr>
  <dimension ref="B2:C17"/>
  <sheetViews>
    <sheetView showGridLines="0" tabSelected="1" workbookViewId="0">
      <selection activeCell="B6" sqref="B6"/>
    </sheetView>
  </sheetViews>
  <sheetFormatPr defaultColWidth="0" defaultRowHeight="16.5" x14ac:dyDescent="0.45"/>
  <cols>
    <col min="1" max="1" width="9.23046875" style="1" customWidth="1"/>
    <col min="2" max="2" width="12.4609375" style="1" bestFit="1" customWidth="1"/>
    <col min="3" max="3" width="58.3046875" style="1" customWidth="1"/>
    <col min="4" max="5" width="9.23046875" style="1" customWidth="1"/>
    <col min="6" max="16384" width="9.23046875" style="1" hidden="1"/>
  </cols>
  <sheetData>
    <row r="2" spans="2:3" ht="21" x14ac:dyDescent="0.55000000000000004">
      <c r="C2" s="47" t="s">
        <v>360</v>
      </c>
    </row>
    <row r="3" spans="2:3" ht="33" x14ac:dyDescent="0.45">
      <c r="C3" s="52" t="s">
        <v>368</v>
      </c>
    </row>
    <row r="5" spans="2:3" ht="33" customHeight="1" x14ac:dyDescent="0.45">
      <c r="B5" s="64" t="s">
        <v>323</v>
      </c>
      <c r="C5" s="64" t="s">
        <v>324</v>
      </c>
    </row>
    <row r="6" spans="2:3" ht="33" customHeight="1" x14ac:dyDescent="0.45">
      <c r="B6" s="58" t="s">
        <v>319</v>
      </c>
      <c r="C6" s="53" t="s">
        <v>361</v>
      </c>
    </row>
    <row r="7" spans="2:3" ht="33" customHeight="1" x14ac:dyDescent="0.45">
      <c r="B7" s="58" t="s">
        <v>320</v>
      </c>
      <c r="C7" s="53" t="s">
        <v>362</v>
      </c>
    </row>
    <row r="8" spans="2:3" ht="33" customHeight="1" x14ac:dyDescent="0.45">
      <c r="B8" s="58" t="s">
        <v>321</v>
      </c>
      <c r="C8" s="53" t="s">
        <v>363</v>
      </c>
    </row>
    <row r="9" spans="2:3" ht="33" customHeight="1" x14ac:dyDescent="0.45">
      <c r="B9" s="58" t="s">
        <v>322</v>
      </c>
      <c r="C9" s="53" t="s">
        <v>364</v>
      </c>
    </row>
    <row r="10" spans="2:3" ht="33" customHeight="1" x14ac:dyDescent="0.45">
      <c r="B10" s="57"/>
      <c r="C10" s="56"/>
    </row>
    <row r="11" spans="2:3" ht="33" customHeight="1" x14ac:dyDescent="0.45">
      <c r="B11" s="63" t="s">
        <v>323</v>
      </c>
      <c r="C11" s="63" t="s">
        <v>339</v>
      </c>
    </row>
    <row r="12" spans="2:3" ht="33" customHeight="1" x14ac:dyDescent="0.45">
      <c r="B12" s="58" t="s">
        <v>337</v>
      </c>
      <c r="C12" s="53" t="s">
        <v>365</v>
      </c>
    </row>
    <row r="13" spans="2:3" ht="33" customHeight="1" x14ac:dyDescent="0.45">
      <c r="B13" s="58" t="s">
        <v>338</v>
      </c>
      <c r="C13" s="53" t="s">
        <v>366</v>
      </c>
    </row>
    <row r="14" spans="2:3" ht="33" customHeight="1" x14ac:dyDescent="0.45">
      <c r="B14" s="57"/>
      <c r="C14" s="56"/>
    </row>
    <row r="15" spans="2:3" ht="33" customHeight="1" x14ac:dyDescent="0.45">
      <c r="B15" s="62" t="s">
        <v>323</v>
      </c>
      <c r="C15" s="62" t="s">
        <v>342</v>
      </c>
    </row>
    <row r="16" spans="2:3" ht="33" customHeight="1" x14ac:dyDescent="0.45">
      <c r="B16" s="58" t="s">
        <v>343</v>
      </c>
      <c r="C16" s="53" t="s">
        <v>367</v>
      </c>
    </row>
    <row r="17" spans="2:3" ht="33" customHeight="1" x14ac:dyDescent="0.45">
      <c r="B17" s="58" t="s">
        <v>344</v>
      </c>
      <c r="C17" s="53" t="s">
        <v>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0B379-C309-4A81-AAB9-2A821657AA67}">
  <sheetPr codeName="Sheet2">
    <tabColor theme="5" tint="0.39997558519241921"/>
  </sheetPr>
  <dimension ref="A1:M78"/>
  <sheetViews>
    <sheetView zoomScale="85" zoomScaleNormal="85" workbookViewId="0">
      <selection activeCell="E6" sqref="E6"/>
    </sheetView>
  </sheetViews>
  <sheetFormatPr defaultRowHeight="16.5" x14ac:dyDescent="0.45"/>
  <cols>
    <col min="1" max="1" width="5.53515625" style="1" customWidth="1"/>
    <col min="2" max="3" width="8.3828125" style="1" bestFit="1" customWidth="1"/>
    <col min="4" max="4" width="17.921875" style="1" customWidth="1"/>
    <col min="5" max="5" width="34.69140625" style="1" bestFit="1" customWidth="1"/>
    <col min="6" max="6" width="8.3828125" style="1" bestFit="1" customWidth="1"/>
    <col min="7" max="7" width="5.53515625" style="1" customWidth="1"/>
    <col min="8" max="8" width="3.69140625" style="1" customWidth="1"/>
    <col min="9" max="9" width="8.3828125" style="1" bestFit="1" customWidth="1"/>
    <col min="10" max="10" width="26.84375" style="1" bestFit="1" customWidth="1"/>
    <col min="11" max="11" width="9.23046875" style="1"/>
    <col min="12" max="12" width="38.23046875" style="1" bestFit="1" customWidth="1"/>
    <col min="13" max="13" width="8.3828125" style="1" bestFit="1" customWidth="1"/>
    <col min="14" max="16384" width="9.23046875" style="1"/>
  </cols>
  <sheetData>
    <row r="1" spans="2:13" customFormat="1" ht="15.75" customHeight="1" x14ac:dyDescent="0.35"/>
    <row r="2" spans="2:13" x14ac:dyDescent="0.45">
      <c r="C2" s="49"/>
      <c r="D2" s="1" t="s">
        <v>333</v>
      </c>
      <c r="I2" s="49"/>
      <c r="J2" s="1" t="s">
        <v>333</v>
      </c>
    </row>
    <row r="3" spans="2:13" x14ac:dyDescent="0.45">
      <c r="C3" s="8"/>
      <c r="D3" s="1" t="s">
        <v>334</v>
      </c>
      <c r="I3" s="11"/>
      <c r="J3" s="1" t="s">
        <v>334</v>
      </c>
    </row>
    <row r="5" spans="2:13" x14ac:dyDescent="0.45">
      <c r="B5" s="9" t="s">
        <v>2</v>
      </c>
      <c r="C5" s="9" t="s">
        <v>42</v>
      </c>
      <c r="E5" s="10" t="s">
        <v>43</v>
      </c>
      <c r="I5" s="1" t="s">
        <v>2</v>
      </c>
      <c r="J5" s="1" t="s">
        <v>42</v>
      </c>
      <c r="L5" s="10" t="s">
        <v>44</v>
      </c>
    </row>
    <row r="6" spans="2:13" x14ac:dyDescent="0.45">
      <c r="B6" s="8" t="s">
        <v>3</v>
      </c>
      <c r="C6" s="8" t="s">
        <v>9</v>
      </c>
      <c r="E6" s="1" t="str" cm="1">
        <f t="array" ref="E6:F26">DeleteRowsλ(RegionManagers,2,region)</f>
        <v>Northeast</v>
      </c>
      <c r="F6" s="1" t="str">
        <v>Grisby</v>
      </c>
      <c r="I6" s="49" t="s">
        <v>3</v>
      </c>
      <c r="J6" s="49" t="s">
        <v>9</v>
      </c>
      <c r="L6" s="1" t="str" cm="1">
        <f t="array" ref="L6:M26">DeleteRowsλ(RegionManagersB,-2,region_b)</f>
        <v>Northeast</v>
      </c>
      <c r="M6" s="1" t="str">
        <v>Briggs</v>
      </c>
    </row>
    <row r="7" spans="2:13" x14ac:dyDescent="0.45">
      <c r="B7" s="8" t="s">
        <v>3</v>
      </c>
      <c r="C7" s="8" t="s">
        <v>10</v>
      </c>
      <c r="E7" s="1" t="str">
        <v>Northeast</v>
      </c>
      <c r="F7" s="1" t="str">
        <v>Dunbar</v>
      </c>
      <c r="I7" s="49" t="s">
        <v>3</v>
      </c>
      <c r="J7" s="49" t="s">
        <v>10</v>
      </c>
      <c r="L7" s="1" t="str">
        <v>Northeast</v>
      </c>
      <c r="M7" s="1" t="str">
        <v>Smith</v>
      </c>
    </row>
    <row r="8" spans="2:13" x14ac:dyDescent="0.45">
      <c r="B8" s="49" t="s">
        <v>3</v>
      </c>
      <c r="C8" s="49" t="s">
        <v>11</v>
      </c>
      <c r="E8" s="1" t="str">
        <v>Northeast</v>
      </c>
      <c r="F8" s="1" t="str">
        <v>O'Neal</v>
      </c>
      <c r="I8" s="49" t="s">
        <v>3</v>
      </c>
      <c r="J8" s="49" t="s">
        <v>11</v>
      </c>
      <c r="L8" s="1" t="str">
        <v>Northeast</v>
      </c>
      <c r="M8" s="1" t="str">
        <v>Grisby</v>
      </c>
    </row>
    <row r="9" spans="2:13" x14ac:dyDescent="0.45">
      <c r="B9" s="49" t="s">
        <v>3</v>
      </c>
      <c r="C9" s="49" t="s">
        <v>12</v>
      </c>
      <c r="E9" s="1" t="str">
        <v>Northeast</v>
      </c>
      <c r="F9" s="1" t="str">
        <v>Robinson</v>
      </c>
      <c r="I9" s="49" t="s">
        <v>3</v>
      </c>
      <c r="J9" s="49" t="s">
        <v>12</v>
      </c>
      <c r="L9" s="1" t="str">
        <v>Northeast</v>
      </c>
      <c r="M9" s="1" t="str">
        <v>Dunbar</v>
      </c>
    </row>
    <row r="10" spans="2:13" x14ac:dyDescent="0.45">
      <c r="B10" s="49" t="s">
        <v>3</v>
      </c>
      <c r="C10" s="49" t="s">
        <v>13</v>
      </c>
      <c r="E10" s="1" t="str">
        <v>Midwest</v>
      </c>
      <c r="F10" s="1" t="str">
        <v>Barkley</v>
      </c>
      <c r="I10" s="11" t="s">
        <v>3</v>
      </c>
      <c r="J10" s="11" t="s">
        <v>13</v>
      </c>
      <c r="L10" s="1" t="str">
        <v>Midwest</v>
      </c>
      <c r="M10" s="1" t="str">
        <v>Jordan</v>
      </c>
    </row>
    <row r="11" spans="2:13" x14ac:dyDescent="0.45">
      <c r="B11" s="49" t="s">
        <v>3</v>
      </c>
      <c r="C11" s="49" t="s">
        <v>14</v>
      </c>
      <c r="E11" s="1" t="str">
        <v>Midwest</v>
      </c>
      <c r="F11" s="1" t="str">
        <v>Robertson</v>
      </c>
      <c r="I11" s="11" t="s">
        <v>3</v>
      </c>
      <c r="J11" s="11" t="s">
        <v>14</v>
      </c>
      <c r="L11" s="1" t="str">
        <v>Midwest</v>
      </c>
      <c r="M11" s="1" t="str">
        <v>Bird</v>
      </c>
    </row>
    <row r="12" spans="2:13" x14ac:dyDescent="0.45">
      <c r="B12" s="8" t="s">
        <v>4</v>
      </c>
      <c r="C12" s="8" t="s">
        <v>15</v>
      </c>
      <c r="E12" s="1" t="str">
        <v>Midwest</v>
      </c>
      <c r="F12" s="1" t="str">
        <v>Phelps</v>
      </c>
      <c r="I12" s="49" t="s">
        <v>4</v>
      </c>
      <c r="J12" s="49" t="s">
        <v>15</v>
      </c>
      <c r="L12" s="1" t="str">
        <v>Midwest</v>
      </c>
      <c r="M12" s="1" t="str">
        <v>Barkley</v>
      </c>
    </row>
    <row r="13" spans="2:13" x14ac:dyDescent="0.45">
      <c r="B13" s="8" t="s">
        <v>4</v>
      </c>
      <c r="C13" s="8" t="s">
        <v>16</v>
      </c>
      <c r="E13" s="1" t="str">
        <v>Midwest</v>
      </c>
      <c r="F13" s="1" t="str">
        <v>Quinn</v>
      </c>
      <c r="I13" s="49" t="s">
        <v>4</v>
      </c>
      <c r="J13" s="49" t="s">
        <v>16</v>
      </c>
      <c r="L13" s="1" t="str">
        <v>Midwest</v>
      </c>
      <c r="M13" s="1" t="str">
        <v>Robertson</v>
      </c>
    </row>
    <row r="14" spans="2:13" x14ac:dyDescent="0.45">
      <c r="B14" s="49" t="s">
        <v>4</v>
      </c>
      <c r="C14" s="49" t="s">
        <v>17</v>
      </c>
      <c r="E14" s="1" t="str">
        <v>Southeast</v>
      </c>
      <c r="F14" s="1" t="str">
        <v>Lewis</v>
      </c>
      <c r="I14" s="49" t="s">
        <v>4</v>
      </c>
      <c r="J14" s="49" t="s">
        <v>17</v>
      </c>
      <c r="L14" s="1" t="str">
        <v>Southeast</v>
      </c>
      <c r="M14" s="1" t="str">
        <v>Sheldrake</v>
      </c>
    </row>
    <row r="15" spans="2:13" x14ac:dyDescent="0.45">
      <c r="B15" s="49" t="s">
        <v>4</v>
      </c>
      <c r="C15" s="49" t="s">
        <v>18</v>
      </c>
      <c r="E15" s="1" t="str">
        <v>Southeast</v>
      </c>
      <c r="F15" s="1" t="str">
        <v>Miller</v>
      </c>
      <c r="I15" s="49" t="s">
        <v>4</v>
      </c>
      <c r="J15" s="49" t="s">
        <v>18</v>
      </c>
      <c r="L15" s="1" t="str">
        <v>Southeast</v>
      </c>
      <c r="M15" s="1" t="str">
        <v>Richards</v>
      </c>
    </row>
    <row r="16" spans="2:13" x14ac:dyDescent="0.45">
      <c r="B16" s="49" t="s">
        <v>4</v>
      </c>
      <c r="C16" s="49" t="s">
        <v>19</v>
      </c>
      <c r="E16" s="1" t="str">
        <v>Southeast</v>
      </c>
      <c r="F16" s="1" t="str">
        <v>Reed</v>
      </c>
      <c r="I16" s="11" t="s">
        <v>4</v>
      </c>
      <c r="J16" s="11" t="s">
        <v>19</v>
      </c>
      <c r="L16" s="1" t="str">
        <v>Southeast</v>
      </c>
      <c r="M16" s="1" t="str">
        <v>Lewis</v>
      </c>
    </row>
    <row r="17" spans="2:13" x14ac:dyDescent="0.45">
      <c r="B17" s="49" t="s">
        <v>4</v>
      </c>
      <c r="C17" s="49" t="s">
        <v>20</v>
      </c>
      <c r="E17" s="1" t="str">
        <v>Southeast</v>
      </c>
      <c r="F17" s="1" t="str">
        <v>O'Brien</v>
      </c>
      <c r="I17" s="11" t="s">
        <v>4</v>
      </c>
      <c r="J17" s="11" t="s">
        <v>20</v>
      </c>
      <c r="L17" s="1" t="str">
        <v>Southeast</v>
      </c>
      <c r="M17" s="1" t="str">
        <v>Miller</v>
      </c>
    </row>
    <row r="18" spans="2:13" x14ac:dyDescent="0.45">
      <c r="B18" s="8" t="s">
        <v>5</v>
      </c>
      <c r="C18" s="8" t="s">
        <v>21</v>
      </c>
      <c r="E18" s="1" t="str">
        <v>Southwest</v>
      </c>
      <c r="F18" s="1" t="str">
        <v>Kwan</v>
      </c>
      <c r="I18" s="49" t="s">
        <v>5</v>
      </c>
      <c r="J18" s="49" t="s">
        <v>21</v>
      </c>
      <c r="L18" s="1" t="str">
        <v>Southwest</v>
      </c>
      <c r="M18" s="1" t="str">
        <v>Walker</v>
      </c>
    </row>
    <row r="19" spans="2:13" x14ac:dyDescent="0.45">
      <c r="B19" s="8" t="s">
        <v>5</v>
      </c>
      <c r="C19" s="8" t="s">
        <v>22</v>
      </c>
      <c r="E19" s="1" t="str">
        <v>Southwest</v>
      </c>
      <c r="F19" s="1" t="str">
        <v>Miyamoto</v>
      </c>
      <c r="I19" s="49" t="s">
        <v>5</v>
      </c>
      <c r="J19" s="49" t="s">
        <v>22</v>
      </c>
      <c r="L19" s="1" t="str">
        <v>Southwest</v>
      </c>
      <c r="M19" s="1" t="str">
        <v>Louis</v>
      </c>
    </row>
    <row r="20" spans="2:13" x14ac:dyDescent="0.45">
      <c r="B20" s="49" t="s">
        <v>5</v>
      </c>
      <c r="C20" s="49" t="s">
        <v>23</v>
      </c>
      <c r="E20" s="1" t="str">
        <v>Southwest</v>
      </c>
      <c r="F20" s="1" t="str">
        <v>Paul</v>
      </c>
      <c r="I20" s="49" t="s">
        <v>5</v>
      </c>
      <c r="J20" s="49" t="s">
        <v>23</v>
      </c>
      <c r="L20" s="1" t="str">
        <v>Southwest</v>
      </c>
      <c r="M20" s="1" t="str">
        <v>Kwan</v>
      </c>
    </row>
    <row r="21" spans="2:13" x14ac:dyDescent="0.45">
      <c r="B21" s="49" t="s">
        <v>5</v>
      </c>
      <c r="C21" s="49" t="s">
        <v>24</v>
      </c>
      <c r="E21" s="1" t="str">
        <v>Southwest</v>
      </c>
      <c r="F21" s="1" t="str">
        <v>Rice</v>
      </c>
      <c r="I21" s="49" t="s">
        <v>5</v>
      </c>
      <c r="J21" s="49" t="s">
        <v>24</v>
      </c>
      <c r="L21" s="1" t="str">
        <v>Southwest</v>
      </c>
      <c r="M21" s="1" t="str">
        <v>Miyamoto</v>
      </c>
    </row>
    <row r="22" spans="2:13" x14ac:dyDescent="0.45">
      <c r="B22" s="49" t="s">
        <v>5</v>
      </c>
      <c r="C22" s="49" t="s">
        <v>25</v>
      </c>
      <c r="E22" s="1" t="str">
        <v>Southwest</v>
      </c>
      <c r="F22" s="1" t="str">
        <v>Novotny</v>
      </c>
      <c r="I22" s="11" t="s">
        <v>5</v>
      </c>
      <c r="J22" s="11" t="s">
        <v>25</v>
      </c>
      <c r="L22" s="1" t="str">
        <v>Southwest</v>
      </c>
      <c r="M22" s="1" t="str">
        <v>Paul</v>
      </c>
    </row>
    <row r="23" spans="2:13" x14ac:dyDescent="0.45">
      <c r="B23" s="49" t="s">
        <v>5</v>
      </c>
      <c r="C23" s="49" t="s">
        <v>26</v>
      </c>
      <c r="E23" s="1" t="str">
        <v>West</v>
      </c>
      <c r="F23" s="1" t="str">
        <v>Nichols</v>
      </c>
      <c r="I23" s="11" t="s">
        <v>5</v>
      </c>
      <c r="J23" s="11" t="s">
        <v>26</v>
      </c>
      <c r="L23" s="1" t="str">
        <v>West</v>
      </c>
      <c r="M23" s="1" t="str">
        <v>Reyes</v>
      </c>
    </row>
    <row r="24" spans="2:13" x14ac:dyDescent="0.45">
      <c r="B24" s="8" t="s">
        <v>6</v>
      </c>
      <c r="C24" s="8" t="s">
        <v>27</v>
      </c>
      <c r="E24" s="1" t="str">
        <v>West</v>
      </c>
      <c r="F24" s="1" t="str">
        <v>Schultz</v>
      </c>
      <c r="I24" s="49" t="s">
        <v>6</v>
      </c>
      <c r="J24" s="49" t="s">
        <v>27</v>
      </c>
      <c r="L24" s="1" t="str">
        <v>West</v>
      </c>
      <c r="M24" s="1" t="str">
        <v>Robbins</v>
      </c>
    </row>
    <row r="25" spans="2:13" x14ac:dyDescent="0.45">
      <c r="B25" s="8" t="s">
        <v>6</v>
      </c>
      <c r="C25" s="8" t="s">
        <v>28</v>
      </c>
      <c r="E25" s="1" t="str">
        <v>Northwest</v>
      </c>
      <c r="F25" s="1" t="str">
        <v>Jacoby</v>
      </c>
      <c r="I25" s="49" t="s">
        <v>6</v>
      </c>
      <c r="J25" s="49" t="s">
        <v>28</v>
      </c>
      <c r="L25" s="1" t="str">
        <v>Northwest</v>
      </c>
      <c r="M25" s="1" t="str">
        <v>Byers</v>
      </c>
    </row>
    <row r="26" spans="2:13" x14ac:dyDescent="0.45">
      <c r="B26" s="49" t="s">
        <v>6</v>
      </c>
      <c r="C26" s="49" t="s">
        <v>29</v>
      </c>
      <c r="E26" s="1" t="str">
        <v>Northwest</v>
      </c>
      <c r="F26" s="1" t="str">
        <v>Indio</v>
      </c>
      <c r="I26" s="49" t="s">
        <v>6</v>
      </c>
      <c r="J26" s="49" t="s">
        <v>29</v>
      </c>
      <c r="L26" s="1" t="str">
        <v>Northwest</v>
      </c>
      <c r="M26" s="1" t="str">
        <v>McDaniel</v>
      </c>
    </row>
    <row r="27" spans="2:13" x14ac:dyDescent="0.45">
      <c r="B27" s="49" t="s">
        <v>6</v>
      </c>
      <c r="C27" s="49" t="s">
        <v>30</v>
      </c>
      <c r="I27" s="49" t="s">
        <v>6</v>
      </c>
      <c r="J27" s="49" t="s">
        <v>30</v>
      </c>
    </row>
    <row r="28" spans="2:13" x14ac:dyDescent="0.45">
      <c r="B28" s="49" t="s">
        <v>6</v>
      </c>
      <c r="C28" s="49" t="s">
        <v>31</v>
      </c>
      <c r="E28" s="10" t="s">
        <v>332</v>
      </c>
      <c r="I28" s="49" t="s">
        <v>6</v>
      </c>
      <c r="J28" s="49" t="s">
        <v>31</v>
      </c>
      <c r="L28" s="10" t="s">
        <v>341</v>
      </c>
    </row>
    <row r="29" spans="2:13" x14ac:dyDescent="0.45">
      <c r="B29" s="49" t="s">
        <v>6</v>
      </c>
      <c r="C29" s="49" t="s">
        <v>32</v>
      </c>
      <c r="E29" s="1" t="str" cm="1">
        <f t="array" ref="E29:F40">KeepRowsλ(RegionManagers,2,region)</f>
        <v>Northeast</v>
      </c>
      <c r="F29" s="1" t="str">
        <v>Briggs</v>
      </c>
      <c r="I29" s="11" t="s">
        <v>6</v>
      </c>
      <c r="J29" s="11" t="s">
        <v>32</v>
      </c>
      <c r="L29" s="1" t="str" cm="1">
        <f t="array" ref="L29:M40">KeepRowsλ(RegionManagersB,-2,region_b)</f>
        <v>Northeast</v>
      </c>
      <c r="M29" s="1" t="str">
        <v>O'Neal</v>
      </c>
    </row>
    <row r="30" spans="2:13" x14ac:dyDescent="0.45">
      <c r="B30" s="49" t="s">
        <v>6</v>
      </c>
      <c r="C30" s="49" t="s">
        <v>33</v>
      </c>
      <c r="E30" s="1" t="str">
        <v>Northeast</v>
      </c>
      <c r="F30" s="1" t="str">
        <v>Smith</v>
      </c>
      <c r="I30" s="11" t="s">
        <v>6</v>
      </c>
      <c r="J30" s="11" t="s">
        <v>33</v>
      </c>
      <c r="L30" s="1" t="str">
        <v>Northeast</v>
      </c>
      <c r="M30" s="1" t="str">
        <v>Robinson</v>
      </c>
    </row>
    <row r="31" spans="2:13" x14ac:dyDescent="0.45">
      <c r="B31" s="8" t="s">
        <v>7</v>
      </c>
      <c r="C31" s="8" t="s">
        <v>34</v>
      </c>
      <c r="E31" s="1" t="str">
        <v>Midwest</v>
      </c>
      <c r="F31" s="1" t="str">
        <v>Jordan</v>
      </c>
      <c r="I31" s="49" t="s">
        <v>7</v>
      </c>
      <c r="J31" s="49" t="s">
        <v>34</v>
      </c>
      <c r="L31" s="1" t="str">
        <v>Midwest</v>
      </c>
      <c r="M31" s="1" t="str">
        <v>Phelps</v>
      </c>
    </row>
    <row r="32" spans="2:13" x14ac:dyDescent="0.45">
      <c r="B32" s="8" t="s">
        <v>7</v>
      </c>
      <c r="C32" s="8" t="s">
        <v>35</v>
      </c>
      <c r="E32" s="1" t="str">
        <v>Midwest</v>
      </c>
      <c r="F32" s="1" t="str">
        <v>Bird</v>
      </c>
      <c r="I32" s="49" t="s">
        <v>7</v>
      </c>
      <c r="J32" s="49" t="s">
        <v>35</v>
      </c>
      <c r="L32" s="1" t="str">
        <v>Midwest</v>
      </c>
      <c r="M32" s="1" t="str">
        <v>Quinn</v>
      </c>
    </row>
    <row r="33" spans="1:13" x14ac:dyDescent="0.45">
      <c r="B33" s="49" t="s">
        <v>7</v>
      </c>
      <c r="C33" s="49" t="s">
        <v>36</v>
      </c>
      <c r="E33" s="1" t="str">
        <v>Southeast</v>
      </c>
      <c r="F33" s="1" t="str">
        <v>Sheldrake</v>
      </c>
      <c r="I33" s="11" t="s">
        <v>7</v>
      </c>
      <c r="J33" s="11" t="s">
        <v>36</v>
      </c>
      <c r="L33" s="1" t="str">
        <v>Southeast</v>
      </c>
      <c r="M33" s="1" t="str">
        <v>Reed</v>
      </c>
    </row>
    <row r="34" spans="1:13" x14ac:dyDescent="0.45">
      <c r="B34" s="49" t="s">
        <v>7</v>
      </c>
      <c r="C34" s="49" t="s">
        <v>37</v>
      </c>
      <c r="E34" s="1" t="str">
        <v>Southeast</v>
      </c>
      <c r="F34" s="1" t="str">
        <v>Richards</v>
      </c>
      <c r="I34" s="11" t="s">
        <v>7</v>
      </c>
      <c r="J34" s="11" t="s">
        <v>37</v>
      </c>
      <c r="L34" s="1" t="str">
        <v>Southeast</v>
      </c>
      <c r="M34" s="1" t="str">
        <v>O'Brien</v>
      </c>
    </row>
    <row r="35" spans="1:13" x14ac:dyDescent="0.45">
      <c r="B35" s="8" t="s">
        <v>8</v>
      </c>
      <c r="C35" s="8" t="s">
        <v>38</v>
      </c>
      <c r="E35" s="1" t="str">
        <v>Southwest</v>
      </c>
      <c r="F35" s="1" t="str">
        <v>Walker</v>
      </c>
      <c r="I35" s="49" t="s">
        <v>8</v>
      </c>
      <c r="J35" s="49" t="s">
        <v>38</v>
      </c>
      <c r="L35" s="1" t="str">
        <v>Southwest</v>
      </c>
      <c r="M35" s="1" t="str">
        <v>Rice</v>
      </c>
    </row>
    <row r="36" spans="1:13" x14ac:dyDescent="0.45">
      <c r="B36" s="8" t="s">
        <v>8</v>
      </c>
      <c r="C36" s="8" t="s">
        <v>39</v>
      </c>
      <c r="E36" s="1" t="str">
        <v>Southwest</v>
      </c>
      <c r="F36" s="1" t="str">
        <v>Louis</v>
      </c>
      <c r="I36" s="49" t="s">
        <v>8</v>
      </c>
      <c r="J36" s="49" t="s">
        <v>39</v>
      </c>
      <c r="L36" s="1" t="str">
        <v>Southwest</v>
      </c>
      <c r="M36" s="1" t="str">
        <v>Novotny</v>
      </c>
    </row>
    <row r="37" spans="1:13" x14ac:dyDescent="0.45">
      <c r="B37" s="49" t="s">
        <v>8</v>
      </c>
      <c r="C37" s="49" t="s">
        <v>40</v>
      </c>
      <c r="E37" s="1" t="str">
        <v>West</v>
      </c>
      <c r="F37" s="1" t="str">
        <v>Reyes</v>
      </c>
      <c r="I37" s="11" t="s">
        <v>8</v>
      </c>
      <c r="J37" s="11" t="s">
        <v>40</v>
      </c>
      <c r="L37" s="1" t="str">
        <v>West</v>
      </c>
      <c r="M37" s="1" t="str">
        <v>Nichols</v>
      </c>
    </row>
    <row r="38" spans="1:13" x14ac:dyDescent="0.45">
      <c r="B38" s="49" t="s">
        <v>8</v>
      </c>
      <c r="C38" s="49" t="s">
        <v>41</v>
      </c>
      <c r="E38" s="1" t="str">
        <v>West</v>
      </c>
      <c r="F38" s="1" t="str">
        <v>Robbins</v>
      </c>
      <c r="I38" s="11" t="s">
        <v>8</v>
      </c>
      <c r="J38" s="11" t="s">
        <v>41</v>
      </c>
      <c r="L38" s="1" t="str">
        <v>West</v>
      </c>
      <c r="M38" s="1" t="str">
        <v>Schultz</v>
      </c>
    </row>
    <row r="39" spans="1:13" x14ac:dyDescent="0.45">
      <c r="E39" s="1" t="str">
        <v>Northwest</v>
      </c>
      <c r="F39" s="1" t="str">
        <v>Byers</v>
      </c>
      <c r="L39" s="1" t="str">
        <v>Northwest</v>
      </c>
      <c r="M39" s="1" t="str">
        <v>Jacoby</v>
      </c>
    </row>
    <row r="40" spans="1:13" x14ac:dyDescent="0.45">
      <c r="E40" s="1" t="str">
        <v>Northwest</v>
      </c>
      <c r="F40" s="1" t="str">
        <v>McDaniel</v>
      </c>
      <c r="L40" s="1" t="str">
        <v>Northwest</v>
      </c>
      <c r="M40" s="1" t="str">
        <v>Indio</v>
      </c>
    </row>
    <row r="41" spans="1:13" x14ac:dyDescent="0.45">
      <c r="A41"/>
      <c r="B41"/>
      <c r="C41"/>
      <c r="D41"/>
      <c r="E41"/>
      <c r="F41"/>
      <c r="G41"/>
      <c r="H41"/>
      <c r="I41"/>
      <c r="J41"/>
      <c r="K41"/>
    </row>
    <row r="42" spans="1:13" x14ac:dyDescent="0.45">
      <c r="A42"/>
      <c r="B42"/>
      <c r="C42"/>
      <c r="D42"/>
      <c r="E42"/>
      <c r="F42"/>
      <c r="G42"/>
      <c r="H42"/>
      <c r="I42"/>
      <c r="J42"/>
      <c r="K42"/>
    </row>
    <row r="43" spans="1:13" x14ac:dyDescent="0.45">
      <c r="A43"/>
      <c r="B43"/>
      <c r="C43"/>
      <c r="D43"/>
      <c r="E43"/>
      <c r="F43"/>
      <c r="G43"/>
      <c r="H43"/>
      <c r="I43"/>
      <c r="J43"/>
      <c r="K43"/>
    </row>
    <row r="44" spans="1:13" x14ac:dyDescent="0.45">
      <c r="A44"/>
      <c r="B44"/>
      <c r="C44"/>
      <c r="D44"/>
      <c r="E44"/>
      <c r="F44"/>
      <c r="G44"/>
      <c r="H44"/>
      <c r="I44"/>
      <c r="J44"/>
      <c r="K44"/>
    </row>
    <row r="45" spans="1:13" x14ac:dyDescent="0.45">
      <c r="A45"/>
      <c r="B45"/>
      <c r="C45"/>
      <c r="D45"/>
      <c r="E45"/>
      <c r="F45"/>
      <c r="G45"/>
      <c r="H45"/>
      <c r="I45"/>
      <c r="J45"/>
      <c r="K45"/>
    </row>
    <row r="46" spans="1:13" x14ac:dyDescent="0.45">
      <c r="A46"/>
      <c r="B46"/>
      <c r="C46"/>
      <c r="D46"/>
      <c r="E46"/>
      <c r="F46"/>
      <c r="G46"/>
      <c r="H46"/>
      <c r="I46"/>
      <c r="J46"/>
      <c r="K46"/>
    </row>
    <row r="47" spans="1:13" x14ac:dyDescent="0.45">
      <c r="A47"/>
      <c r="B47"/>
      <c r="C47"/>
      <c r="D47"/>
      <c r="E47"/>
      <c r="F47"/>
      <c r="G47"/>
      <c r="H47"/>
      <c r="I47"/>
      <c r="J47"/>
      <c r="K47"/>
    </row>
    <row r="48" spans="1:13" x14ac:dyDescent="0.45">
      <c r="A48"/>
      <c r="B48"/>
      <c r="C48"/>
      <c r="D48"/>
      <c r="E48"/>
      <c r="F48"/>
      <c r="G48"/>
      <c r="H48"/>
      <c r="I48"/>
      <c r="J48"/>
      <c r="K48"/>
    </row>
    <row r="49" spans="1:11" x14ac:dyDescent="0.45">
      <c r="A49"/>
      <c r="B49"/>
      <c r="C49"/>
      <c r="D49"/>
      <c r="E49"/>
      <c r="F49"/>
      <c r="G49"/>
      <c r="H49"/>
      <c r="I49"/>
      <c r="J49"/>
      <c r="K49"/>
    </row>
    <row r="50" spans="1:11" x14ac:dyDescent="0.45">
      <c r="A50"/>
      <c r="B50"/>
      <c r="C50"/>
      <c r="D50"/>
      <c r="E50"/>
      <c r="F50"/>
      <c r="G50"/>
      <c r="H50"/>
      <c r="I50"/>
      <c r="J50"/>
      <c r="K50"/>
    </row>
    <row r="51" spans="1:11" x14ac:dyDescent="0.45">
      <c r="A51"/>
      <c r="B51"/>
      <c r="C51"/>
      <c r="D51"/>
      <c r="E51"/>
      <c r="F51"/>
      <c r="G51"/>
      <c r="H51"/>
      <c r="I51"/>
      <c r="J51"/>
      <c r="K51"/>
    </row>
    <row r="52" spans="1:11" x14ac:dyDescent="0.45">
      <c r="A52"/>
      <c r="B52"/>
      <c r="C52"/>
      <c r="D52"/>
      <c r="E52"/>
      <c r="F52"/>
      <c r="G52"/>
      <c r="H52"/>
      <c r="I52"/>
      <c r="J52"/>
      <c r="K52"/>
    </row>
    <row r="53" spans="1:11" x14ac:dyDescent="0.45">
      <c r="A53"/>
      <c r="B53"/>
      <c r="C53"/>
      <c r="D53"/>
      <c r="E53"/>
      <c r="F53"/>
      <c r="G53"/>
      <c r="H53"/>
      <c r="I53"/>
      <c r="J53"/>
      <c r="K53"/>
    </row>
    <row r="54" spans="1:11" x14ac:dyDescent="0.45">
      <c r="A54"/>
      <c r="B54"/>
      <c r="C54"/>
      <c r="D54"/>
      <c r="E54"/>
      <c r="F54"/>
      <c r="G54"/>
      <c r="H54"/>
      <c r="I54"/>
      <c r="J54"/>
      <c r="K54"/>
    </row>
    <row r="55" spans="1:11" x14ac:dyDescent="0.45">
      <c r="A55"/>
      <c r="B55"/>
      <c r="C55"/>
      <c r="D55"/>
      <c r="E55"/>
      <c r="F55"/>
      <c r="G55"/>
      <c r="H55"/>
      <c r="I55"/>
      <c r="J55"/>
      <c r="K55"/>
    </row>
    <row r="56" spans="1:11" x14ac:dyDescent="0.45">
      <c r="A56"/>
      <c r="B56"/>
      <c r="C56"/>
      <c r="D56"/>
      <c r="E56"/>
      <c r="F56"/>
      <c r="G56"/>
      <c r="H56"/>
      <c r="I56"/>
      <c r="J56"/>
      <c r="K56"/>
    </row>
    <row r="57" spans="1:11" x14ac:dyDescent="0.45">
      <c r="A57"/>
      <c r="B57"/>
      <c r="C57"/>
      <c r="D57"/>
      <c r="E57"/>
      <c r="F57"/>
      <c r="G57"/>
      <c r="H57"/>
      <c r="I57"/>
      <c r="J57"/>
      <c r="K57"/>
    </row>
    <row r="58" spans="1:11" x14ac:dyDescent="0.45">
      <c r="A58"/>
      <c r="B58"/>
      <c r="C58"/>
      <c r="D58"/>
      <c r="E58"/>
      <c r="F58"/>
      <c r="G58"/>
      <c r="H58"/>
      <c r="I58"/>
      <c r="J58"/>
      <c r="K58"/>
    </row>
    <row r="59" spans="1:11" x14ac:dyDescent="0.45">
      <c r="A59"/>
      <c r="B59"/>
      <c r="C59"/>
      <c r="D59"/>
      <c r="E59"/>
      <c r="F59"/>
      <c r="G59"/>
      <c r="H59"/>
      <c r="I59"/>
      <c r="J59"/>
      <c r="K59"/>
    </row>
    <row r="60" spans="1:11" x14ac:dyDescent="0.45">
      <c r="A60"/>
      <c r="B60"/>
      <c r="C60"/>
      <c r="D60"/>
      <c r="E60"/>
      <c r="F60"/>
      <c r="G60"/>
      <c r="H60"/>
      <c r="I60"/>
      <c r="J60"/>
      <c r="K60"/>
    </row>
    <row r="61" spans="1:11" x14ac:dyDescent="0.45">
      <c r="A61"/>
      <c r="B61"/>
      <c r="C61"/>
      <c r="D61"/>
      <c r="E61"/>
      <c r="F61"/>
      <c r="G61"/>
      <c r="H61"/>
      <c r="I61"/>
      <c r="J61"/>
      <c r="K61"/>
    </row>
    <row r="62" spans="1:11" x14ac:dyDescent="0.45">
      <c r="A62"/>
      <c r="B62"/>
      <c r="C62"/>
      <c r="D62"/>
      <c r="E62"/>
      <c r="F62"/>
      <c r="G62"/>
      <c r="H62"/>
      <c r="I62"/>
      <c r="J62"/>
      <c r="K62"/>
    </row>
    <row r="63" spans="1:11" x14ac:dyDescent="0.45">
      <c r="A63"/>
      <c r="B63"/>
      <c r="C63"/>
      <c r="D63"/>
      <c r="E63"/>
      <c r="F63"/>
      <c r="G63"/>
      <c r="H63"/>
      <c r="I63"/>
      <c r="J63"/>
      <c r="K63"/>
    </row>
    <row r="64" spans="1:11" x14ac:dyDescent="0.45">
      <c r="A64"/>
      <c r="B64"/>
      <c r="C64"/>
      <c r="D64"/>
      <c r="E64"/>
      <c r="F64"/>
      <c r="G64"/>
      <c r="H64"/>
      <c r="I64"/>
      <c r="J64"/>
      <c r="K64"/>
    </row>
    <row r="65" spans="1:11" x14ac:dyDescent="0.45">
      <c r="A65"/>
      <c r="B65"/>
      <c r="C65"/>
      <c r="D65"/>
      <c r="E65"/>
      <c r="F65"/>
      <c r="G65"/>
      <c r="H65"/>
      <c r="I65"/>
      <c r="J65"/>
      <c r="K65"/>
    </row>
    <row r="66" spans="1:11" x14ac:dyDescent="0.45">
      <c r="A66"/>
      <c r="B66"/>
      <c r="C66"/>
      <c r="D66"/>
      <c r="E66"/>
      <c r="F66"/>
      <c r="G66"/>
      <c r="H66"/>
      <c r="I66"/>
      <c r="J66"/>
      <c r="K66"/>
    </row>
    <row r="67" spans="1:11" x14ac:dyDescent="0.45">
      <c r="A67"/>
      <c r="B67"/>
      <c r="C67"/>
      <c r="D67"/>
      <c r="E67"/>
      <c r="F67"/>
      <c r="G67"/>
      <c r="H67"/>
      <c r="I67"/>
      <c r="J67"/>
      <c r="K67"/>
    </row>
    <row r="68" spans="1:11" x14ac:dyDescent="0.45">
      <c r="A68"/>
      <c r="B68"/>
      <c r="C68"/>
      <c r="D68"/>
      <c r="E68"/>
      <c r="F68"/>
      <c r="G68"/>
      <c r="H68"/>
      <c r="I68"/>
      <c r="J68"/>
      <c r="K68"/>
    </row>
    <row r="69" spans="1:11" x14ac:dyDescent="0.45">
      <c r="A69"/>
      <c r="B69"/>
      <c r="C69"/>
      <c r="D69"/>
      <c r="E69"/>
      <c r="F69"/>
      <c r="G69"/>
      <c r="H69"/>
      <c r="I69"/>
      <c r="J69"/>
      <c r="K69"/>
    </row>
    <row r="70" spans="1:11" x14ac:dyDescent="0.45">
      <c r="A70"/>
      <c r="B70"/>
      <c r="C70"/>
      <c r="D70"/>
      <c r="E70"/>
      <c r="F70"/>
      <c r="G70"/>
      <c r="H70"/>
      <c r="I70"/>
      <c r="J70"/>
      <c r="K70"/>
    </row>
    <row r="71" spans="1:11" x14ac:dyDescent="0.45">
      <c r="A71"/>
      <c r="B71"/>
      <c r="C71"/>
      <c r="D71"/>
      <c r="E71"/>
      <c r="F71"/>
      <c r="G71"/>
      <c r="H71"/>
      <c r="I71"/>
      <c r="J71"/>
      <c r="K71"/>
    </row>
    <row r="72" spans="1:11" x14ac:dyDescent="0.45">
      <c r="A72"/>
      <c r="B72"/>
      <c r="C72"/>
      <c r="D72"/>
      <c r="E72"/>
      <c r="F72"/>
      <c r="G72"/>
      <c r="H72"/>
      <c r="I72"/>
      <c r="J72"/>
      <c r="K72"/>
    </row>
    <row r="73" spans="1:11" x14ac:dyDescent="0.45">
      <c r="A73"/>
      <c r="B73"/>
      <c r="C73"/>
      <c r="D73"/>
      <c r="E73"/>
      <c r="F73"/>
      <c r="G73"/>
      <c r="H73"/>
      <c r="I73"/>
      <c r="J73"/>
      <c r="K73"/>
    </row>
    <row r="74" spans="1:11" x14ac:dyDescent="0.45">
      <c r="A74"/>
      <c r="B74"/>
      <c r="C74"/>
      <c r="D74"/>
      <c r="E74"/>
      <c r="F74"/>
      <c r="G74"/>
      <c r="H74"/>
      <c r="I74"/>
      <c r="J74"/>
      <c r="K74"/>
    </row>
    <row r="75" spans="1:11" x14ac:dyDescent="0.45">
      <c r="A75"/>
      <c r="B75"/>
      <c r="C75"/>
      <c r="D75"/>
      <c r="E75"/>
      <c r="F75"/>
      <c r="G75"/>
      <c r="H75"/>
      <c r="I75"/>
      <c r="J75"/>
      <c r="K75"/>
    </row>
    <row r="76" spans="1:11" x14ac:dyDescent="0.45">
      <c r="A76"/>
      <c r="B76"/>
      <c r="C76"/>
      <c r="D76"/>
      <c r="E76"/>
      <c r="F76"/>
      <c r="G76"/>
      <c r="H76"/>
      <c r="I76"/>
      <c r="J76"/>
      <c r="K76"/>
    </row>
    <row r="77" spans="1:11" x14ac:dyDescent="0.45">
      <c r="A77"/>
      <c r="B77"/>
      <c r="C77"/>
      <c r="D77"/>
      <c r="E77"/>
      <c r="F77"/>
      <c r="G77"/>
      <c r="H77"/>
      <c r="I77"/>
      <c r="J77"/>
      <c r="K77"/>
    </row>
    <row r="78" spans="1:11" x14ac:dyDescent="0.45">
      <c r="A78"/>
      <c r="B78"/>
      <c r="C78"/>
      <c r="D78"/>
      <c r="E78"/>
      <c r="F78"/>
      <c r="G78"/>
      <c r="H78"/>
      <c r="I78"/>
      <c r="J78"/>
      <c r="K7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C8C79-4090-4C02-ACF4-F6B4A98C21B5}">
  <sheetPr codeName="Sheet3">
    <tabColor theme="5" tint="0.39997558519241921"/>
  </sheetPr>
  <dimension ref="A2:Q60"/>
  <sheetViews>
    <sheetView workbookViewId="0">
      <selection activeCell="B14" sqref="B14"/>
    </sheetView>
  </sheetViews>
  <sheetFormatPr defaultRowHeight="16.5" x14ac:dyDescent="0.45"/>
  <cols>
    <col min="1" max="1" width="9.07421875" style="2" bestFit="1" customWidth="1"/>
    <col min="2" max="2" width="7.3828125" style="2" bestFit="1" customWidth="1"/>
    <col min="3" max="3" width="8.15234375" style="2" customWidth="1"/>
    <col min="4" max="5" width="6.69140625" style="2" bestFit="1" customWidth="1"/>
    <col min="6" max="10" width="5.3046875" style="2" bestFit="1" customWidth="1"/>
    <col min="11" max="11" width="4.921875" style="2" bestFit="1" customWidth="1"/>
    <col min="12" max="12" width="5.3046875" style="2" bestFit="1" customWidth="1"/>
    <col min="13" max="13" width="4.921875" style="2" bestFit="1" customWidth="1"/>
    <col min="14" max="15" width="6.69140625" style="2" bestFit="1" customWidth="1"/>
    <col min="16" max="16384" width="9.23046875" style="2"/>
  </cols>
  <sheetData>
    <row r="2" spans="1:17" x14ac:dyDescent="0.45">
      <c r="A2" s="13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7" x14ac:dyDescent="0.45">
      <c r="A3" s="13" t="s">
        <v>48</v>
      </c>
      <c r="B3" s="14" t="s">
        <v>45</v>
      </c>
      <c r="C3" s="14" t="s">
        <v>45</v>
      </c>
      <c r="D3" s="50" t="s">
        <v>45</v>
      </c>
      <c r="E3" s="14" t="s">
        <v>46</v>
      </c>
      <c r="F3" s="14" t="s">
        <v>46</v>
      </c>
      <c r="G3" s="14" t="s">
        <v>47</v>
      </c>
      <c r="H3" s="14" t="s">
        <v>47</v>
      </c>
      <c r="I3" s="50" t="s">
        <v>47</v>
      </c>
      <c r="J3" s="14" t="s">
        <v>66</v>
      </c>
      <c r="K3" s="14" t="s">
        <v>66</v>
      </c>
      <c r="L3" s="14" t="s">
        <v>65</v>
      </c>
      <c r="M3" s="14" t="s">
        <v>65</v>
      </c>
      <c r="N3" s="50" t="s">
        <v>65</v>
      </c>
      <c r="O3" s="50" t="s">
        <v>65</v>
      </c>
    </row>
    <row r="4" spans="1:17" x14ac:dyDescent="0.45">
      <c r="A4" s="13" t="s">
        <v>49</v>
      </c>
      <c r="B4" s="14" t="s">
        <v>62</v>
      </c>
      <c r="C4" s="14" t="s">
        <v>63</v>
      </c>
      <c r="D4" s="50" t="s">
        <v>51</v>
      </c>
      <c r="E4" s="14" t="s">
        <v>50</v>
      </c>
      <c r="F4" s="14" t="s">
        <v>50</v>
      </c>
      <c r="G4" s="14" t="s">
        <v>51</v>
      </c>
      <c r="H4" s="14" t="s">
        <v>50</v>
      </c>
      <c r="I4" s="50" t="s">
        <v>51</v>
      </c>
      <c r="J4" s="14" t="s">
        <v>50</v>
      </c>
      <c r="K4" s="14" t="s">
        <v>51</v>
      </c>
      <c r="L4" s="14" t="s">
        <v>50</v>
      </c>
      <c r="M4" s="14" t="s">
        <v>51</v>
      </c>
      <c r="N4" s="50" t="s">
        <v>50</v>
      </c>
      <c r="O4" s="50" t="s">
        <v>50</v>
      </c>
    </row>
    <row r="5" spans="1:17" x14ac:dyDescent="0.45">
      <c r="B5" s="14" t="s">
        <v>51</v>
      </c>
      <c r="C5" s="14" t="s">
        <v>51</v>
      </c>
      <c r="D5" s="50" t="s">
        <v>56</v>
      </c>
      <c r="E5" s="14" t="s">
        <v>51</v>
      </c>
      <c r="F5" s="14" t="s">
        <v>51</v>
      </c>
      <c r="G5" s="14" t="s">
        <v>54</v>
      </c>
      <c r="H5" s="14" t="s">
        <v>51</v>
      </c>
      <c r="I5" s="50" t="s">
        <v>54</v>
      </c>
      <c r="J5" s="14" t="s">
        <v>51</v>
      </c>
      <c r="K5" s="14" t="s">
        <v>56</v>
      </c>
      <c r="L5" s="14" t="s">
        <v>51</v>
      </c>
      <c r="M5" s="14" t="s">
        <v>56</v>
      </c>
      <c r="N5" s="50" t="s">
        <v>51</v>
      </c>
      <c r="O5" s="50" t="s">
        <v>51</v>
      </c>
    </row>
    <row r="6" spans="1:17" x14ac:dyDescent="0.45">
      <c r="B6" s="14" t="s">
        <v>52</v>
      </c>
      <c r="C6" s="14" t="s">
        <v>52</v>
      </c>
      <c r="D6" s="50" t="s">
        <v>55</v>
      </c>
      <c r="E6" s="14" t="s">
        <v>52</v>
      </c>
      <c r="F6" s="14" t="s">
        <v>52</v>
      </c>
      <c r="G6" s="14" t="s">
        <v>59</v>
      </c>
      <c r="H6" s="14" t="s">
        <v>52</v>
      </c>
      <c r="I6" s="50" t="s">
        <v>59</v>
      </c>
      <c r="J6" s="14" t="s">
        <v>52</v>
      </c>
      <c r="K6" s="14" t="s">
        <v>55</v>
      </c>
      <c r="L6" s="14" t="s">
        <v>52</v>
      </c>
      <c r="M6" s="14" t="s">
        <v>55</v>
      </c>
      <c r="N6" s="50" t="s">
        <v>52</v>
      </c>
      <c r="O6" s="50" t="s">
        <v>52</v>
      </c>
    </row>
    <row r="7" spans="1:17" x14ac:dyDescent="0.45">
      <c r="B7" s="14" t="s">
        <v>53</v>
      </c>
      <c r="C7" s="14" t="s">
        <v>55</v>
      </c>
      <c r="D7" s="50" t="s">
        <v>57</v>
      </c>
      <c r="E7" s="14" t="s">
        <v>54</v>
      </c>
      <c r="F7" s="14" t="s">
        <v>54</v>
      </c>
      <c r="G7" s="14" t="s">
        <v>60</v>
      </c>
      <c r="H7" s="14" t="s">
        <v>60</v>
      </c>
      <c r="I7" s="50" t="s">
        <v>60</v>
      </c>
      <c r="J7" s="14" t="s">
        <v>55</v>
      </c>
      <c r="K7" s="14" t="s">
        <v>57</v>
      </c>
      <c r="L7" s="14" t="s">
        <v>54</v>
      </c>
      <c r="M7" s="14" t="s">
        <v>57</v>
      </c>
      <c r="N7" s="50" t="s">
        <v>54</v>
      </c>
      <c r="O7" s="50" t="s">
        <v>54</v>
      </c>
    </row>
    <row r="8" spans="1:17" x14ac:dyDescent="0.45">
      <c r="B8" s="14" t="s">
        <v>54</v>
      </c>
      <c r="C8" s="14" t="s">
        <v>54</v>
      </c>
      <c r="D8" s="50" t="s">
        <v>58</v>
      </c>
      <c r="E8" s="14" t="s">
        <v>59</v>
      </c>
      <c r="F8" s="14" t="s">
        <v>59</v>
      </c>
      <c r="G8" s="14" t="s">
        <v>61</v>
      </c>
      <c r="H8" s="14" t="s">
        <v>61</v>
      </c>
      <c r="I8" s="50" t="s">
        <v>61</v>
      </c>
      <c r="J8" s="14" t="s">
        <v>54</v>
      </c>
      <c r="K8" s="14" t="s">
        <v>58</v>
      </c>
      <c r="L8" s="14" t="s">
        <v>59</v>
      </c>
      <c r="M8" s="14" t="s">
        <v>58</v>
      </c>
      <c r="N8" s="50" t="s">
        <v>67</v>
      </c>
      <c r="O8" s="50" t="s">
        <v>67</v>
      </c>
    </row>
    <row r="10" spans="1:17" x14ac:dyDescent="0.45">
      <c r="B10" s="50"/>
      <c r="C10" s="1" t="s">
        <v>335</v>
      </c>
    </row>
    <row r="11" spans="1:17" x14ac:dyDescent="0.45">
      <c r="B11" s="14"/>
      <c r="C11" s="1" t="s">
        <v>336</v>
      </c>
    </row>
    <row r="13" spans="1:17" x14ac:dyDescent="0.45">
      <c r="B13" s="51" t="s">
        <v>369</v>
      </c>
      <c r="H13" s="51" t="s">
        <v>370</v>
      </c>
    </row>
    <row r="14" spans="1:17" x14ac:dyDescent="0.45">
      <c r="B14" s="2" t="str" cm="1">
        <f t="array" ref="B14:E19">DeleteColsλ(Staffing,2,Supervisor)</f>
        <v>Bob</v>
      </c>
      <c r="C14" s="2" t="str">
        <v>Gus</v>
      </c>
      <c r="D14" s="2" t="str">
        <v>Hank</v>
      </c>
      <c r="E14" s="2" t="str">
        <v>Hank</v>
      </c>
      <c r="H14" s="2" t="str" cm="1">
        <f t="array" ref="H14:Q19">KeepColsλ(Staffing,2,Supervisor)</f>
        <v>Bob</v>
      </c>
      <c r="I14" s="2" t="str">
        <v>Bob</v>
      </c>
      <c r="J14" s="2" t="str">
        <v>Deb</v>
      </c>
      <c r="K14" s="2" t="str">
        <v>Deb</v>
      </c>
      <c r="L14" s="2" t="str">
        <v>Gus</v>
      </c>
      <c r="M14" s="2" t="str">
        <v>Gus</v>
      </c>
      <c r="N14" s="2" t="str">
        <v>Rita</v>
      </c>
      <c r="O14" s="2" t="str">
        <v>Rita</v>
      </c>
      <c r="P14" s="2" t="str">
        <v>Hank</v>
      </c>
      <c r="Q14" s="2" t="str">
        <v>Hank</v>
      </c>
    </row>
    <row r="15" spans="1:17" x14ac:dyDescent="0.45">
      <c r="B15" s="2" t="str">
        <v>Walt</v>
      </c>
      <c r="C15" s="2" t="str">
        <v>Walt</v>
      </c>
      <c r="D15" s="2" t="str">
        <v>Mark</v>
      </c>
      <c r="E15" s="2" t="str">
        <v>Mark</v>
      </c>
      <c r="H15" s="2" t="str">
        <v>Rob</v>
      </c>
      <c r="I15" s="2" t="str">
        <v>Gene</v>
      </c>
      <c r="J15" s="2" t="str">
        <v>Mark</v>
      </c>
      <c r="K15" s="2" t="str">
        <v>Mark</v>
      </c>
      <c r="L15" s="2" t="str">
        <v>Walt</v>
      </c>
      <c r="M15" s="2" t="str">
        <v>Mark</v>
      </c>
      <c r="N15" s="2" t="str">
        <v>Mark</v>
      </c>
      <c r="O15" s="2" t="str">
        <v>Walt</v>
      </c>
      <c r="P15" s="2" t="str">
        <v>Mark</v>
      </c>
      <c r="Q15" s="2" t="str">
        <v>Walt</v>
      </c>
    </row>
    <row r="16" spans="1:17" x14ac:dyDescent="0.45">
      <c r="B16" s="2" t="str">
        <v>Harry</v>
      </c>
      <c r="C16" s="2" t="str">
        <v>David</v>
      </c>
      <c r="D16" s="2" t="str">
        <v>Walt</v>
      </c>
      <c r="E16" s="2" t="str">
        <v>Walt</v>
      </c>
      <c r="H16" s="2" t="str">
        <v>Walt</v>
      </c>
      <c r="I16" s="2" t="str">
        <v>Walt</v>
      </c>
      <c r="J16" s="2" t="str">
        <v>Walt</v>
      </c>
      <c r="K16" s="2" t="str">
        <v>Walt</v>
      </c>
      <c r="L16" s="2" t="str">
        <v>David</v>
      </c>
      <c r="M16" s="2" t="str">
        <v>Walt</v>
      </c>
      <c r="N16" s="2" t="str">
        <v>Walt</v>
      </c>
      <c r="O16" s="2" t="str">
        <v>Harry</v>
      </c>
      <c r="P16" s="2" t="str">
        <v>Walt</v>
      </c>
      <c r="Q16" s="2" t="str">
        <v>Harry</v>
      </c>
    </row>
    <row r="17" spans="1:17" x14ac:dyDescent="0.45">
      <c r="B17" s="2" t="str">
        <v>Mike</v>
      </c>
      <c r="C17" s="2" t="str">
        <v>Jo</v>
      </c>
      <c r="D17" s="2" t="str">
        <v>Tom</v>
      </c>
      <c r="E17" s="2" t="str">
        <v>Tom</v>
      </c>
      <c r="H17" s="2" t="str">
        <v>Tom</v>
      </c>
      <c r="I17" s="2" t="str">
        <v>Tom</v>
      </c>
      <c r="J17" s="2" t="str">
        <v>Tom</v>
      </c>
      <c r="K17" s="2" t="str">
        <v>Tom</v>
      </c>
      <c r="L17" s="2" t="str">
        <v>Jo</v>
      </c>
      <c r="M17" s="2" t="str">
        <v>Tom</v>
      </c>
      <c r="N17" s="2" t="str">
        <v>Tom</v>
      </c>
      <c r="O17" s="2" t="str">
        <v>Mike</v>
      </c>
      <c r="P17" s="2" t="str">
        <v>Tom</v>
      </c>
      <c r="Q17" s="2" t="str">
        <v>Mike</v>
      </c>
    </row>
    <row r="18" spans="1:17" x14ac:dyDescent="0.45">
      <c r="B18" s="2" t="str">
        <v>John</v>
      </c>
      <c r="C18" s="2" t="str">
        <v>Ned</v>
      </c>
      <c r="D18" s="2" t="str">
        <v>David</v>
      </c>
      <c r="E18" s="2" t="str">
        <v>David</v>
      </c>
      <c r="H18" s="2" t="str">
        <v>Myra</v>
      </c>
      <c r="I18" s="2" t="str">
        <v>Mike</v>
      </c>
      <c r="J18" s="2" t="str">
        <v>David</v>
      </c>
      <c r="K18" s="2" t="str">
        <v>David</v>
      </c>
      <c r="L18" s="2" t="str">
        <v>Ned</v>
      </c>
      <c r="M18" s="2" t="str">
        <v>Ned</v>
      </c>
      <c r="N18" s="2" t="str">
        <v>Mike</v>
      </c>
      <c r="O18" s="2" t="str">
        <v>John</v>
      </c>
      <c r="P18" s="2" t="str">
        <v>David</v>
      </c>
      <c r="Q18" s="2" t="str">
        <v>John</v>
      </c>
    </row>
    <row r="19" spans="1:17" x14ac:dyDescent="0.45">
      <c r="B19" s="2" t="str">
        <v>Wes</v>
      </c>
      <c r="C19" s="2" t="str">
        <v>Fred</v>
      </c>
      <c r="D19" s="2" t="str">
        <v>Mary Jo</v>
      </c>
      <c r="E19" s="2" t="str">
        <v>Mary Jo</v>
      </c>
      <c r="H19" s="2" t="str">
        <v>David</v>
      </c>
      <c r="I19" s="2" t="str">
        <v>David</v>
      </c>
      <c r="J19" s="2" t="str">
        <v>Jo</v>
      </c>
      <c r="K19" s="2" t="str">
        <v>Jo</v>
      </c>
      <c r="L19" s="2" t="str">
        <v>Fred</v>
      </c>
      <c r="M19" s="2" t="str">
        <v>Fred</v>
      </c>
      <c r="N19" s="2" t="str">
        <v>David</v>
      </c>
      <c r="O19" s="2" t="str">
        <v>Wes</v>
      </c>
      <c r="P19" s="2" t="str">
        <v>Jo</v>
      </c>
      <c r="Q19" s="2" t="str">
        <v>Wes</v>
      </c>
    </row>
    <row r="22" spans="1:17" x14ac:dyDescent="0.45">
      <c r="A22" s="2" t="s">
        <v>48</v>
      </c>
      <c r="B22" s="50" t="s">
        <v>45</v>
      </c>
      <c r="C22" s="16" t="s">
        <v>45</v>
      </c>
      <c r="D22" s="16" t="s">
        <v>45</v>
      </c>
      <c r="E22" s="16" t="s">
        <v>46</v>
      </c>
      <c r="F22" s="16" t="s">
        <v>46</v>
      </c>
      <c r="G22" s="50" t="s">
        <v>47</v>
      </c>
      <c r="H22" s="16" t="s">
        <v>47</v>
      </c>
      <c r="I22" s="16" t="s">
        <v>47</v>
      </c>
      <c r="J22" s="16" t="s">
        <v>66</v>
      </c>
      <c r="K22" s="16" t="s">
        <v>66</v>
      </c>
      <c r="L22" s="50" t="s">
        <v>65</v>
      </c>
      <c r="M22" s="50" t="s">
        <v>65</v>
      </c>
      <c r="N22" s="16" t="s">
        <v>65</v>
      </c>
      <c r="O22" s="16" t="s">
        <v>65</v>
      </c>
    </row>
    <row r="23" spans="1:17" x14ac:dyDescent="0.45">
      <c r="A23" s="2" t="s">
        <v>49</v>
      </c>
      <c r="B23" s="50" t="s">
        <v>62</v>
      </c>
      <c r="C23" s="16" t="s">
        <v>63</v>
      </c>
      <c r="D23" s="16" t="s">
        <v>51</v>
      </c>
      <c r="E23" s="16" t="s">
        <v>50</v>
      </c>
      <c r="F23" s="16" t="s">
        <v>50</v>
      </c>
      <c r="G23" s="50" t="s">
        <v>51</v>
      </c>
      <c r="H23" s="16" t="s">
        <v>50</v>
      </c>
      <c r="I23" s="16" t="s">
        <v>51</v>
      </c>
      <c r="J23" s="16" t="s">
        <v>50</v>
      </c>
      <c r="K23" s="16" t="s">
        <v>51</v>
      </c>
      <c r="L23" s="50" t="s">
        <v>50</v>
      </c>
      <c r="M23" s="50" t="s">
        <v>51</v>
      </c>
      <c r="N23" s="16" t="s">
        <v>50</v>
      </c>
      <c r="O23" s="16" t="s">
        <v>50</v>
      </c>
    </row>
    <row r="24" spans="1:17" x14ac:dyDescent="0.45">
      <c r="B24" s="50" t="s">
        <v>51</v>
      </c>
      <c r="C24" s="16" t="s">
        <v>51</v>
      </c>
      <c r="D24" s="16" t="s">
        <v>56</v>
      </c>
      <c r="E24" s="16" t="s">
        <v>51</v>
      </c>
      <c r="F24" s="16" t="s">
        <v>51</v>
      </c>
      <c r="G24" s="50" t="s">
        <v>54</v>
      </c>
      <c r="H24" s="16" t="s">
        <v>51</v>
      </c>
      <c r="I24" s="16" t="s">
        <v>54</v>
      </c>
      <c r="J24" s="16" t="s">
        <v>51</v>
      </c>
      <c r="K24" s="16" t="s">
        <v>56</v>
      </c>
      <c r="L24" s="50" t="s">
        <v>51</v>
      </c>
      <c r="M24" s="50" t="s">
        <v>56</v>
      </c>
      <c r="N24" s="16" t="s">
        <v>51</v>
      </c>
      <c r="O24" s="16" t="s">
        <v>51</v>
      </c>
    </row>
    <row r="25" spans="1:17" x14ac:dyDescent="0.45">
      <c r="B25" s="50" t="s">
        <v>52</v>
      </c>
      <c r="C25" s="16" t="s">
        <v>52</v>
      </c>
      <c r="D25" s="16" t="s">
        <v>55</v>
      </c>
      <c r="E25" s="16" t="s">
        <v>52</v>
      </c>
      <c r="F25" s="16" t="s">
        <v>52</v>
      </c>
      <c r="G25" s="50" t="s">
        <v>59</v>
      </c>
      <c r="H25" s="16" t="s">
        <v>52</v>
      </c>
      <c r="I25" s="16" t="s">
        <v>59</v>
      </c>
      <c r="J25" s="16" t="s">
        <v>52</v>
      </c>
      <c r="K25" s="16" t="s">
        <v>55</v>
      </c>
      <c r="L25" s="50" t="s">
        <v>52</v>
      </c>
      <c r="M25" s="50" t="s">
        <v>55</v>
      </c>
      <c r="N25" s="16" t="s">
        <v>52</v>
      </c>
      <c r="O25" s="16" t="s">
        <v>52</v>
      </c>
    </row>
    <row r="26" spans="1:17" x14ac:dyDescent="0.45">
      <c r="B26" s="50" t="s">
        <v>53</v>
      </c>
      <c r="C26" s="16" t="s">
        <v>55</v>
      </c>
      <c r="D26" s="16" t="s">
        <v>57</v>
      </c>
      <c r="E26" s="16" t="s">
        <v>54</v>
      </c>
      <c r="F26" s="16" t="s">
        <v>54</v>
      </c>
      <c r="G26" s="50" t="s">
        <v>60</v>
      </c>
      <c r="H26" s="16" t="s">
        <v>60</v>
      </c>
      <c r="I26" s="16" t="s">
        <v>60</v>
      </c>
      <c r="J26" s="16" t="s">
        <v>55</v>
      </c>
      <c r="K26" s="16" t="s">
        <v>57</v>
      </c>
      <c r="L26" s="50" t="s">
        <v>54</v>
      </c>
      <c r="M26" s="50" t="s">
        <v>57</v>
      </c>
      <c r="N26" s="16" t="s">
        <v>54</v>
      </c>
      <c r="O26" s="16" t="s">
        <v>54</v>
      </c>
    </row>
    <row r="27" spans="1:17" x14ac:dyDescent="0.45">
      <c r="B27" s="50" t="s">
        <v>54</v>
      </c>
      <c r="C27" s="16" t="s">
        <v>54</v>
      </c>
      <c r="D27" s="16" t="s">
        <v>58</v>
      </c>
      <c r="E27" s="16" t="s">
        <v>59</v>
      </c>
      <c r="F27" s="16" t="s">
        <v>59</v>
      </c>
      <c r="G27" s="50" t="s">
        <v>61</v>
      </c>
      <c r="H27" s="16" t="s">
        <v>61</v>
      </c>
      <c r="I27" s="16" t="s">
        <v>61</v>
      </c>
      <c r="J27" s="16" t="s">
        <v>54</v>
      </c>
      <c r="K27" s="16" t="s">
        <v>58</v>
      </c>
      <c r="L27" s="50" t="s">
        <v>59</v>
      </c>
      <c r="M27" s="50" t="s">
        <v>58</v>
      </c>
      <c r="N27" s="16" t="s">
        <v>67</v>
      </c>
      <c r="O27" s="16" t="s">
        <v>67</v>
      </c>
    </row>
    <row r="28" spans="1:17" x14ac:dyDescent="0.45"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7" x14ac:dyDescent="0.45">
      <c r="B29" s="50"/>
      <c r="C29" s="1" t="s">
        <v>335</v>
      </c>
    </row>
    <row r="30" spans="1:17" x14ac:dyDescent="0.45">
      <c r="B30" s="16"/>
      <c r="C30" s="1" t="s">
        <v>336</v>
      </c>
    </row>
    <row r="32" spans="1:17" x14ac:dyDescent="0.45">
      <c r="B32" s="51" t="s">
        <v>64</v>
      </c>
      <c r="H32" s="51" t="s">
        <v>340</v>
      </c>
    </row>
    <row r="33" spans="2:17" x14ac:dyDescent="0.45">
      <c r="B33" s="2" t="str" cm="1">
        <f t="array" ref="B33:E38">DeleteColsλ(StaffingB,-2,SupervisorB)</f>
        <v>Bob</v>
      </c>
      <c r="C33" s="2" t="str">
        <v>Gus</v>
      </c>
      <c r="D33" s="2" t="str">
        <v>Hank</v>
      </c>
      <c r="E33" s="2" t="str">
        <v>Hank</v>
      </c>
      <c r="H33" s="2" t="str" cm="1">
        <f t="array" ref="H33:Q38">KeepColsλ(StaffingB,-2,SupervisorB)</f>
        <v>Bob</v>
      </c>
      <c r="I33" s="2" t="str">
        <v>Bob</v>
      </c>
      <c r="J33" s="2" t="str">
        <v>Deb</v>
      </c>
      <c r="K33" s="2" t="str">
        <v>Deb</v>
      </c>
      <c r="L33" s="2" t="str">
        <v>Gus</v>
      </c>
      <c r="M33" s="2" t="str">
        <v>Gus</v>
      </c>
      <c r="N33" s="2" t="str">
        <v>Rita</v>
      </c>
      <c r="O33" s="2" t="str">
        <v>Rita</v>
      </c>
      <c r="P33" s="2" t="str">
        <v>Hank</v>
      </c>
      <c r="Q33" s="2" t="str">
        <v>Hank</v>
      </c>
    </row>
    <row r="34" spans="2:17" x14ac:dyDescent="0.45">
      <c r="B34" s="2" t="str">
        <v>Rob</v>
      </c>
      <c r="C34" s="2" t="str">
        <v>Walt</v>
      </c>
      <c r="D34" s="2" t="str">
        <v>Mark</v>
      </c>
      <c r="E34" s="2" t="str">
        <v>Walt</v>
      </c>
      <c r="H34" s="2" t="str">
        <v>Gene</v>
      </c>
      <c r="I34" s="2" t="str">
        <v>Walt</v>
      </c>
      <c r="J34" s="2" t="str">
        <v>Mark</v>
      </c>
      <c r="K34" s="2" t="str">
        <v>Mark</v>
      </c>
      <c r="L34" s="2" t="str">
        <v>Mark</v>
      </c>
      <c r="M34" s="2" t="str">
        <v>Walt</v>
      </c>
      <c r="N34" s="2" t="str">
        <v>Mark</v>
      </c>
      <c r="O34" s="2" t="str">
        <v>Walt</v>
      </c>
      <c r="P34" s="2" t="str">
        <v>Mark</v>
      </c>
      <c r="Q34" s="2" t="str">
        <v>Mark</v>
      </c>
    </row>
    <row r="35" spans="2:17" x14ac:dyDescent="0.45">
      <c r="B35" s="2" t="str">
        <v>Walt</v>
      </c>
      <c r="C35" s="2" t="str">
        <v>David</v>
      </c>
      <c r="D35" s="2" t="str">
        <v>Walt</v>
      </c>
      <c r="E35" s="2" t="str">
        <v>Harry</v>
      </c>
      <c r="H35" s="2" t="str">
        <v>Walt</v>
      </c>
      <c r="I35" s="2" t="str">
        <v>Harry</v>
      </c>
      <c r="J35" s="2" t="str">
        <v>Walt</v>
      </c>
      <c r="K35" s="2" t="str">
        <v>Walt</v>
      </c>
      <c r="L35" s="2" t="str">
        <v>Walt</v>
      </c>
      <c r="M35" s="2" t="str">
        <v>David</v>
      </c>
      <c r="N35" s="2" t="str">
        <v>Walt</v>
      </c>
      <c r="O35" s="2" t="str">
        <v>Harry</v>
      </c>
      <c r="P35" s="2" t="str">
        <v>Walt</v>
      </c>
      <c r="Q35" s="2" t="str">
        <v>Walt</v>
      </c>
    </row>
    <row r="36" spans="2:17" x14ac:dyDescent="0.45">
      <c r="B36" s="2" t="str">
        <v>Tom</v>
      </c>
      <c r="C36" s="2" t="str">
        <v>Jo</v>
      </c>
      <c r="D36" s="2" t="str">
        <v>Tom</v>
      </c>
      <c r="E36" s="2" t="str">
        <v>Mike</v>
      </c>
      <c r="H36" s="2" t="str">
        <v>Tom</v>
      </c>
      <c r="I36" s="2" t="str">
        <v>Mike</v>
      </c>
      <c r="J36" s="2" t="str">
        <v>Tom</v>
      </c>
      <c r="K36" s="2" t="str">
        <v>Tom</v>
      </c>
      <c r="L36" s="2" t="str">
        <v>Tom</v>
      </c>
      <c r="M36" s="2" t="str">
        <v>Jo</v>
      </c>
      <c r="N36" s="2" t="str">
        <v>Tom</v>
      </c>
      <c r="O36" s="2" t="str">
        <v>Mike</v>
      </c>
      <c r="P36" s="2" t="str">
        <v>Tom</v>
      </c>
      <c r="Q36" s="2" t="str">
        <v>Tom</v>
      </c>
    </row>
    <row r="37" spans="2:17" x14ac:dyDescent="0.45">
      <c r="B37" s="2" t="str">
        <v>Myra</v>
      </c>
      <c r="C37" s="2" t="str">
        <v>Ned</v>
      </c>
      <c r="D37" s="2" t="str">
        <v>David</v>
      </c>
      <c r="E37" s="2" t="str">
        <v>John</v>
      </c>
      <c r="H37" s="2" t="str">
        <v>Mike</v>
      </c>
      <c r="I37" s="2" t="str">
        <v>John</v>
      </c>
      <c r="J37" s="2" t="str">
        <v>David</v>
      </c>
      <c r="K37" s="2" t="str">
        <v>David</v>
      </c>
      <c r="L37" s="2" t="str">
        <v>Ned</v>
      </c>
      <c r="M37" s="2" t="str">
        <v>Ned</v>
      </c>
      <c r="N37" s="2" t="str">
        <v>Mike</v>
      </c>
      <c r="O37" s="2" t="str">
        <v>John</v>
      </c>
      <c r="P37" s="2" t="str">
        <v>David</v>
      </c>
      <c r="Q37" s="2" t="str">
        <v>David</v>
      </c>
    </row>
    <row r="38" spans="2:17" x14ac:dyDescent="0.45">
      <c r="B38" s="2" t="str">
        <v>David</v>
      </c>
      <c r="C38" s="2" t="str">
        <v>Fred</v>
      </c>
      <c r="D38" s="2" t="str">
        <v>Jo</v>
      </c>
      <c r="E38" s="2" t="str">
        <v>Wes</v>
      </c>
      <c r="H38" s="2" t="str">
        <v>David</v>
      </c>
      <c r="I38" s="2" t="str">
        <v>Wes</v>
      </c>
      <c r="J38" s="2" t="str">
        <v>Jo</v>
      </c>
      <c r="K38" s="2" t="str">
        <v>Jo</v>
      </c>
      <c r="L38" s="2" t="str">
        <v>Fred</v>
      </c>
      <c r="M38" s="2" t="str">
        <v>Fred</v>
      </c>
      <c r="N38" s="2" t="str">
        <v>David</v>
      </c>
      <c r="O38" s="2" t="str">
        <v>Wes</v>
      </c>
      <c r="P38" s="2" t="str">
        <v>Mary Jo</v>
      </c>
      <c r="Q38" s="2" t="str">
        <v>Mary Jo</v>
      </c>
    </row>
    <row r="42" spans="2:17" customFormat="1" ht="14.5" x14ac:dyDescent="0.35"/>
    <row r="43" spans="2:17" customFormat="1" ht="14.5" x14ac:dyDescent="0.35"/>
    <row r="44" spans="2:17" customFormat="1" ht="14.5" x14ac:dyDescent="0.35"/>
    <row r="45" spans="2:17" customFormat="1" ht="14.5" x14ac:dyDescent="0.35"/>
    <row r="46" spans="2:17" customFormat="1" ht="14.5" x14ac:dyDescent="0.35"/>
    <row r="47" spans="2:17" customFormat="1" ht="14.5" x14ac:dyDescent="0.35"/>
    <row r="48" spans="2:17" customFormat="1" ht="14.5" x14ac:dyDescent="0.35"/>
    <row r="49" customFormat="1" ht="14.5" x14ac:dyDescent="0.35"/>
    <row r="50" customFormat="1" ht="14.5" x14ac:dyDescent="0.35"/>
    <row r="51" customFormat="1" ht="14.5" x14ac:dyDescent="0.35"/>
    <row r="52" customFormat="1" ht="14.5" x14ac:dyDescent="0.35"/>
    <row r="53" customFormat="1" ht="14.5" x14ac:dyDescent="0.35"/>
    <row r="54" customFormat="1" ht="14.5" x14ac:dyDescent="0.35"/>
    <row r="55" customFormat="1" ht="14.5" x14ac:dyDescent="0.35"/>
    <row r="56" customFormat="1" ht="14.5" x14ac:dyDescent="0.35"/>
    <row r="57" customFormat="1" ht="14.5" x14ac:dyDescent="0.35"/>
    <row r="58" customFormat="1" ht="14.5" x14ac:dyDescent="0.35"/>
    <row r="59" customFormat="1" ht="14.5" x14ac:dyDescent="0.35"/>
    <row r="60" customFormat="1" ht="14.5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8B6B-FAF1-4524-A864-170A7AB7704D}">
  <sheetPr codeName="Sheet4">
    <tabColor rgb="FFFFC000"/>
  </sheetPr>
  <dimension ref="B1:R127"/>
  <sheetViews>
    <sheetView zoomScale="85" zoomScaleNormal="85" workbookViewId="0">
      <selection activeCell="I4" sqref="I4"/>
    </sheetView>
  </sheetViews>
  <sheetFormatPr defaultRowHeight="16.5" x14ac:dyDescent="0.45"/>
  <cols>
    <col min="1" max="1" width="3.921875" style="1" customWidth="1"/>
    <col min="2" max="2" width="33.23046875" style="1" bestFit="1" customWidth="1"/>
    <col min="3" max="3" width="4.61328125" style="1" customWidth="1"/>
    <col min="4" max="4" width="26.84375" style="1" customWidth="1"/>
    <col min="5" max="5" width="3.69140625" style="1" customWidth="1"/>
    <col min="6" max="6" width="7.23046875" style="1" bestFit="1" customWidth="1"/>
    <col min="7" max="7" width="8.3046875" style="1" bestFit="1" customWidth="1"/>
    <col min="8" max="8" width="9.23046875" style="1"/>
    <col min="9" max="9" width="33.23046875" style="1" bestFit="1" customWidth="1"/>
    <col min="10" max="10" width="26.07421875" style="1" bestFit="1" customWidth="1"/>
    <col min="11" max="11" width="7.07421875" style="1" bestFit="1" customWidth="1"/>
    <col min="12" max="12" width="7.921875" style="1" bestFit="1" customWidth="1"/>
    <col min="13" max="14" width="9.23046875" style="1"/>
    <col min="15" max="15" width="33.23046875" style="1" bestFit="1" customWidth="1"/>
    <col min="16" max="16" width="26.07421875" style="1" bestFit="1" customWidth="1"/>
    <col min="17" max="17" width="7.07421875" style="1" bestFit="1" customWidth="1"/>
    <col min="18" max="18" width="7.921875" style="1" bestFit="1" customWidth="1"/>
    <col min="19" max="16384" width="9.23046875" style="1"/>
  </cols>
  <sheetData>
    <row r="1" spans="2:18" x14ac:dyDescent="0.45">
      <c r="B1" s="21" t="s">
        <v>296</v>
      </c>
    </row>
    <row r="2" spans="2:18" x14ac:dyDescent="0.45">
      <c r="B2" s="65" t="s">
        <v>68</v>
      </c>
      <c r="C2" s="65"/>
      <c r="D2" s="65" t="s">
        <v>69</v>
      </c>
      <c r="E2" s="65"/>
      <c r="F2" s="65" t="s">
        <v>70</v>
      </c>
      <c r="G2" s="65" t="s">
        <v>71</v>
      </c>
    </row>
    <row r="3" spans="2:18" x14ac:dyDescent="0.45">
      <c r="B3" s="7" t="s">
        <v>226</v>
      </c>
      <c r="C3" s="7"/>
      <c r="D3" s="7" t="s">
        <v>227</v>
      </c>
      <c r="E3" s="7"/>
      <c r="F3" s="7">
        <v>1929</v>
      </c>
      <c r="G3" s="7" t="s">
        <v>91</v>
      </c>
      <c r="I3" s="17" t="s">
        <v>295</v>
      </c>
      <c r="O3" s="17" t="s">
        <v>371</v>
      </c>
    </row>
    <row r="4" spans="2:18" x14ac:dyDescent="0.45">
      <c r="B4" s="7" t="s">
        <v>131</v>
      </c>
      <c r="C4" s="7"/>
      <c r="D4" s="7" t="s">
        <v>133</v>
      </c>
      <c r="E4" s="7"/>
      <c r="F4" s="7">
        <v>1968</v>
      </c>
      <c r="G4" s="7" t="s">
        <v>75</v>
      </c>
      <c r="I4" s="1" t="str" cm="1">
        <f t="array" ref="I4:L110">Squeezeλ(Books,,1)</f>
        <v>Title</v>
      </c>
      <c r="J4" s="1" t="str">
        <v>Author</v>
      </c>
      <c r="K4" s="1" t="str">
        <v>Year</v>
      </c>
      <c r="L4" s="1" t="str">
        <v>Language</v>
      </c>
      <c r="O4" s="1" t="str" cm="1">
        <f t="array" ref="O4:R110">Squeezeλ(Books)</f>
        <v>Title</v>
      </c>
      <c r="P4" s="1" t="str">
        <v>Author</v>
      </c>
      <c r="Q4" s="1" t="str">
        <v>Year</v>
      </c>
      <c r="R4" s="1" t="str">
        <v>Language</v>
      </c>
    </row>
    <row r="5" spans="2:18" x14ac:dyDescent="0.45">
      <c r="B5" s="7" t="s">
        <v>112</v>
      </c>
      <c r="C5" s="7"/>
      <c r="D5" s="7" t="s">
        <v>113</v>
      </c>
      <c r="E5" s="7"/>
      <c r="F5" s="7">
        <v>1913</v>
      </c>
      <c r="G5" s="7" t="s">
        <v>75</v>
      </c>
      <c r="I5" s="1" t="str">
        <v>A Room of One's Own</v>
      </c>
      <c r="J5" s="1" t="str">
        <v>Virginia Woolf</v>
      </c>
      <c r="K5" s="1">
        <v>1929</v>
      </c>
      <c r="L5" s="1" t="str">
        <v>English</v>
      </c>
      <c r="O5" s="1" t="str">
        <v>A Room of One's Own</v>
      </c>
      <c r="P5" s="1" t="str">
        <v>Virginia Woolf</v>
      </c>
      <c r="Q5" s="1">
        <v>1929</v>
      </c>
      <c r="R5" s="1" t="str">
        <v>English</v>
      </c>
    </row>
    <row r="6" spans="2:18" x14ac:dyDescent="0.45">
      <c r="B6" s="7" t="s">
        <v>286</v>
      </c>
      <c r="C6" s="7"/>
      <c r="D6" s="7" t="s">
        <v>287</v>
      </c>
      <c r="E6" s="7"/>
      <c r="F6" s="7">
        <v>1957</v>
      </c>
      <c r="G6" s="7" t="s">
        <v>75</v>
      </c>
      <c r="I6" s="1" t="str">
        <v>The Abyss</v>
      </c>
      <c r="J6" s="1" t="str">
        <v>Marguerite Yourcenar</v>
      </c>
      <c r="K6" s="1">
        <v>1968</v>
      </c>
      <c r="L6" s="1" t="str">
        <v>French</v>
      </c>
      <c r="O6" s="1" t="str">
        <v>The Abyss</v>
      </c>
      <c r="P6" s="1" t="str">
        <v>Marguerite Yourcenar</v>
      </c>
      <c r="Q6" s="1">
        <v>1968</v>
      </c>
      <c r="R6" s="1" t="str">
        <v>French</v>
      </c>
    </row>
    <row r="7" spans="2:18" x14ac:dyDescent="0.45">
      <c r="B7" s="7" t="s">
        <v>125</v>
      </c>
      <c r="C7" s="7"/>
      <c r="D7" s="7" t="s">
        <v>126</v>
      </c>
      <c r="E7" s="7"/>
      <c r="F7" s="7">
        <v>1959</v>
      </c>
      <c r="G7" s="7" t="s">
        <v>75</v>
      </c>
      <c r="I7" s="1" t="str">
        <v>Alcools</v>
      </c>
      <c r="J7" s="1" t="str">
        <v>Guillaume Apollinaire</v>
      </c>
      <c r="K7" s="1">
        <v>1913</v>
      </c>
      <c r="L7" s="1" t="str">
        <v>French</v>
      </c>
      <c r="O7" s="1" t="str">
        <v>Alcools</v>
      </c>
      <c r="P7" s="1" t="str">
        <v>Guillaume Apollinaire</v>
      </c>
      <c r="Q7" s="1">
        <v>1913</v>
      </c>
      <c r="R7" s="1" t="str">
        <v>French</v>
      </c>
    </row>
    <row r="8" spans="2:18" x14ac:dyDescent="0.45">
      <c r="B8" s="7" t="s">
        <v>185</v>
      </c>
      <c r="C8" s="7"/>
      <c r="D8" s="7" t="s">
        <v>186</v>
      </c>
      <c r="E8" s="7"/>
      <c r="F8" s="7">
        <v>1944</v>
      </c>
      <c r="G8" s="7" t="s">
        <v>75</v>
      </c>
      <c r="I8" s="1" t="str">
        <v>Amers</v>
      </c>
      <c r="J8" s="1" t="str">
        <v>Saint-John Perse</v>
      </c>
      <c r="K8" s="1">
        <v>1957</v>
      </c>
      <c r="L8" s="1" t="str">
        <v>French</v>
      </c>
      <c r="O8" s="1" t="str">
        <v>Amers</v>
      </c>
      <c r="P8" s="1" t="str">
        <v>Saint-John Perse</v>
      </c>
      <c r="Q8" s="1">
        <v>1957</v>
      </c>
      <c r="R8" s="1" t="str">
        <v>French</v>
      </c>
    </row>
    <row r="9" spans="2:18" x14ac:dyDescent="0.45">
      <c r="B9" s="3"/>
      <c r="C9" s="3"/>
      <c r="D9" s="3"/>
      <c r="E9" s="3"/>
      <c r="F9" s="3"/>
      <c r="G9" s="3"/>
      <c r="I9" s="1" t="str">
        <v>Asterix the Gaul</v>
      </c>
      <c r="J9" s="1" t="str">
        <v>René Goscinny and Albert Uderzo</v>
      </c>
      <c r="K9" s="1">
        <v>1959</v>
      </c>
      <c r="L9" s="1" t="str">
        <v>French</v>
      </c>
      <c r="O9" s="1" t="str">
        <v>Asterix the Gaul</v>
      </c>
      <c r="P9" s="1" t="str">
        <v>René Goscinny and Albert Uderzo</v>
      </c>
      <c r="Q9" s="1">
        <v>1959</v>
      </c>
      <c r="R9" s="1" t="str">
        <v>French</v>
      </c>
    </row>
    <row r="10" spans="2:18" x14ac:dyDescent="0.45">
      <c r="B10" s="7"/>
      <c r="C10" s="7"/>
      <c r="D10" s="7"/>
      <c r="E10" s="7"/>
      <c r="F10" s="7"/>
      <c r="G10" s="7"/>
      <c r="I10" s="1" t="str">
        <v>Aurélien</v>
      </c>
      <c r="J10" s="1" t="str">
        <v>Louis Aragon</v>
      </c>
      <c r="K10" s="1">
        <v>1944</v>
      </c>
      <c r="L10" s="1" t="str">
        <v>French</v>
      </c>
      <c r="O10" s="1" t="str">
        <v>Aurélien</v>
      </c>
      <c r="P10" s="1" t="str">
        <v>Louis Aragon</v>
      </c>
      <c r="Q10" s="1">
        <v>1944</v>
      </c>
      <c r="R10" s="1" t="str">
        <v>French</v>
      </c>
    </row>
    <row r="11" spans="2:18" x14ac:dyDescent="0.45">
      <c r="B11" s="7"/>
      <c r="C11" s="7"/>
      <c r="D11" s="7"/>
      <c r="E11" s="7"/>
      <c r="F11" s="7"/>
      <c r="G11" s="7"/>
      <c r="I11" s="1" t="str">
        <v>The Bald Soprano</v>
      </c>
      <c r="J11" s="1" t="str">
        <v>Eugène Ionesco</v>
      </c>
      <c r="K11" s="1">
        <v>1952</v>
      </c>
      <c r="L11" s="1" t="str">
        <v>French</v>
      </c>
      <c r="O11" s="1" t="str">
        <v>The Bald Soprano</v>
      </c>
      <c r="P11" s="1" t="str">
        <v>Eugène Ionesco</v>
      </c>
      <c r="Q11" s="1">
        <v>1952</v>
      </c>
      <c r="R11" s="1" t="str">
        <v>French</v>
      </c>
    </row>
    <row r="12" spans="2:18" x14ac:dyDescent="0.45">
      <c r="B12" s="7" t="s">
        <v>127</v>
      </c>
      <c r="C12" s="7"/>
      <c r="D12" s="7" t="s">
        <v>128</v>
      </c>
      <c r="E12" s="7"/>
      <c r="F12" s="7">
        <v>1952</v>
      </c>
      <c r="G12" s="7" t="s">
        <v>75</v>
      </c>
      <c r="I12" s="1" t="str">
        <v>The Ballad of the Salty Sea</v>
      </c>
      <c r="J12" s="1" t="str">
        <v>Hugo Pratt</v>
      </c>
      <c r="K12" s="1">
        <v>1967</v>
      </c>
      <c r="L12" s="1" t="str">
        <v>Italian</v>
      </c>
      <c r="O12" s="1" t="str">
        <v>The Ballad of the Salty Sea</v>
      </c>
      <c r="P12" s="1" t="str">
        <v>Hugo Pratt</v>
      </c>
      <c r="Q12" s="1">
        <v>1967</v>
      </c>
      <c r="R12" s="1" t="str">
        <v>Italian</v>
      </c>
    </row>
    <row r="13" spans="2:18" x14ac:dyDescent="0.45">
      <c r="B13" s="7" t="s">
        <v>210</v>
      </c>
      <c r="C13" s="7"/>
      <c r="D13" s="7" t="s">
        <v>211</v>
      </c>
      <c r="E13" s="7"/>
      <c r="F13" s="7">
        <v>1967</v>
      </c>
      <c r="G13" s="7" t="s">
        <v>106</v>
      </c>
      <c r="I13" s="1" t="str">
        <v>Being and Nothingness</v>
      </c>
      <c r="J13" s="1" t="str">
        <v>Jean-Paul Sartre</v>
      </c>
      <c r="K13" s="1">
        <v>1943</v>
      </c>
      <c r="L13" s="1" t="str">
        <v>French</v>
      </c>
      <c r="O13" s="1" t="str">
        <v>Being and Nothingness</v>
      </c>
      <c r="P13" s="1" t="str">
        <v>Jean-Paul Sartre</v>
      </c>
      <c r="Q13" s="1">
        <v>1943</v>
      </c>
      <c r="R13" s="1" t="str">
        <v>French</v>
      </c>
    </row>
    <row r="14" spans="2:18" x14ac:dyDescent="0.45">
      <c r="B14" s="7" t="s">
        <v>102</v>
      </c>
      <c r="C14" s="7"/>
      <c r="D14" s="7" t="s">
        <v>103</v>
      </c>
      <c r="E14" s="7"/>
      <c r="F14" s="7">
        <v>1943</v>
      </c>
      <c r="G14" s="7" t="s">
        <v>75</v>
      </c>
      <c r="I14" s="1" t="str">
        <v>Belle du Seigneur</v>
      </c>
      <c r="J14" s="1" t="str">
        <v>Albert Cohen</v>
      </c>
      <c r="K14" s="1">
        <v>1968</v>
      </c>
      <c r="L14" s="1" t="str">
        <v>French</v>
      </c>
      <c r="O14" s="1" t="str">
        <v>Belle du Seigneur</v>
      </c>
      <c r="P14" s="1" t="str">
        <v>Albert Cohen</v>
      </c>
      <c r="Q14" s="1">
        <v>1968</v>
      </c>
      <c r="R14" s="1" t="str">
        <v>French</v>
      </c>
    </row>
    <row r="15" spans="2:18" x14ac:dyDescent="0.45">
      <c r="B15" s="7" t="s">
        <v>144</v>
      </c>
      <c r="C15" s="7"/>
      <c r="D15" s="7" t="s">
        <v>145</v>
      </c>
      <c r="E15" s="7"/>
      <c r="F15" s="7">
        <v>1968</v>
      </c>
      <c r="G15" s="7" t="s">
        <v>75</v>
      </c>
      <c r="I15" s="1" t="str">
        <v>The Big Sleep</v>
      </c>
      <c r="J15" s="1" t="str">
        <v>Raymond Chandler</v>
      </c>
      <c r="K15" s="1">
        <v>1939</v>
      </c>
      <c r="L15" s="1" t="str">
        <v>English</v>
      </c>
      <c r="O15" s="1" t="str">
        <v>The Big Sleep</v>
      </c>
      <c r="P15" s="1" t="str">
        <v>Raymond Chandler</v>
      </c>
      <c r="Q15" s="1">
        <v>1939</v>
      </c>
      <c r="R15" s="1" t="str">
        <v>English</v>
      </c>
    </row>
    <row r="16" spans="2:18" x14ac:dyDescent="0.45">
      <c r="B16" s="7" t="s">
        <v>284</v>
      </c>
      <c r="C16" s="7"/>
      <c r="D16" s="7" t="s">
        <v>285</v>
      </c>
      <c r="E16" s="7"/>
      <c r="F16" s="7">
        <v>1939</v>
      </c>
      <c r="G16" s="7" t="s">
        <v>91</v>
      </c>
      <c r="I16" s="1" t="str">
        <v>Blake and Mortimer</v>
      </c>
      <c r="J16" s="1" t="str">
        <v>Edgar P. Jacobs</v>
      </c>
      <c r="K16" s="1">
        <v>1950</v>
      </c>
      <c r="L16" s="1" t="str">
        <v>French</v>
      </c>
      <c r="O16" s="1" t="str">
        <v>Blake and Mortimer</v>
      </c>
      <c r="P16" s="1" t="str">
        <v>Edgar P. Jacobs</v>
      </c>
      <c r="Q16" s="1">
        <v>1950</v>
      </c>
      <c r="R16" s="1" t="str">
        <v>French</v>
      </c>
    </row>
    <row r="17" spans="2:18" x14ac:dyDescent="0.45">
      <c r="B17" s="7" t="s">
        <v>270</v>
      </c>
      <c r="C17" s="7"/>
      <c r="D17" s="7" t="s">
        <v>271</v>
      </c>
      <c r="E17" s="7"/>
      <c r="F17" s="7">
        <v>1950</v>
      </c>
      <c r="G17" s="7" t="s">
        <v>75</v>
      </c>
      <c r="I17" s="1" t="str">
        <v>The Blue Lotus</v>
      </c>
      <c r="J17" s="1" t="str">
        <v>Hergé</v>
      </c>
      <c r="K17" s="1">
        <v>1936</v>
      </c>
      <c r="L17" s="1" t="str">
        <v>French</v>
      </c>
      <c r="O17" s="1" t="str">
        <v>The Blue Lotus</v>
      </c>
      <c r="P17" s="1" t="str">
        <v>Hergé</v>
      </c>
      <c r="Q17" s="1">
        <v>1936</v>
      </c>
      <c r="R17" s="1" t="str">
        <v>French</v>
      </c>
    </row>
    <row r="18" spans="2:18" x14ac:dyDescent="0.45">
      <c r="B18" s="7" t="s">
        <v>114</v>
      </c>
      <c r="C18" s="7"/>
      <c r="D18" s="7" t="s">
        <v>115</v>
      </c>
      <c r="E18" s="7"/>
      <c r="F18" s="7">
        <v>1936</v>
      </c>
      <c r="G18" s="7" t="s">
        <v>75</v>
      </c>
      <c r="I18" s="1" t="str">
        <v>Bonjour Tristesse</v>
      </c>
      <c r="J18" s="1" t="str">
        <v>Françoise Sagan</v>
      </c>
      <c r="K18" s="1">
        <v>1954</v>
      </c>
      <c r="L18" s="1" t="str">
        <v>French</v>
      </c>
      <c r="O18" s="1" t="str">
        <v>Bonjour Tristesse</v>
      </c>
      <c r="P18" s="1" t="str">
        <v>Françoise Sagan</v>
      </c>
      <c r="Q18" s="1">
        <v>1954</v>
      </c>
      <c r="R18" s="1" t="str">
        <v>French</v>
      </c>
    </row>
    <row r="19" spans="2:18" x14ac:dyDescent="0.45">
      <c r="B19" s="7" t="s">
        <v>163</v>
      </c>
      <c r="C19" s="7"/>
      <c r="D19" s="7" t="s">
        <v>164</v>
      </c>
      <c r="E19" s="7"/>
      <c r="F19" s="7">
        <v>1954</v>
      </c>
      <c r="G19" s="7" t="s">
        <v>75</v>
      </c>
      <c r="I19" s="1" t="str">
        <v>Brave New World</v>
      </c>
      <c r="J19" s="1" t="str">
        <v>Aldous Huxley</v>
      </c>
      <c r="K19" s="1">
        <v>1932</v>
      </c>
      <c r="L19" s="1" t="str">
        <v>English</v>
      </c>
      <c r="O19" s="1" t="str">
        <v>Brave New World</v>
      </c>
      <c r="P19" s="1" t="str">
        <v>Aldous Huxley</v>
      </c>
      <c r="Q19" s="1">
        <v>1932</v>
      </c>
      <c r="R19" s="1" t="str">
        <v>English</v>
      </c>
    </row>
    <row r="20" spans="2:18" x14ac:dyDescent="0.45">
      <c r="B20" s="7" t="s">
        <v>121</v>
      </c>
      <c r="C20" s="7"/>
      <c r="D20" s="7" t="s">
        <v>122</v>
      </c>
      <c r="E20" s="7"/>
      <c r="F20" s="7">
        <v>1932</v>
      </c>
      <c r="G20" s="7" t="s">
        <v>91</v>
      </c>
      <c r="I20" s="1" t="str">
        <v>The Burden of Our Time</v>
      </c>
      <c r="J20" s="1" t="str">
        <v/>
      </c>
      <c r="K20" s="1" t="str">
        <v/>
      </c>
      <c r="L20" s="1" t="str">
        <v/>
      </c>
      <c r="O20" s="1" t="str">
        <v>The Burden of Our Time</v>
      </c>
      <c r="P20" s="1">
        <v>0</v>
      </c>
      <c r="Q20" s="1">
        <v>0</v>
      </c>
      <c r="R20" s="1">
        <v>0</v>
      </c>
    </row>
    <row r="21" spans="2:18" x14ac:dyDescent="0.45">
      <c r="B21" s="7" t="s">
        <v>277</v>
      </c>
      <c r="C21" s="7"/>
      <c r="D21" s="7"/>
      <c r="E21" s="7"/>
      <c r="F21" s="7"/>
      <c r="G21" s="7"/>
      <c r="I21" s="1" t="str">
        <v>Capital of Pain</v>
      </c>
      <c r="J21" s="1" t="str">
        <v>Paul Éluard</v>
      </c>
      <c r="K21" s="1">
        <v>1926</v>
      </c>
      <c r="L21" s="1" t="str">
        <v>French</v>
      </c>
      <c r="O21" s="1" t="str">
        <v>Capital of Pain</v>
      </c>
      <c r="P21" s="1" t="str">
        <v>Paul Éluard</v>
      </c>
      <c r="Q21" s="1">
        <v>1926</v>
      </c>
      <c r="R21" s="1" t="str">
        <v>French</v>
      </c>
    </row>
    <row r="22" spans="2:18" x14ac:dyDescent="0.45">
      <c r="B22" s="7"/>
      <c r="C22" s="7"/>
      <c r="D22" s="7"/>
      <c r="E22" s="7"/>
      <c r="F22" s="7"/>
      <c r="G22" s="7"/>
      <c r="I22" s="1" t="str">
        <v>The Catcher in the Rye</v>
      </c>
      <c r="J22" s="1" t="str">
        <v>J. D. Salinger</v>
      </c>
      <c r="K22" s="1">
        <v>1951</v>
      </c>
      <c r="L22" s="1" t="str">
        <v>English</v>
      </c>
      <c r="O22" s="1" t="str">
        <v>The Catcher in the Rye</v>
      </c>
      <c r="P22" s="1" t="str">
        <v>J. D. Salinger</v>
      </c>
      <c r="Q22" s="1">
        <v>1951</v>
      </c>
      <c r="R22" s="1" t="str">
        <v>English</v>
      </c>
    </row>
    <row r="23" spans="2:18" x14ac:dyDescent="0.45">
      <c r="B23" s="7" t="s">
        <v>206</v>
      </c>
      <c r="C23" s="7"/>
      <c r="D23" s="7" t="s">
        <v>207</v>
      </c>
      <c r="E23" s="7"/>
      <c r="F23" s="7">
        <v>1926</v>
      </c>
      <c r="G23" s="7" t="s">
        <v>75</v>
      </c>
      <c r="I23" s="1" t="str">
        <v>Confusion of Feelings</v>
      </c>
      <c r="J23" s="1" t="str">
        <v>Stefan Zweig</v>
      </c>
      <c r="K23" s="1">
        <v>1927</v>
      </c>
      <c r="L23" s="1" t="str">
        <v>German</v>
      </c>
      <c r="O23" s="1" t="str">
        <v>Confusion of Feelings</v>
      </c>
      <c r="P23" s="1" t="str">
        <v>Stefan Zweig</v>
      </c>
      <c r="Q23" s="1">
        <v>1927</v>
      </c>
      <c r="R23" s="1" t="str">
        <v>German</v>
      </c>
    </row>
    <row r="24" spans="2:18" x14ac:dyDescent="0.45">
      <c r="B24" s="7" t="s">
        <v>266</v>
      </c>
      <c r="C24" s="7"/>
      <c r="D24" s="7" t="s">
        <v>267</v>
      </c>
      <c r="E24" s="7"/>
      <c r="F24" s="7">
        <v>1951</v>
      </c>
      <c r="G24" s="7" t="s">
        <v>91</v>
      </c>
      <c r="I24" s="1" t="str">
        <v>Contempt/A Ghost at Noon</v>
      </c>
      <c r="J24" s="1" t="str">
        <v>Alberto Moravia</v>
      </c>
      <c r="K24" s="1">
        <v>1954</v>
      </c>
      <c r="L24" s="1" t="str">
        <v>Italian</v>
      </c>
      <c r="O24" s="1" t="str">
        <v>Contempt/A Ghost at Noon</v>
      </c>
      <c r="P24" s="1" t="str">
        <v>Alberto Moravia</v>
      </c>
      <c r="Q24" s="1">
        <v>1954</v>
      </c>
      <c r="R24" s="1" t="str">
        <v>Italian</v>
      </c>
    </row>
    <row r="25" spans="2:18" x14ac:dyDescent="0.45">
      <c r="B25" s="7" t="s">
        <v>155</v>
      </c>
      <c r="C25" s="7"/>
      <c r="D25" s="7" t="s">
        <v>156</v>
      </c>
      <c r="E25" s="7"/>
      <c r="F25" s="7">
        <v>1927</v>
      </c>
      <c r="G25" s="7" t="s">
        <v>82</v>
      </c>
      <c r="I25" s="1" t="str">
        <v>The Counterfeiters</v>
      </c>
      <c r="J25" s="1" t="str">
        <v>André Gide</v>
      </c>
      <c r="K25" s="1">
        <v>1925</v>
      </c>
      <c r="L25" s="1" t="str">
        <v>French</v>
      </c>
      <c r="O25" s="1" t="str">
        <v>The Counterfeiters</v>
      </c>
      <c r="P25" s="1" t="str">
        <v>André Gide</v>
      </c>
      <c r="Q25" s="1">
        <v>1925</v>
      </c>
      <c r="R25" s="1" t="str">
        <v>French</v>
      </c>
    </row>
    <row r="26" spans="2:18" x14ac:dyDescent="0.45">
      <c r="B26" s="7" t="s">
        <v>179</v>
      </c>
      <c r="C26" s="7"/>
      <c r="D26" s="7" t="s">
        <v>180</v>
      </c>
      <c r="E26" s="7"/>
      <c r="F26" s="7">
        <v>1954</v>
      </c>
      <c r="G26" s="7" t="s">
        <v>106</v>
      </c>
      <c r="I26" s="1" t="str">
        <v>The Diary of a Young Girl</v>
      </c>
      <c r="J26" s="1" t="str">
        <v>Anne Frank</v>
      </c>
      <c r="K26" s="1">
        <v>1947</v>
      </c>
      <c r="L26" s="1" t="str">
        <v>Dutch</v>
      </c>
      <c r="O26" s="1" t="str">
        <v>The Diary of a Young Girl</v>
      </c>
      <c r="P26" s="1" t="str">
        <v>Anne Frank</v>
      </c>
      <c r="Q26" s="1">
        <v>1947</v>
      </c>
      <c r="R26" s="1" t="str">
        <v>Dutch</v>
      </c>
    </row>
    <row r="27" spans="2:18" x14ac:dyDescent="0.45">
      <c r="B27" s="7" t="s">
        <v>140</v>
      </c>
      <c r="C27" s="7"/>
      <c r="D27" s="7" t="s">
        <v>141</v>
      </c>
      <c r="E27" s="7"/>
      <c r="F27" s="7">
        <v>1925</v>
      </c>
      <c r="G27" s="7" t="s">
        <v>75</v>
      </c>
      <c r="I27" s="1" t="str">
        <v>Écrits</v>
      </c>
      <c r="J27" s="1" t="str">
        <v>Jacques Lacan</v>
      </c>
      <c r="K27" s="1">
        <v>1966</v>
      </c>
      <c r="L27" s="1" t="str">
        <v>French</v>
      </c>
      <c r="O27" s="1" t="str">
        <v>Écrits</v>
      </c>
      <c r="P27" s="1" t="str">
        <v>Jacques Lacan</v>
      </c>
      <c r="Q27" s="1">
        <v>1966</v>
      </c>
      <c r="R27" s="1" t="str">
        <v>French</v>
      </c>
    </row>
    <row r="28" spans="2:18" x14ac:dyDescent="0.45">
      <c r="B28" s="7"/>
      <c r="C28" s="7"/>
      <c r="D28" s="7"/>
      <c r="E28" s="7"/>
      <c r="F28" s="7"/>
      <c r="G28" s="7"/>
      <c r="I28" s="1" t="str">
        <v>Ficciones</v>
      </c>
      <c r="J28" s="1" t="str">
        <v>Jorge Luis Borges</v>
      </c>
      <c r="K28" s="1">
        <v>1944</v>
      </c>
      <c r="L28" s="1" t="str">
        <v>Spanish</v>
      </c>
      <c r="O28" s="1" t="str">
        <v>Ficciones</v>
      </c>
      <c r="P28" s="1" t="str">
        <v>Jorge Luis Borges</v>
      </c>
      <c r="Q28" s="1">
        <v>1944</v>
      </c>
      <c r="R28" s="1" t="str">
        <v>Spanish</v>
      </c>
    </row>
    <row r="29" spans="2:18" x14ac:dyDescent="0.45">
      <c r="B29" s="7" t="s">
        <v>116</v>
      </c>
      <c r="C29" s="7"/>
      <c r="D29" s="7" t="s">
        <v>117</v>
      </c>
      <c r="E29" s="7"/>
      <c r="F29" s="7">
        <v>1947</v>
      </c>
      <c r="G29" s="7" t="s">
        <v>118</v>
      </c>
      <c r="I29" s="1" t="str">
        <v>For Whom the Bell Tolls</v>
      </c>
      <c r="J29" s="1" t="str">
        <v>Ernest Hemingway</v>
      </c>
      <c r="K29" s="1">
        <v>1940</v>
      </c>
      <c r="L29" s="1" t="str">
        <v>English</v>
      </c>
      <c r="O29" s="1" t="str">
        <v>For Whom the Bell Tolls</v>
      </c>
      <c r="P29" s="1" t="str">
        <v>Ernest Hemingway</v>
      </c>
      <c r="Q29" s="1">
        <v>1940</v>
      </c>
      <c r="R29" s="1" t="str">
        <v>English</v>
      </c>
    </row>
    <row r="30" spans="2:18" x14ac:dyDescent="0.45">
      <c r="B30" s="7"/>
      <c r="C30" s="7"/>
      <c r="D30" s="7"/>
      <c r="E30" s="7"/>
      <c r="F30" s="7"/>
      <c r="G30" s="7"/>
      <c r="I30" s="1" t="str">
        <v>Friday</v>
      </c>
      <c r="J30" s="1" t="str">
        <v>Michel Tournier</v>
      </c>
      <c r="K30" s="1">
        <v>1967</v>
      </c>
      <c r="L30" s="1" t="str">
        <v>French</v>
      </c>
      <c r="O30" s="1" t="str">
        <v>Friday</v>
      </c>
      <c r="P30" s="1" t="str">
        <v>Michel Tournier</v>
      </c>
      <c r="Q30" s="1">
        <v>1967</v>
      </c>
      <c r="R30" s="1" t="str">
        <v>French</v>
      </c>
    </row>
    <row r="31" spans="2:18" x14ac:dyDescent="0.45">
      <c r="B31" s="7" t="s">
        <v>240</v>
      </c>
      <c r="C31" s="7"/>
      <c r="D31" s="7" t="s">
        <v>241</v>
      </c>
      <c r="E31" s="7"/>
      <c r="F31" s="7">
        <v>1966</v>
      </c>
      <c r="G31" s="7" t="s">
        <v>75</v>
      </c>
      <c r="I31" s="1" t="str">
        <v>Froth on the Daydream</v>
      </c>
      <c r="J31" s="1" t="str">
        <v>Boris Vian</v>
      </c>
      <c r="K31" s="1">
        <v>1947</v>
      </c>
      <c r="L31" s="1" t="str">
        <v>French</v>
      </c>
      <c r="O31" s="1" t="str">
        <v>Froth on the Daydream</v>
      </c>
      <c r="P31" s="1" t="str">
        <v>Boris Vian</v>
      </c>
      <c r="Q31" s="1">
        <v>1947</v>
      </c>
      <c r="R31" s="1" t="str">
        <v>French</v>
      </c>
    </row>
    <row r="32" spans="2:18" x14ac:dyDescent="0.45">
      <c r="B32" s="7"/>
      <c r="C32" s="7"/>
      <c r="D32" s="7"/>
      <c r="E32" s="7"/>
      <c r="F32" s="7"/>
      <c r="G32" s="7"/>
      <c r="I32" s="1" t="str">
        <v>Furor and Mystery</v>
      </c>
      <c r="J32" s="1" t="str">
        <v>René Char</v>
      </c>
      <c r="K32" s="1">
        <v>1948</v>
      </c>
      <c r="L32" s="1" t="str">
        <v>French</v>
      </c>
      <c r="O32" s="1" t="str">
        <v>Furor and Mystery</v>
      </c>
      <c r="P32" s="1" t="str">
        <v>René Char</v>
      </c>
      <c r="Q32" s="1">
        <v>1948</v>
      </c>
      <c r="R32" s="1" t="str">
        <v>French</v>
      </c>
    </row>
    <row r="33" spans="2:18" x14ac:dyDescent="0.45">
      <c r="B33" s="7" t="s">
        <v>246</v>
      </c>
      <c r="C33" s="7"/>
      <c r="D33" s="7" t="s">
        <v>247</v>
      </c>
      <c r="E33" s="7"/>
      <c r="F33" s="7">
        <v>1944</v>
      </c>
      <c r="G33" s="7" t="s">
        <v>148</v>
      </c>
      <c r="I33" s="1" t="str">
        <v>Gaston</v>
      </c>
      <c r="J33" s="1" t="str">
        <v>André Franquin</v>
      </c>
      <c r="K33" s="1">
        <v>1957</v>
      </c>
      <c r="L33" s="1" t="str">
        <v>French</v>
      </c>
      <c r="O33" s="1" t="str">
        <v>Gaston</v>
      </c>
      <c r="P33" s="1" t="str">
        <v>André Franquin</v>
      </c>
      <c r="Q33" s="1">
        <v>1957</v>
      </c>
      <c r="R33" s="1" t="str">
        <v>French</v>
      </c>
    </row>
    <row r="34" spans="2:18" x14ac:dyDescent="0.45">
      <c r="B34" s="7" t="s">
        <v>92</v>
      </c>
      <c r="C34" s="7"/>
      <c r="D34" s="7" t="s">
        <v>93</v>
      </c>
      <c r="E34" s="7"/>
      <c r="F34" s="7">
        <v>1940</v>
      </c>
      <c r="G34" s="7" t="s">
        <v>91</v>
      </c>
      <c r="I34" s="1" t="str">
        <v>The General of the Dead Army</v>
      </c>
      <c r="J34" s="1" t="str">
        <v>Ismail Kadare</v>
      </c>
      <c r="K34" s="1">
        <v>1963</v>
      </c>
      <c r="L34" s="1" t="str">
        <v>Albanian</v>
      </c>
      <c r="O34" s="1" t="str">
        <v>The General of the Dead Army</v>
      </c>
      <c r="P34" s="1" t="str">
        <v>Ismail Kadare</v>
      </c>
      <c r="Q34" s="1">
        <v>1963</v>
      </c>
      <c r="R34" s="1" t="str">
        <v>Albanian</v>
      </c>
    </row>
    <row r="35" spans="2:18" x14ac:dyDescent="0.45">
      <c r="B35" s="7" t="s">
        <v>193</v>
      </c>
      <c r="C35" s="7"/>
      <c r="D35" s="7" t="s">
        <v>194</v>
      </c>
      <c r="E35" s="7"/>
      <c r="F35" s="7">
        <v>1967</v>
      </c>
      <c r="G35" s="7" t="s">
        <v>75</v>
      </c>
      <c r="I35" s="1" t="str">
        <v>Gomer Goof</v>
      </c>
      <c r="J35" s="1" t="str">
        <v/>
      </c>
      <c r="K35" s="1" t="str">
        <v/>
      </c>
      <c r="L35" s="1" t="str">
        <v/>
      </c>
      <c r="O35" s="1" t="str">
        <v>Gomer Goof</v>
      </c>
      <c r="P35" s="1">
        <v>0</v>
      </c>
      <c r="Q35" s="1">
        <v>0</v>
      </c>
      <c r="R35" s="1">
        <v>0</v>
      </c>
    </row>
    <row r="36" spans="2:18" x14ac:dyDescent="0.45">
      <c r="B36" s="7" t="s">
        <v>96</v>
      </c>
      <c r="C36" s="7"/>
      <c r="D36" s="7" t="s">
        <v>97</v>
      </c>
      <c r="E36" s="7"/>
      <c r="F36" s="7">
        <v>1947</v>
      </c>
      <c r="G36" s="7" t="s">
        <v>75</v>
      </c>
      <c r="I36" s="1" t="str">
        <v>Gone with the Wind</v>
      </c>
      <c r="J36" s="1" t="str">
        <v>Margaret Mitchell</v>
      </c>
      <c r="K36" s="1">
        <v>1936</v>
      </c>
      <c r="L36" s="1" t="str">
        <v>English</v>
      </c>
      <c r="O36" s="1" t="str">
        <v>Gone with the Wind</v>
      </c>
      <c r="P36" s="1" t="str">
        <v>Margaret Mitchell</v>
      </c>
      <c r="Q36" s="1">
        <v>1936</v>
      </c>
      <c r="R36" s="1" t="str">
        <v>English</v>
      </c>
    </row>
    <row r="37" spans="2:18" x14ac:dyDescent="0.45">
      <c r="B37" s="7" t="s">
        <v>264</v>
      </c>
      <c r="C37" s="7"/>
      <c r="D37" s="7" t="s">
        <v>265</v>
      </c>
      <c r="E37" s="7"/>
      <c r="F37" s="7">
        <v>1948</v>
      </c>
      <c r="G37" s="7" t="s">
        <v>75</v>
      </c>
      <c r="I37" s="1" t="str">
        <v>The Grapes of Wrath</v>
      </c>
      <c r="J37" s="1" t="str">
        <v>John Steinbeck</v>
      </c>
      <c r="K37" s="1">
        <v>1939</v>
      </c>
      <c r="L37" s="1" t="str">
        <v>English</v>
      </c>
      <c r="O37" s="1" t="str">
        <v>The Grapes of Wrath</v>
      </c>
      <c r="P37" s="1" t="str">
        <v>John Steinbeck</v>
      </c>
      <c r="Q37" s="1">
        <v>1939</v>
      </c>
      <c r="R37" s="1" t="str">
        <v>English</v>
      </c>
    </row>
    <row r="38" spans="2:18" x14ac:dyDescent="0.45">
      <c r="B38" s="7"/>
      <c r="C38" s="7"/>
      <c r="D38" s="7"/>
      <c r="E38" s="7"/>
      <c r="F38" s="7"/>
      <c r="G38" s="7"/>
      <c r="I38" s="1" t="str">
        <v>The Great Gatsby</v>
      </c>
      <c r="J38" s="1" t="str">
        <v>F. Scott Fitzgerald</v>
      </c>
      <c r="K38" s="1">
        <v>1925</v>
      </c>
      <c r="L38" s="1" t="str">
        <v>English</v>
      </c>
      <c r="O38" s="1" t="str">
        <v>The Great Gatsby</v>
      </c>
      <c r="P38" s="1" t="str">
        <v>F. Scott Fitzgerald</v>
      </c>
      <c r="Q38" s="1">
        <v>1925</v>
      </c>
      <c r="R38" s="1" t="str">
        <v>English</v>
      </c>
    </row>
    <row r="39" spans="2:18" x14ac:dyDescent="0.45">
      <c r="B39" s="7"/>
      <c r="C39" s="7"/>
      <c r="D39" s="7"/>
      <c r="E39" s="7"/>
      <c r="F39" s="7"/>
      <c r="G39" s="7"/>
      <c r="I39" s="1" t="str">
        <v>The Gulag Archipelago</v>
      </c>
      <c r="J39" s="1" t="str">
        <v>Aleksandr Solzhenitsyn</v>
      </c>
      <c r="K39" s="1">
        <v>1973</v>
      </c>
      <c r="L39" s="1" t="str">
        <v>Russian</v>
      </c>
      <c r="O39" s="1" t="str">
        <v>The Gulag Archipelago</v>
      </c>
      <c r="P39" s="1" t="str">
        <v>Aleksandr Solzhenitsyn</v>
      </c>
      <c r="Q39" s="1">
        <v>1973</v>
      </c>
      <c r="R39" s="1" t="str">
        <v>Russian</v>
      </c>
    </row>
    <row r="40" spans="2:18" x14ac:dyDescent="0.45">
      <c r="B40" s="7"/>
      <c r="C40" s="7"/>
      <c r="D40" s="7"/>
      <c r="E40" s="7"/>
      <c r="F40" s="7"/>
      <c r="G40" s="7"/>
      <c r="I40" s="1" t="str">
        <v>Gypsy Ballads</v>
      </c>
      <c r="J40" s="1" t="str">
        <v>Federico García Lorca</v>
      </c>
      <c r="K40" s="1">
        <v>1928</v>
      </c>
      <c r="L40" s="1" t="str">
        <v>Spanish</v>
      </c>
      <c r="O40" s="1" t="str">
        <v>Gypsy Ballads</v>
      </c>
      <c r="P40" s="1" t="str">
        <v>Federico García Lorca</v>
      </c>
      <c r="Q40" s="1">
        <v>1928</v>
      </c>
      <c r="R40" s="1" t="str">
        <v>Spanish</v>
      </c>
    </row>
    <row r="41" spans="2:18" x14ac:dyDescent="0.45">
      <c r="B41" s="7" t="s">
        <v>288</v>
      </c>
      <c r="C41" s="7"/>
      <c r="D41" s="7" t="s">
        <v>290</v>
      </c>
      <c r="E41" s="7"/>
      <c r="F41" s="7">
        <v>1957</v>
      </c>
      <c r="G41" s="7" t="s">
        <v>75</v>
      </c>
      <c r="I41" s="1" t="str">
        <v>The Horseman on the Roof</v>
      </c>
      <c r="J41" s="1" t="str">
        <v>Jean Giono</v>
      </c>
      <c r="K41" s="1">
        <v>1951</v>
      </c>
      <c r="L41" s="1" t="str">
        <v>French</v>
      </c>
      <c r="O41" s="1" t="str">
        <v>The Horseman on the Roof</v>
      </c>
      <c r="P41" s="1" t="str">
        <v>Jean Giono</v>
      </c>
      <c r="Q41" s="1">
        <v>1951</v>
      </c>
      <c r="R41" s="1" t="str">
        <v>French</v>
      </c>
    </row>
    <row r="42" spans="2:18" x14ac:dyDescent="0.45">
      <c r="B42" s="7" t="s">
        <v>250</v>
      </c>
      <c r="C42" s="7"/>
      <c r="D42" s="7" t="s">
        <v>251</v>
      </c>
      <c r="E42" s="7"/>
      <c r="F42" s="7">
        <v>1963</v>
      </c>
      <c r="G42" s="7" t="s">
        <v>252</v>
      </c>
      <c r="I42" s="1" t="str">
        <v>The Hound of the Baskervilles</v>
      </c>
      <c r="J42" s="1" t="str">
        <v>Arthur Conan Doyle</v>
      </c>
      <c r="K42" s="1" t="str">
        <v>1901–02</v>
      </c>
      <c r="L42" s="1" t="str">
        <v>English</v>
      </c>
      <c r="O42" s="1" t="str">
        <v>The Hound of the Baskervilles</v>
      </c>
      <c r="P42" s="1" t="str">
        <v>Arthur Conan Doyle</v>
      </c>
      <c r="Q42" s="1" t="str">
        <v>1901–02</v>
      </c>
      <c r="R42" s="1" t="str">
        <v>English</v>
      </c>
    </row>
    <row r="43" spans="2:18" x14ac:dyDescent="0.45">
      <c r="B43" s="7" t="s">
        <v>289</v>
      </c>
      <c r="C43" s="7"/>
      <c r="D43" s="7"/>
      <c r="E43" s="7"/>
      <c r="F43" s="7"/>
      <c r="G43" s="7"/>
      <c r="I43" s="1" t="str">
        <v>If This Is a Man</v>
      </c>
      <c r="J43" s="1" t="str">
        <v>Primo Levi</v>
      </c>
      <c r="K43" s="1">
        <v>1947</v>
      </c>
      <c r="L43" s="1" t="str">
        <v>Italian</v>
      </c>
      <c r="O43" s="1" t="str">
        <v>If This Is a Man</v>
      </c>
      <c r="P43" s="1" t="str">
        <v>Primo Levi</v>
      </c>
      <c r="Q43" s="1">
        <v>1947</v>
      </c>
      <c r="R43" s="1" t="str">
        <v>Italian</v>
      </c>
    </row>
    <row r="44" spans="2:18" x14ac:dyDescent="0.45">
      <c r="B44" s="7" t="s">
        <v>157</v>
      </c>
      <c r="C44" s="7"/>
      <c r="D44" s="7" t="s">
        <v>158</v>
      </c>
      <c r="E44" s="7"/>
      <c r="F44" s="7">
        <v>1936</v>
      </c>
      <c r="G44" s="7" t="s">
        <v>91</v>
      </c>
      <c r="I44" s="1" t="str">
        <v>In Search of Lost Time</v>
      </c>
      <c r="J44" s="1" t="str">
        <v>Marcel Proust</v>
      </c>
      <c r="K44" s="1" t="str">
        <v>1913–27</v>
      </c>
      <c r="L44" s="1" t="str">
        <v>French</v>
      </c>
      <c r="O44" s="1" t="str">
        <v>In Search of Lost Time</v>
      </c>
      <c r="P44" s="1" t="str">
        <v>Marcel Proust</v>
      </c>
      <c r="Q44" s="1" t="str">
        <v>1913–27</v>
      </c>
      <c r="R44" s="1" t="str">
        <v>French</v>
      </c>
    </row>
    <row r="45" spans="2:18" x14ac:dyDescent="0.45">
      <c r="B45" s="7" t="s">
        <v>89</v>
      </c>
      <c r="C45" s="7"/>
      <c r="D45" s="7" t="s">
        <v>90</v>
      </c>
      <c r="E45" s="7"/>
      <c r="F45" s="7">
        <v>1939</v>
      </c>
      <c r="G45" s="7" t="s">
        <v>91</v>
      </c>
      <c r="I45" s="1" t="str">
        <v>The Interrogation</v>
      </c>
      <c r="J45" s="1" t="str">
        <v>J. M. G. Le Clézio</v>
      </c>
      <c r="K45" s="1">
        <v>1963</v>
      </c>
      <c r="L45" s="1" t="str">
        <v>French</v>
      </c>
      <c r="O45" s="1" t="str">
        <v>The Interrogation</v>
      </c>
      <c r="P45" s="1" t="str">
        <v>J. M. G. Le Clézio</v>
      </c>
      <c r="Q45" s="1">
        <v>1963</v>
      </c>
      <c r="R45" s="1" t="str">
        <v>French</v>
      </c>
    </row>
    <row r="46" spans="2:18" x14ac:dyDescent="0.45">
      <c r="B46" s="7" t="s">
        <v>174</v>
      </c>
      <c r="C46" s="7"/>
      <c r="D46" s="7" t="s">
        <v>175</v>
      </c>
      <c r="E46" s="7"/>
      <c r="F46" s="7">
        <v>1925</v>
      </c>
      <c r="G46" s="7" t="s">
        <v>91</v>
      </c>
      <c r="I46" s="1" t="str">
        <v>The Joke</v>
      </c>
      <c r="J46" s="1" t="str">
        <v>Milan Kundera</v>
      </c>
      <c r="K46" s="1">
        <v>1967</v>
      </c>
      <c r="L46" s="1" t="str">
        <v>Czech</v>
      </c>
      <c r="O46" s="1" t="str">
        <v>The Joke</v>
      </c>
      <c r="P46" s="1" t="str">
        <v>Milan Kundera</v>
      </c>
      <c r="Q46" s="1">
        <v>1967</v>
      </c>
      <c r="R46" s="1" t="str">
        <v>Czech</v>
      </c>
    </row>
    <row r="47" spans="2:18" x14ac:dyDescent="0.45">
      <c r="B47" s="7" t="s">
        <v>107</v>
      </c>
      <c r="C47" s="7"/>
      <c r="D47" s="7" t="s">
        <v>108</v>
      </c>
      <c r="E47" s="7"/>
      <c r="F47" s="7">
        <v>1973</v>
      </c>
      <c r="G47" s="7" t="s">
        <v>109</v>
      </c>
      <c r="I47" s="1" t="str">
        <v>Journal, 1887–1910</v>
      </c>
      <c r="J47" s="1" t="str">
        <v>Jules Renard</v>
      </c>
      <c r="K47" s="1">
        <v>1925</v>
      </c>
      <c r="L47" s="1" t="str">
        <v>French</v>
      </c>
      <c r="O47" s="1" t="str">
        <v>Journal, 1887–1910</v>
      </c>
      <c r="P47" s="1" t="str">
        <v>Jules Renard</v>
      </c>
      <c r="Q47" s="1">
        <v>1925</v>
      </c>
      <c r="R47" s="1" t="str">
        <v>French</v>
      </c>
    </row>
    <row r="48" spans="2:18" x14ac:dyDescent="0.45">
      <c r="B48" s="7" t="s">
        <v>255</v>
      </c>
      <c r="C48" s="7"/>
      <c r="D48" s="7" t="s">
        <v>256</v>
      </c>
      <c r="E48" s="7"/>
      <c r="F48" s="7">
        <v>1928</v>
      </c>
      <c r="G48" s="7" t="s">
        <v>148</v>
      </c>
      <c r="I48" s="1" t="str">
        <v>Journey to the End of the Night</v>
      </c>
      <c r="J48" s="1" t="str">
        <v>Louis-Ferdinand Céline</v>
      </c>
      <c r="K48" s="1">
        <v>1932</v>
      </c>
      <c r="L48" s="1" t="str">
        <v>French</v>
      </c>
      <c r="O48" s="1" t="str">
        <v>Journey to the End of the Night</v>
      </c>
      <c r="P48" s="1" t="str">
        <v>Louis-Ferdinand Céline</v>
      </c>
      <c r="Q48" s="1">
        <v>1932</v>
      </c>
      <c r="R48" s="1" t="str">
        <v>French</v>
      </c>
    </row>
    <row r="49" spans="2:18" x14ac:dyDescent="0.45">
      <c r="B49" s="7"/>
      <c r="C49" s="7"/>
      <c r="D49" s="7"/>
      <c r="E49" s="7"/>
      <c r="F49" s="7"/>
      <c r="G49" s="7"/>
      <c r="I49" s="1" t="str">
        <v>Lady Chatterley's Lover</v>
      </c>
      <c r="J49" s="1" t="str">
        <v>D. H. Lawrence</v>
      </c>
      <c r="K49" s="1">
        <v>1928</v>
      </c>
      <c r="L49" s="1" t="str">
        <v>English</v>
      </c>
      <c r="O49" s="1" t="str">
        <v>Lady Chatterley's Lover</v>
      </c>
      <c r="P49" s="1" t="str">
        <v>D. H. Lawrence</v>
      </c>
      <c r="Q49" s="1">
        <v>1928</v>
      </c>
      <c r="R49" s="1" t="str">
        <v>English</v>
      </c>
    </row>
    <row r="50" spans="2:18" x14ac:dyDescent="0.45">
      <c r="B50" s="7" t="s">
        <v>142</v>
      </c>
      <c r="C50" s="7"/>
      <c r="D50" s="7" t="s">
        <v>143</v>
      </c>
      <c r="E50" s="7"/>
      <c r="F50" s="7">
        <v>1951</v>
      </c>
      <c r="G50" s="7" t="s">
        <v>75</v>
      </c>
      <c r="I50" s="1" t="str">
        <v>Le Grand Meaulnes</v>
      </c>
      <c r="J50" s="1" t="str">
        <v>Alain-Fournier</v>
      </c>
      <c r="K50" s="1">
        <v>1913</v>
      </c>
      <c r="L50" s="1" t="str">
        <v>French</v>
      </c>
      <c r="O50" s="1" t="str">
        <v>Le Grand Meaulnes</v>
      </c>
      <c r="P50" s="1" t="str">
        <v>Alain-Fournier</v>
      </c>
      <c r="Q50" s="1">
        <v>1913</v>
      </c>
      <c r="R50" s="1" t="str">
        <v>French</v>
      </c>
    </row>
    <row r="51" spans="2:18" x14ac:dyDescent="0.45">
      <c r="B51" s="7" t="s">
        <v>169</v>
      </c>
      <c r="C51" s="7"/>
      <c r="D51" s="7" t="s">
        <v>170</v>
      </c>
      <c r="E51" s="7"/>
      <c r="F51" s="7" t="s">
        <v>171</v>
      </c>
      <c r="G51" s="7" t="s">
        <v>91</v>
      </c>
      <c r="I51" s="1" t="str">
        <v>Le Silence de la mer</v>
      </c>
      <c r="J51" s="1" t="str">
        <v>Vercors</v>
      </c>
      <c r="K51" s="1">
        <v>1942</v>
      </c>
      <c r="L51" s="1" t="str">
        <v>French</v>
      </c>
      <c r="O51" s="1" t="str">
        <v>Le Silence de la mer</v>
      </c>
      <c r="P51" s="1" t="str">
        <v>Vercors</v>
      </c>
      <c r="Q51" s="1">
        <v>1942</v>
      </c>
      <c r="R51" s="1" t="str">
        <v>French</v>
      </c>
    </row>
    <row r="52" spans="2:18" x14ac:dyDescent="0.45">
      <c r="B52" s="7" t="s">
        <v>198</v>
      </c>
      <c r="C52" s="7"/>
      <c r="D52" s="7" t="s">
        <v>200</v>
      </c>
      <c r="E52" s="7"/>
      <c r="F52" s="7">
        <v>1947</v>
      </c>
      <c r="G52" s="7" t="s">
        <v>106</v>
      </c>
      <c r="I52" s="1" t="str">
        <v>Life: A User's Manual</v>
      </c>
      <c r="J52" s="1" t="str">
        <v>Georges Perec</v>
      </c>
      <c r="K52" s="1">
        <v>1978</v>
      </c>
      <c r="L52" s="1" t="str">
        <v>French</v>
      </c>
      <c r="O52" s="1" t="str">
        <v>Life: A User's Manual</v>
      </c>
      <c r="P52" s="1" t="str">
        <v>Georges Perec</v>
      </c>
      <c r="Q52" s="1">
        <v>1978</v>
      </c>
      <c r="R52" s="1" t="str">
        <v>French</v>
      </c>
    </row>
    <row r="53" spans="2:18" x14ac:dyDescent="0.45">
      <c r="B53" s="7" t="s">
        <v>76</v>
      </c>
      <c r="C53" s="7"/>
      <c r="D53" s="7" t="s">
        <v>78</v>
      </c>
      <c r="E53" s="7"/>
      <c r="F53" s="7" t="s">
        <v>79</v>
      </c>
      <c r="G53" s="7" t="s">
        <v>75</v>
      </c>
      <c r="I53" s="1" t="str">
        <v>The Little Prince</v>
      </c>
      <c r="J53" s="1" t="str">
        <v>Antoine de Saint-Exupéry</v>
      </c>
      <c r="K53" s="1">
        <v>1943</v>
      </c>
      <c r="L53" s="1" t="str">
        <v>French</v>
      </c>
      <c r="O53" s="1" t="str">
        <v>The Little Prince</v>
      </c>
      <c r="P53" s="1" t="str">
        <v>Antoine de Saint-Exupéry</v>
      </c>
      <c r="Q53" s="1">
        <v>1943</v>
      </c>
      <c r="R53" s="1" t="str">
        <v>French</v>
      </c>
    </row>
    <row r="54" spans="2:18" x14ac:dyDescent="0.45">
      <c r="B54" s="7" t="s">
        <v>232</v>
      </c>
      <c r="C54" s="7"/>
      <c r="D54" s="7" t="s">
        <v>233</v>
      </c>
      <c r="E54" s="7"/>
      <c r="F54" s="7">
        <v>1963</v>
      </c>
      <c r="G54" s="7" t="s">
        <v>75</v>
      </c>
      <c r="I54" s="1" t="str">
        <v>Lolita</v>
      </c>
      <c r="J54" s="1" t="str">
        <v>Vladimir Nabokov</v>
      </c>
      <c r="K54" s="1">
        <v>1955</v>
      </c>
      <c r="L54" s="1" t="str">
        <v>English</v>
      </c>
      <c r="O54" s="1" t="str">
        <v>Lolita</v>
      </c>
      <c r="P54" s="1" t="str">
        <v>Vladimir Nabokov</v>
      </c>
      <c r="Q54" s="1">
        <v>1955</v>
      </c>
      <c r="R54" s="1" t="str">
        <v>English</v>
      </c>
    </row>
    <row r="55" spans="2:18" x14ac:dyDescent="0.45">
      <c r="B55" s="7" t="s">
        <v>176</v>
      </c>
      <c r="C55" s="7"/>
      <c r="D55" s="7" t="s">
        <v>177</v>
      </c>
      <c r="E55" s="7"/>
      <c r="F55" s="7">
        <v>1967</v>
      </c>
      <c r="G55" s="7" t="s">
        <v>178</v>
      </c>
      <c r="I55" s="1" t="str">
        <v>Lord Jim</v>
      </c>
      <c r="J55" s="1" t="str">
        <v>Joseph Conrad</v>
      </c>
      <c r="K55" s="1">
        <v>1900</v>
      </c>
      <c r="L55" s="1" t="str">
        <v>English</v>
      </c>
      <c r="O55" s="1" t="str">
        <v>Lord Jim</v>
      </c>
      <c r="P55" s="1" t="str">
        <v>Joseph Conrad</v>
      </c>
      <c r="Q55" s="1">
        <v>1900</v>
      </c>
      <c r="R55" s="1" t="str">
        <v>English</v>
      </c>
    </row>
    <row r="56" spans="2:18" x14ac:dyDescent="0.45">
      <c r="B56" s="7" t="s">
        <v>236</v>
      </c>
      <c r="C56" s="7"/>
      <c r="D56" s="7" t="s">
        <v>237</v>
      </c>
      <c r="E56" s="7"/>
      <c r="F56" s="7">
        <v>1925</v>
      </c>
      <c r="G56" s="7" t="s">
        <v>75</v>
      </c>
      <c r="I56" s="1" t="str">
        <v>The Lord of the Rings</v>
      </c>
      <c r="J56" s="1" t="str">
        <v>J.R.R. Tolkien</v>
      </c>
      <c r="K56" s="1" t="str">
        <v>1954–55</v>
      </c>
      <c r="L56" s="1" t="str">
        <v>English</v>
      </c>
      <c r="O56" s="1" t="str">
        <v>The Lord of the Rings</v>
      </c>
      <c r="P56" s="1" t="str">
        <v>J.R.R. Tolkien</v>
      </c>
      <c r="Q56" s="1" t="str">
        <v>1954–55</v>
      </c>
      <c r="R56" s="1" t="str">
        <v>English</v>
      </c>
    </row>
    <row r="57" spans="2:18" x14ac:dyDescent="0.45">
      <c r="B57" s="7" t="s">
        <v>87</v>
      </c>
      <c r="C57" s="7"/>
      <c r="D57" s="7" t="s">
        <v>88</v>
      </c>
      <c r="E57" s="7"/>
      <c r="F57" s="7">
        <v>1932</v>
      </c>
      <c r="G57" s="7" t="s">
        <v>75</v>
      </c>
      <c r="I57" s="1" t="str">
        <v>The Lost Honour of Katharina Blum</v>
      </c>
      <c r="J57" s="1" t="str">
        <v>Heinrich Böll</v>
      </c>
      <c r="K57" s="1">
        <v>1974</v>
      </c>
      <c r="L57" s="1" t="str">
        <v>German</v>
      </c>
      <c r="O57" s="1" t="str">
        <v>The Lost Honour of Katharina Blum</v>
      </c>
      <c r="P57" s="1" t="str">
        <v>Heinrich Böll</v>
      </c>
      <c r="Q57" s="1">
        <v>1974</v>
      </c>
      <c r="R57" s="1" t="str">
        <v>German</v>
      </c>
    </row>
    <row r="58" spans="2:18" x14ac:dyDescent="0.45">
      <c r="B58" s="7" t="s">
        <v>159</v>
      </c>
      <c r="C58" s="7"/>
      <c r="D58" s="7" t="s">
        <v>160</v>
      </c>
      <c r="E58" s="7"/>
      <c r="F58" s="7">
        <v>1928</v>
      </c>
      <c r="G58" s="7" t="s">
        <v>91</v>
      </c>
      <c r="I58" s="1" t="str">
        <v>The Magic Mountain</v>
      </c>
      <c r="J58" s="1" t="str">
        <v>Thomas Mann</v>
      </c>
      <c r="K58" s="1">
        <v>1924</v>
      </c>
      <c r="L58" s="1" t="str">
        <v>German</v>
      </c>
      <c r="O58" s="1" t="str">
        <v>The Magic Mountain</v>
      </c>
      <c r="P58" s="1" t="str">
        <v>Thomas Mann</v>
      </c>
      <c r="Q58" s="1">
        <v>1924</v>
      </c>
      <c r="R58" s="1" t="str">
        <v>German</v>
      </c>
    </row>
    <row r="59" spans="2:18" x14ac:dyDescent="0.45">
      <c r="B59" s="7" t="s">
        <v>94</v>
      </c>
      <c r="C59" s="7"/>
      <c r="D59" s="7" t="s">
        <v>95</v>
      </c>
      <c r="E59" s="7"/>
      <c r="F59" s="7">
        <v>1913</v>
      </c>
      <c r="G59" s="7" t="s">
        <v>75</v>
      </c>
      <c r="I59" s="1" t="str">
        <v>The Man Without Qualities</v>
      </c>
      <c r="J59" s="1" t="str">
        <v>Robert Musil</v>
      </c>
      <c r="K59" s="1" t="str">
        <v>1930–42</v>
      </c>
      <c r="L59" s="1" t="str">
        <v>German</v>
      </c>
      <c r="O59" s="1" t="str">
        <v>The Man Without Qualities</v>
      </c>
      <c r="P59" s="1" t="str">
        <v>Robert Musil</v>
      </c>
      <c r="Q59" s="1" t="str">
        <v>1930–42</v>
      </c>
      <c r="R59" s="1" t="str">
        <v>German</v>
      </c>
    </row>
    <row r="60" spans="2:18" x14ac:dyDescent="0.45">
      <c r="B60" s="7" t="s">
        <v>165</v>
      </c>
      <c r="C60" s="7"/>
      <c r="D60" s="7" t="s">
        <v>166</v>
      </c>
      <c r="E60" s="7"/>
      <c r="F60" s="7">
        <v>1942</v>
      </c>
      <c r="G60" s="7" t="s">
        <v>75</v>
      </c>
      <c r="I60" s="1" t="str">
        <v>Manhattan Transfer</v>
      </c>
      <c r="J60" s="1" t="str">
        <v>John Dos Passos</v>
      </c>
      <c r="K60" s="1">
        <v>1925</v>
      </c>
      <c r="L60" s="1" t="str">
        <v>English</v>
      </c>
      <c r="O60" s="1" t="str">
        <v>Manhattan Transfer</v>
      </c>
      <c r="P60" s="1" t="str">
        <v>John Dos Passos</v>
      </c>
      <c r="Q60" s="1">
        <v>1925</v>
      </c>
      <c r="R60" s="1" t="str">
        <v>English</v>
      </c>
    </row>
    <row r="61" spans="2:18" x14ac:dyDescent="0.45">
      <c r="B61" s="7" t="s">
        <v>167</v>
      </c>
      <c r="C61" s="7"/>
      <c r="D61" s="7" t="s">
        <v>168</v>
      </c>
      <c r="E61" s="7"/>
      <c r="F61" s="7">
        <v>1978</v>
      </c>
      <c r="G61" s="7" t="s">
        <v>75</v>
      </c>
      <c r="I61" s="1" t="str">
        <v>Man's Fate</v>
      </c>
      <c r="J61" s="1" t="str">
        <v>André Malraux</v>
      </c>
      <c r="K61" s="1">
        <v>1933</v>
      </c>
      <c r="L61" s="1" t="str">
        <v>French</v>
      </c>
      <c r="O61" s="1" t="str">
        <v>Man's Fate</v>
      </c>
      <c r="P61" s="1" t="str">
        <v>André Malraux</v>
      </c>
      <c r="Q61" s="1">
        <v>1933</v>
      </c>
      <c r="R61" s="1" t="str">
        <v>French</v>
      </c>
    </row>
    <row r="62" spans="2:18" x14ac:dyDescent="0.45">
      <c r="B62" s="7" t="s">
        <v>83</v>
      </c>
      <c r="C62" s="7"/>
      <c r="D62" s="7" t="s">
        <v>84</v>
      </c>
      <c r="E62" s="7"/>
      <c r="F62" s="7">
        <v>1943</v>
      </c>
      <c r="G62" s="7" t="s">
        <v>75</v>
      </c>
      <c r="I62" s="1" t="str">
        <v>The Martian Chronicles</v>
      </c>
      <c r="J62" s="1" t="str">
        <v>Ray Bradbury</v>
      </c>
      <c r="K62" s="1">
        <v>1950</v>
      </c>
      <c r="L62" s="1" t="str">
        <v>English</v>
      </c>
      <c r="O62" s="1" t="str">
        <v>The Martian Chronicles</v>
      </c>
      <c r="P62" s="1" t="str">
        <v>Ray Bradbury</v>
      </c>
      <c r="Q62" s="1">
        <v>1950</v>
      </c>
      <c r="R62" s="1" t="str">
        <v>English</v>
      </c>
    </row>
    <row r="63" spans="2:18" x14ac:dyDescent="0.45">
      <c r="B63" s="7"/>
      <c r="C63" s="7"/>
      <c r="D63" s="7"/>
      <c r="E63" s="7"/>
      <c r="F63" s="7"/>
      <c r="G63" s="7"/>
      <c r="I63" s="1" t="str">
        <v>Martin Eden</v>
      </c>
      <c r="J63" s="1" t="str">
        <v>Jack London</v>
      </c>
      <c r="K63" s="1">
        <v>1909</v>
      </c>
      <c r="L63" s="1" t="str">
        <v>English</v>
      </c>
      <c r="O63" s="1" t="str">
        <v>Martin Eden</v>
      </c>
      <c r="P63" s="1" t="str">
        <v>Jack London</v>
      </c>
      <c r="Q63" s="1">
        <v>1909</v>
      </c>
      <c r="R63" s="1" t="str">
        <v>English</v>
      </c>
    </row>
    <row r="64" spans="2:18" x14ac:dyDescent="0.45">
      <c r="B64" s="7"/>
      <c r="C64" s="7"/>
      <c r="D64" s="7"/>
      <c r="E64" s="7"/>
      <c r="F64" s="7"/>
      <c r="G64" s="7"/>
      <c r="I64" s="1" t="str">
        <v>The Master and Margarita</v>
      </c>
      <c r="J64" s="1" t="str">
        <v>Mikhail Bulgakov</v>
      </c>
      <c r="K64" s="1">
        <v>1967</v>
      </c>
      <c r="L64" s="1" t="str">
        <v>Russian</v>
      </c>
      <c r="O64" s="1" t="str">
        <v>The Master and Margarita</v>
      </c>
      <c r="P64" s="1" t="str">
        <v>Mikhail Bulgakov</v>
      </c>
      <c r="Q64" s="1">
        <v>1967</v>
      </c>
      <c r="R64" s="1" t="str">
        <v>Russian</v>
      </c>
    </row>
    <row r="65" spans="2:18" x14ac:dyDescent="0.45">
      <c r="B65" s="7"/>
      <c r="C65" s="7"/>
      <c r="D65" s="7"/>
      <c r="E65" s="7"/>
      <c r="F65" s="7"/>
      <c r="G65" s="7"/>
      <c r="I65" s="1" t="str">
        <v>Midnight's Children</v>
      </c>
      <c r="J65" s="1" t="str">
        <v>Salman Rushdie</v>
      </c>
      <c r="K65" s="1">
        <v>1981</v>
      </c>
      <c r="L65" s="1" t="str">
        <v>English</v>
      </c>
      <c r="O65" s="1" t="str">
        <v>Midnight's Children</v>
      </c>
      <c r="P65" s="1" t="str">
        <v>Salman Rushdie</v>
      </c>
      <c r="Q65" s="1">
        <v>1981</v>
      </c>
      <c r="R65" s="1" t="str">
        <v>English</v>
      </c>
    </row>
    <row r="66" spans="2:18" x14ac:dyDescent="0.45">
      <c r="B66" s="7" t="s">
        <v>134</v>
      </c>
      <c r="C66" s="7"/>
      <c r="D66" s="7" t="s">
        <v>135</v>
      </c>
      <c r="E66" s="7"/>
      <c r="F66" s="7">
        <v>1955</v>
      </c>
      <c r="G66" s="7" t="s">
        <v>91</v>
      </c>
      <c r="I66" s="1" t="str">
        <v>Moravagine</v>
      </c>
      <c r="J66" s="1" t="str">
        <v>Blaise Cendrars</v>
      </c>
      <c r="K66" s="1">
        <v>1926</v>
      </c>
      <c r="L66" s="1" t="str">
        <v>French</v>
      </c>
      <c r="O66" s="1" t="str">
        <v>Moravagine</v>
      </c>
      <c r="P66" s="1" t="str">
        <v>Blaise Cendrars</v>
      </c>
      <c r="Q66" s="1">
        <v>1926</v>
      </c>
      <c r="R66" s="1" t="str">
        <v>French</v>
      </c>
    </row>
    <row r="67" spans="2:18" x14ac:dyDescent="0.45">
      <c r="B67" s="7" t="s">
        <v>238</v>
      </c>
      <c r="C67" s="7"/>
      <c r="D67" s="7" t="s">
        <v>239</v>
      </c>
      <c r="E67" s="7"/>
      <c r="F67" s="7">
        <v>1900</v>
      </c>
      <c r="G67" s="7" t="s">
        <v>91</v>
      </c>
      <c r="I67" s="1" t="str">
        <v>The Murder of Roger Ackroyd</v>
      </c>
      <c r="J67" s="1" t="str">
        <v>Agatha Christie</v>
      </c>
      <c r="K67" s="1">
        <v>1926</v>
      </c>
      <c r="L67" s="1" t="str">
        <v>English</v>
      </c>
      <c r="O67" s="1" t="str">
        <v>The Murder of Roger Ackroyd</v>
      </c>
      <c r="P67" s="1" t="str">
        <v>Agatha Christie</v>
      </c>
      <c r="Q67" s="1">
        <v>1926</v>
      </c>
      <c r="R67" s="1" t="str">
        <v>English</v>
      </c>
    </row>
    <row r="68" spans="2:18" x14ac:dyDescent="0.45">
      <c r="B68" s="7" t="s">
        <v>201</v>
      </c>
      <c r="C68" s="7"/>
      <c r="D68" s="7" t="s">
        <v>202</v>
      </c>
      <c r="E68" s="7"/>
      <c r="F68" s="7" t="s">
        <v>203</v>
      </c>
      <c r="G68" s="7" t="s">
        <v>91</v>
      </c>
      <c r="I68" s="1" t="str">
        <v>Nadja</v>
      </c>
      <c r="J68" s="1" t="str">
        <v>André Breton</v>
      </c>
      <c r="K68" s="1">
        <v>1928</v>
      </c>
      <c r="L68" s="1" t="str">
        <v>French</v>
      </c>
      <c r="O68" s="1" t="str">
        <v>Nadja</v>
      </c>
      <c r="P68" s="1" t="str">
        <v>André Breton</v>
      </c>
      <c r="Q68" s="1">
        <v>1928</v>
      </c>
      <c r="R68" s="1" t="str">
        <v>French</v>
      </c>
    </row>
    <row r="69" spans="2:18" x14ac:dyDescent="0.45">
      <c r="B69" s="7" t="s">
        <v>214</v>
      </c>
      <c r="C69" s="7"/>
      <c r="D69" s="7" t="s">
        <v>215</v>
      </c>
      <c r="E69" s="7"/>
      <c r="F69" s="7">
        <v>1974</v>
      </c>
      <c r="G69" s="7" t="s">
        <v>82</v>
      </c>
      <c r="I69" s="1" t="str">
        <v>The Name of the Rose</v>
      </c>
      <c r="J69" s="1" t="str">
        <v>Umberto Eco</v>
      </c>
      <c r="K69" s="1">
        <v>1980</v>
      </c>
      <c r="L69" s="1" t="str">
        <v>Italian</v>
      </c>
      <c r="O69" s="1" t="str">
        <v>The Name of the Rose</v>
      </c>
      <c r="P69" s="1" t="str">
        <v>Umberto Eco</v>
      </c>
      <c r="Q69" s="1">
        <v>1980</v>
      </c>
      <c r="R69" s="1" t="str">
        <v>Italian</v>
      </c>
    </row>
    <row r="70" spans="2:18" x14ac:dyDescent="0.45">
      <c r="B70" s="7" t="s">
        <v>161</v>
      </c>
      <c r="C70" s="7"/>
      <c r="D70" s="7" t="s">
        <v>162</v>
      </c>
      <c r="E70" s="7"/>
      <c r="F70" s="7">
        <v>1924</v>
      </c>
      <c r="G70" s="7" t="s">
        <v>82</v>
      </c>
      <c r="I70" s="1" t="str">
        <v>Nineteen Eighty-Four</v>
      </c>
      <c r="J70" s="1" t="str">
        <v>George Orwell</v>
      </c>
      <c r="K70" s="1">
        <v>1949</v>
      </c>
      <c r="L70" s="1" t="str">
        <v>English</v>
      </c>
      <c r="O70" s="1" t="str">
        <v>Nineteen Eighty-Four</v>
      </c>
      <c r="P70" s="1" t="str">
        <v>George Orwell</v>
      </c>
      <c r="Q70" s="1">
        <v>1949</v>
      </c>
      <c r="R70" s="1" t="str">
        <v>English</v>
      </c>
    </row>
    <row r="71" spans="2:18" x14ac:dyDescent="0.45">
      <c r="B71" s="7" t="s">
        <v>261</v>
      </c>
      <c r="C71" s="7"/>
      <c r="D71" s="7" t="s">
        <v>262</v>
      </c>
      <c r="E71" s="7"/>
      <c r="F71" s="7" t="s">
        <v>263</v>
      </c>
      <c r="G71" s="7" t="s">
        <v>82</v>
      </c>
      <c r="I71" s="1" t="str">
        <v>No Orchids For Miss Blandish</v>
      </c>
      <c r="J71" s="1" t="str">
        <v>James Hadley Chase</v>
      </c>
      <c r="K71" s="1">
        <v>1939</v>
      </c>
      <c r="L71" s="1" t="str">
        <v>English</v>
      </c>
      <c r="O71" s="1" t="str">
        <v>No Orchids For Miss Blandish</v>
      </c>
      <c r="P71" s="1" t="str">
        <v>James Hadley Chase</v>
      </c>
      <c r="Q71" s="1">
        <v>1939</v>
      </c>
      <c r="R71" s="1" t="str">
        <v>English</v>
      </c>
    </row>
    <row r="72" spans="2:18" x14ac:dyDescent="0.45">
      <c r="B72" s="7" t="s">
        <v>244</v>
      </c>
      <c r="C72" s="7"/>
      <c r="D72" s="7" t="s">
        <v>245</v>
      </c>
      <c r="E72" s="7"/>
      <c r="F72" s="7">
        <v>1925</v>
      </c>
      <c r="G72" s="7" t="s">
        <v>91</v>
      </c>
      <c r="I72" s="1" t="str">
        <v>The Notebooks of Malte Laurids Brigge</v>
      </c>
      <c r="J72" s="1" t="str">
        <v>Rainer Maria Rilke</v>
      </c>
      <c r="K72" s="1">
        <v>1910</v>
      </c>
      <c r="L72" s="1" t="str">
        <v>German</v>
      </c>
      <c r="O72" s="1" t="str">
        <v>The Notebooks of Malte Laurids Brigge</v>
      </c>
      <c r="P72" s="1" t="str">
        <v>Rainer Maria Rilke</v>
      </c>
      <c r="Q72" s="1">
        <v>1910</v>
      </c>
      <c r="R72" s="1" t="str">
        <v>German</v>
      </c>
    </row>
    <row r="73" spans="2:18" x14ac:dyDescent="0.45">
      <c r="B73" s="7" t="s">
        <v>85</v>
      </c>
      <c r="C73" s="7"/>
      <c r="D73" s="7" t="s">
        <v>86</v>
      </c>
      <c r="E73" s="7"/>
      <c r="F73" s="7">
        <v>1933</v>
      </c>
      <c r="G73" s="7" t="s">
        <v>75</v>
      </c>
      <c r="I73" s="1" t="str">
        <v>On the Road</v>
      </c>
      <c r="J73" s="1" t="str">
        <v>Jack Kerouac</v>
      </c>
      <c r="K73" s="1">
        <v>1957</v>
      </c>
      <c r="L73" s="1" t="str">
        <v>English</v>
      </c>
      <c r="O73" s="1" t="str">
        <v>On the Road</v>
      </c>
      <c r="P73" s="1" t="str">
        <v>Jack Kerouac</v>
      </c>
      <c r="Q73" s="1">
        <v>1957</v>
      </c>
      <c r="R73" s="1" t="str">
        <v>English</v>
      </c>
    </row>
    <row r="74" spans="2:18" x14ac:dyDescent="0.45">
      <c r="B74" s="7" t="s">
        <v>228</v>
      </c>
      <c r="C74" s="7"/>
      <c r="D74" s="7" t="s">
        <v>229</v>
      </c>
      <c r="E74" s="7"/>
      <c r="F74" s="7">
        <v>1950</v>
      </c>
      <c r="G74" s="7" t="s">
        <v>91</v>
      </c>
      <c r="I74" s="1" t="str">
        <v>One Hundred Years of Solitude</v>
      </c>
      <c r="J74" s="1" t="str">
        <v>Gabriel García Márquez</v>
      </c>
      <c r="K74" s="1">
        <v>1967</v>
      </c>
      <c r="L74" s="1" t="str">
        <v>Spanish</v>
      </c>
      <c r="O74" s="1" t="str">
        <v>One Hundred Years of Solitude</v>
      </c>
      <c r="P74" s="1" t="str">
        <v>Gabriel García Márquez</v>
      </c>
      <c r="Q74" s="1">
        <v>1967</v>
      </c>
      <c r="R74" s="1" t="str">
        <v>Spanish</v>
      </c>
    </row>
    <row r="75" spans="2:18" x14ac:dyDescent="0.45">
      <c r="B75" s="7" t="s">
        <v>208</v>
      </c>
      <c r="C75" s="7"/>
      <c r="D75" s="7" t="s">
        <v>209</v>
      </c>
      <c r="E75" s="7"/>
      <c r="F75" s="7">
        <v>1909</v>
      </c>
      <c r="G75" s="7" t="s">
        <v>91</v>
      </c>
      <c r="I75" s="1" t="str">
        <v>The Opposing Shore</v>
      </c>
      <c r="J75" s="1" t="str">
        <v>Julien Gracq</v>
      </c>
      <c r="K75" s="1">
        <v>1951</v>
      </c>
      <c r="L75" s="1" t="str">
        <v>French</v>
      </c>
      <c r="O75" s="1" t="str">
        <v>The Opposing Shore</v>
      </c>
      <c r="P75" s="1" t="str">
        <v>Julien Gracq</v>
      </c>
      <c r="Q75" s="1">
        <v>1951</v>
      </c>
      <c r="R75" s="1" t="str">
        <v>French</v>
      </c>
    </row>
    <row r="76" spans="2:18" x14ac:dyDescent="0.45">
      <c r="B76" s="7" t="s">
        <v>279</v>
      </c>
      <c r="C76" s="7"/>
      <c r="D76" s="7" t="s">
        <v>280</v>
      </c>
      <c r="E76" s="7"/>
      <c r="F76" s="7">
        <v>1967</v>
      </c>
      <c r="G76" s="7" t="s">
        <v>109</v>
      </c>
      <c r="I76" s="1" t="str">
        <v>The Order of Things</v>
      </c>
      <c r="J76" s="1" t="str">
        <v>Michel Foucault</v>
      </c>
      <c r="K76" s="1">
        <v>1966</v>
      </c>
      <c r="L76" s="1" t="str">
        <v>French</v>
      </c>
      <c r="O76" s="1" t="str">
        <v>The Order of Things</v>
      </c>
      <c r="P76" s="1" t="str">
        <v>Michel Foucault</v>
      </c>
      <c r="Q76" s="1">
        <v>1966</v>
      </c>
      <c r="R76" s="1" t="str">
        <v>French</v>
      </c>
    </row>
    <row r="77" spans="2:18" x14ac:dyDescent="0.45">
      <c r="B77" s="7" t="s">
        <v>293</v>
      </c>
      <c r="C77" s="7"/>
      <c r="D77" s="7" t="s">
        <v>294</v>
      </c>
      <c r="E77" s="7"/>
      <c r="F77" s="7">
        <v>1981</v>
      </c>
      <c r="G77" s="7" t="s">
        <v>91</v>
      </c>
      <c r="I77" s="1" t="str">
        <v>The Origins of Totalitarianism</v>
      </c>
      <c r="J77" s="1" t="str">
        <v>Hannah Arendt</v>
      </c>
      <c r="K77" s="1">
        <v>1951</v>
      </c>
      <c r="L77" s="1" t="str">
        <v>English</v>
      </c>
      <c r="O77" s="1" t="str">
        <v>The Origins of Totalitarianism</v>
      </c>
      <c r="P77" s="1" t="str">
        <v>Hannah Arendt</v>
      </c>
      <c r="Q77" s="1">
        <v>1951</v>
      </c>
      <c r="R77" s="1" t="str">
        <v>English</v>
      </c>
    </row>
    <row r="78" spans="2:18" x14ac:dyDescent="0.45">
      <c r="B78" s="7" t="s">
        <v>248</v>
      </c>
      <c r="C78" s="7"/>
      <c r="D78" s="7" t="s">
        <v>249</v>
      </c>
      <c r="E78" s="7"/>
      <c r="F78" s="7">
        <v>1926</v>
      </c>
      <c r="G78" s="7" t="s">
        <v>75</v>
      </c>
      <c r="I78" s="1" t="str">
        <v>Our Lady of the Flowers</v>
      </c>
      <c r="J78" s="1" t="str">
        <v>Jean Genet</v>
      </c>
      <c r="K78" s="1">
        <v>1944</v>
      </c>
      <c r="L78" s="1" t="str">
        <v>French</v>
      </c>
      <c r="O78" s="1" t="str">
        <v>Our Lady of the Flowers</v>
      </c>
      <c r="P78" s="1" t="str">
        <v>Jean Genet</v>
      </c>
      <c r="Q78" s="1">
        <v>1944</v>
      </c>
      <c r="R78" s="1" t="str">
        <v>French</v>
      </c>
    </row>
    <row r="79" spans="2:18" x14ac:dyDescent="0.45">
      <c r="B79" s="7" t="s">
        <v>181</v>
      </c>
      <c r="C79" s="7"/>
      <c r="D79" s="7" t="s">
        <v>182</v>
      </c>
      <c r="E79" s="7"/>
      <c r="F79" s="7">
        <v>1926</v>
      </c>
      <c r="G79" s="7" t="s">
        <v>91</v>
      </c>
      <c r="I79" s="1" t="str">
        <v>The Outsider</v>
      </c>
      <c r="J79" s="1" t="str">
        <v/>
      </c>
      <c r="K79" s="1" t="str">
        <v/>
      </c>
      <c r="L79" s="1" t="str">
        <v/>
      </c>
      <c r="O79" s="1" t="str">
        <v>The Outsider</v>
      </c>
      <c r="P79" s="1">
        <v>0</v>
      </c>
      <c r="Q79" s="1">
        <v>0</v>
      </c>
      <c r="R79" s="1">
        <v>0</v>
      </c>
    </row>
    <row r="80" spans="2:18" x14ac:dyDescent="0.45">
      <c r="B80" s="7" t="s">
        <v>183</v>
      </c>
      <c r="C80" s="7"/>
      <c r="D80" s="7" t="s">
        <v>184</v>
      </c>
      <c r="E80" s="7"/>
      <c r="F80" s="7">
        <v>1928</v>
      </c>
      <c r="G80" s="7" t="s">
        <v>75</v>
      </c>
      <c r="I80" s="1" t="str">
        <v>Paroles</v>
      </c>
      <c r="J80" s="1" t="str">
        <v>Jacques Prévert</v>
      </c>
      <c r="K80" s="1">
        <v>1946</v>
      </c>
      <c r="L80" s="1" t="str">
        <v>French</v>
      </c>
      <c r="O80" s="1" t="str">
        <v>Paroles</v>
      </c>
      <c r="P80" s="1" t="str">
        <v>Jacques Prévert</v>
      </c>
      <c r="Q80" s="1">
        <v>1946</v>
      </c>
      <c r="R80" s="1" t="str">
        <v>French</v>
      </c>
    </row>
    <row r="81" spans="2:18" x14ac:dyDescent="0.45">
      <c r="B81" s="7" t="s">
        <v>104</v>
      </c>
      <c r="C81" s="7"/>
      <c r="D81" s="7" t="s">
        <v>105</v>
      </c>
      <c r="E81" s="7"/>
      <c r="F81" s="7">
        <v>1980</v>
      </c>
      <c r="G81" s="7" t="s">
        <v>106</v>
      </c>
      <c r="I81" s="1" t="str">
        <v>The Ravishing of Lol Stein</v>
      </c>
      <c r="J81" s="1" t="str">
        <v>Marguerite Duras</v>
      </c>
      <c r="K81" s="1">
        <v>1964</v>
      </c>
      <c r="L81" s="1" t="str">
        <v>French</v>
      </c>
      <c r="O81" s="1" t="str">
        <v>The Ravishing of Lol Stein</v>
      </c>
      <c r="P81" s="1" t="str">
        <v>Marguerite Duras</v>
      </c>
      <c r="Q81" s="1">
        <v>1964</v>
      </c>
      <c r="R81" s="1" t="str">
        <v>French</v>
      </c>
    </row>
    <row r="82" spans="2:18" x14ac:dyDescent="0.45">
      <c r="B82" s="7" t="s">
        <v>123</v>
      </c>
      <c r="C82" s="7"/>
      <c r="D82" s="7" t="s">
        <v>124</v>
      </c>
      <c r="E82" s="7"/>
      <c r="F82" s="7">
        <v>1949</v>
      </c>
      <c r="G82" s="7" t="s">
        <v>91</v>
      </c>
      <c r="I82" s="1" t="str">
        <v>Remembrance of Things Past</v>
      </c>
      <c r="J82" s="1" t="str">
        <v/>
      </c>
      <c r="K82" s="1" t="str">
        <v/>
      </c>
      <c r="L82" s="1" t="str">
        <v/>
      </c>
      <c r="O82" s="1" t="str">
        <v>Remembrance of Things Past</v>
      </c>
      <c r="P82" s="1">
        <v>0</v>
      </c>
      <c r="Q82" s="1">
        <v>0</v>
      </c>
      <c r="R82" s="1">
        <v>0</v>
      </c>
    </row>
    <row r="83" spans="2:18" x14ac:dyDescent="0.45">
      <c r="B83" s="7" t="s">
        <v>268</v>
      </c>
      <c r="C83" s="7"/>
      <c r="D83" s="7" t="s">
        <v>269</v>
      </c>
      <c r="E83" s="7"/>
      <c r="F83" s="7">
        <v>1939</v>
      </c>
      <c r="G83" s="7" t="s">
        <v>91</v>
      </c>
      <c r="I83" s="1" t="str">
        <v>The Resistible Rise of Arturo Ui</v>
      </c>
      <c r="J83" s="1" t="str">
        <v>Bertolt Brecht</v>
      </c>
      <c r="K83" s="1">
        <v>1941</v>
      </c>
      <c r="L83" s="1" t="str">
        <v>German</v>
      </c>
      <c r="O83" s="1" t="str">
        <v>The Resistible Rise of Arturo Ui</v>
      </c>
      <c r="P83" s="1" t="str">
        <v>Bertolt Brecht</v>
      </c>
      <c r="Q83" s="1">
        <v>1941</v>
      </c>
      <c r="R83" s="1" t="str">
        <v>German</v>
      </c>
    </row>
    <row r="84" spans="2:18" x14ac:dyDescent="0.45">
      <c r="B84" s="7" t="s">
        <v>272</v>
      </c>
      <c r="C84" s="7"/>
      <c r="D84" s="7" t="s">
        <v>273</v>
      </c>
      <c r="E84" s="7"/>
      <c r="F84" s="7">
        <v>1910</v>
      </c>
      <c r="G84" s="7" t="s">
        <v>82</v>
      </c>
      <c r="I84" s="1" t="str">
        <v>The Rosy Crucifixion</v>
      </c>
      <c r="J84" s="1" t="str">
        <v>Henry Miller</v>
      </c>
      <c r="K84" s="1" t="str">
        <v>1949–60</v>
      </c>
      <c r="L84" s="1" t="str">
        <v>English</v>
      </c>
      <c r="O84" s="1" t="str">
        <v>The Rosy Crucifixion</v>
      </c>
      <c r="P84" s="1" t="str">
        <v>Henry Miller</v>
      </c>
      <c r="Q84" s="1" t="str">
        <v>1949–60</v>
      </c>
      <c r="R84" s="1" t="str">
        <v>English</v>
      </c>
    </row>
    <row r="85" spans="2:18" x14ac:dyDescent="0.45">
      <c r="B85" s="7" t="s">
        <v>220</v>
      </c>
      <c r="C85" s="7"/>
      <c r="D85" s="7" t="s">
        <v>221</v>
      </c>
      <c r="E85" s="7"/>
      <c r="F85" s="7">
        <v>1957</v>
      </c>
      <c r="G85" s="7" t="s">
        <v>91</v>
      </c>
      <c r="I85" s="1" t="str">
        <v>The Satin Slipper</v>
      </c>
      <c r="J85" s="1" t="str">
        <v>Paul Claudel</v>
      </c>
      <c r="K85" s="1">
        <v>1929</v>
      </c>
      <c r="L85" s="1" t="str">
        <v>French</v>
      </c>
      <c r="O85" s="1" t="str">
        <v>The Satin Slipper</v>
      </c>
      <c r="P85" s="1" t="str">
        <v>Paul Claudel</v>
      </c>
      <c r="Q85" s="1">
        <v>1929</v>
      </c>
      <c r="R85" s="1" t="str">
        <v>French</v>
      </c>
    </row>
    <row r="86" spans="2:18" x14ac:dyDescent="0.45">
      <c r="B86" s="7" t="s">
        <v>146</v>
      </c>
      <c r="C86" s="7"/>
      <c r="D86" s="7" t="s">
        <v>147</v>
      </c>
      <c r="E86" s="7"/>
      <c r="F86" s="7">
        <v>1967</v>
      </c>
      <c r="G86" s="7" t="s">
        <v>148</v>
      </c>
      <c r="I86" s="1" t="str">
        <v>Se questo è un uomo, Survival in Auschwitz</v>
      </c>
      <c r="J86" s="1" t="str">
        <v/>
      </c>
      <c r="K86" s="1" t="str">
        <v/>
      </c>
      <c r="L86" s="1" t="str">
        <v/>
      </c>
      <c r="O86" s="1" t="str">
        <v>Se questo è un uomo, Survival in Auschwitz</v>
      </c>
      <c r="P86" s="1">
        <v>0</v>
      </c>
      <c r="Q86" s="1">
        <v>0</v>
      </c>
      <c r="R86" s="1">
        <v>0</v>
      </c>
    </row>
    <row r="87" spans="2:18" x14ac:dyDescent="0.45">
      <c r="B87" s="7" t="s">
        <v>216</v>
      </c>
      <c r="C87" s="7"/>
      <c r="D87" s="7" t="s">
        <v>217</v>
      </c>
      <c r="E87" s="7"/>
      <c r="F87" s="7">
        <v>1951</v>
      </c>
      <c r="G87" s="7" t="s">
        <v>75</v>
      </c>
      <c r="I87" s="1" t="str">
        <v>The Second Sex</v>
      </c>
      <c r="J87" s="1" t="str">
        <v>Simone de Beauvoir</v>
      </c>
      <c r="K87" s="1">
        <v>1949</v>
      </c>
      <c r="L87" s="1" t="str">
        <v>French</v>
      </c>
      <c r="O87" s="1" t="str">
        <v>The Second Sex</v>
      </c>
      <c r="P87" s="1" t="str">
        <v>Simone de Beauvoir</v>
      </c>
      <c r="Q87" s="1">
        <v>1949</v>
      </c>
      <c r="R87" s="1" t="str">
        <v>French</v>
      </c>
    </row>
    <row r="88" spans="2:18" x14ac:dyDescent="0.45">
      <c r="B88" s="7" t="s">
        <v>218</v>
      </c>
      <c r="C88" s="7"/>
      <c r="D88" s="7" t="s">
        <v>219</v>
      </c>
      <c r="E88" s="7"/>
      <c r="F88" s="7">
        <v>1966</v>
      </c>
      <c r="G88" s="7" t="s">
        <v>75</v>
      </c>
      <c r="I88" s="1" t="str">
        <v>Second Thoughts</v>
      </c>
      <c r="J88" s="1" t="str">
        <v>Michel Butor</v>
      </c>
      <c r="K88" s="1">
        <v>1957</v>
      </c>
      <c r="L88" s="1" t="str">
        <v>French</v>
      </c>
      <c r="O88" s="1" t="str">
        <v>Second Thoughts</v>
      </c>
      <c r="P88" s="1" t="str">
        <v>Michel Butor</v>
      </c>
      <c r="Q88" s="1">
        <v>1957</v>
      </c>
      <c r="R88" s="1" t="str">
        <v>French</v>
      </c>
    </row>
    <row r="89" spans="2:18" x14ac:dyDescent="0.45">
      <c r="B89" s="7" t="s">
        <v>276</v>
      </c>
      <c r="C89" s="7"/>
      <c r="D89" s="7" t="s">
        <v>278</v>
      </c>
      <c r="E89" s="7"/>
      <c r="F89" s="7">
        <v>1951</v>
      </c>
      <c r="G89" s="7" t="s">
        <v>91</v>
      </c>
      <c r="I89" s="1" t="str">
        <v>Six Characters in Search of an Author</v>
      </c>
      <c r="J89" s="1" t="str">
        <v>Luigi Pirandello</v>
      </c>
      <c r="K89" s="1">
        <v>1921</v>
      </c>
      <c r="L89" s="1" t="str">
        <v>Italian</v>
      </c>
      <c r="O89" s="1" t="str">
        <v>Six Characters in Search of an Author</v>
      </c>
      <c r="P89" s="1" t="str">
        <v>Luigi Pirandello</v>
      </c>
      <c r="Q89" s="1">
        <v>1921</v>
      </c>
      <c r="R89" s="1" t="str">
        <v>Italian</v>
      </c>
    </row>
    <row r="90" spans="2:18" x14ac:dyDescent="0.45">
      <c r="B90" s="7" t="s">
        <v>259</v>
      </c>
      <c r="C90" s="7"/>
      <c r="D90" s="7" t="s">
        <v>260</v>
      </c>
      <c r="E90" s="7"/>
      <c r="F90" s="7">
        <v>1944</v>
      </c>
      <c r="G90" s="7" t="s">
        <v>75</v>
      </c>
      <c r="I90" s="1" t="str">
        <v>Sophie's Choice</v>
      </c>
      <c r="J90" s="1" t="str">
        <v>William Styron</v>
      </c>
      <c r="K90" s="1">
        <v>1979</v>
      </c>
      <c r="L90" s="1" t="str">
        <v>English</v>
      </c>
      <c r="O90" s="1" t="str">
        <v>Sophie's Choice</v>
      </c>
      <c r="P90" s="1" t="str">
        <v>William Styron</v>
      </c>
      <c r="Q90" s="1">
        <v>1979</v>
      </c>
      <c r="R90" s="1" t="str">
        <v>English</v>
      </c>
    </row>
    <row r="91" spans="2:18" x14ac:dyDescent="0.45">
      <c r="B91" s="7"/>
      <c r="C91" s="7"/>
      <c r="D91" s="7"/>
      <c r="E91" s="7"/>
      <c r="F91" s="7"/>
      <c r="G91" s="7"/>
      <c r="I91" s="1" t="str">
        <v>The Sound and the Fury</v>
      </c>
      <c r="J91" s="1" t="str">
        <v>William Faulkner</v>
      </c>
      <c r="K91" s="1">
        <v>1929</v>
      </c>
      <c r="L91" s="1" t="str">
        <v>English</v>
      </c>
      <c r="O91" s="1" t="str">
        <v>The Sound and the Fury</v>
      </c>
      <c r="P91" s="1" t="str">
        <v>William Faulkner</v>
      </c>
      <c r="Q91" s="1">
        <v>1929</v>
      </c>
      <c r="R91" s="1" t="str">
        <v>English</v>
      </c>
    </row>
    <row r="92" spans="2:18" x14ac:dyDescent="0.45">
      <c r="B92" s="7"/>
      <c r="C92" s="7"/>
      <c r="D92" s="7"/>
      <c r="E92" s="7"/>
      <c r="F92" s="7"/>
      <c r="G92" s="7"/>
      <c r="I92" s="1" t="str">
        <v>The Strange Case of Peter the Lett</v>
      </c>
      <c r="J92" s="1" t="str">
        <v>Georges Simenon</v>
      </c>
      <c r="K92" s="1">
        <v>1931</v>
      </c>
      <c r="L92" s="1" t="str">
        <v>French</v>
      </c>
      <c r="O92" s="1" t="str">
        <v>The Strange Case of Peter the Lett</v>
      </c>
      <c r="P92" s="1" t="str">
        <v>Georges Simenon</v>
      </c>
      <c r="Q92" s="1">
        <v>1931</v>
      </c>
      <c r="R92" s="1" t="str">
        <v>French</v>
      </c>
    </row>
    <row r="93" spans="2:18" x14ac:dyDescent="0.45">
      <c r="B93" s="7" t="s">
        <v>73</v>
      </c>
      <c r="C93" s="7"/>
      <c r="D93" s="7"/>
      <c r="E93" s="7"/>
      <c r="F93" s="7"/>
      <c r="G93" s="7"/>
      <c r="I93" s="1" t="str">
        <v>The Stranger</v>
      </c>
      <c r="J93" s="1" t="str">
        <v>Albert Camus</v>
      </c>
      <c r="K93" s="1">
        <v>1942</v>
      </c>
      <c r="L93" s="1" t="str">
        <v>French</v>
      </c>
      <c r="O93" s="1" t="str">
        <v>The Stranger</v>
      </c>
      <c r="P93" s="1" t="str">
        <v>Albert Camus</v>
      </c>
      <c r="Q93" s="1">
        <v>1942</v>
      </c>
      <c r="R93" s="1" t="str">
        <v>French</v>
      </c>
    </row>
    <row r="94" spans="2:18" x14ac:dyDescent="0.45">
      <c r="B94" s="7" t="s">
        <v>110</v>
      </c>
      <c r="C94" s="7"/>
      <c r="D94" s="7" t="s">
        <v>111</v>
      </c>
      <c r="E94" s="7"/>
      <c r="F94" s="7">
        <v>1946</v>
      </c>
      <c r="G94" s="7" t="s">
        <v>75</v>
      </c>
      <c r="I94" s="1" t="str">
        <v>The Tartar Steppe</v>
      </c>
      <c r="J94" s="1" t="str">
        <v>Dino Buzzati</v>
      </c>
      <c r="K94" s="1">
        <v>1940</v>
      </c>
      <c r="L94" s="1" t="str">
        <v>Italian</v>
      </c>
      <c r="O94" s="1" t="str">
        <v>The Tartar Steppe</v>
      </c>
      <c r="P94" s="1" t="str">
        <v>Dino Buzzati</v>
      </c>
      <c r="Q94" s="1">
        <v>1940</v>
      </c>
      <c r="R94" s="1" t="str">
        <v>Italian</v>
      </c>
    </row>
    <row r="95" spans="2:18" x14ac:dyDescent="0.45">
      <c r="B95" s="7" t="s">
        <v>230</v>
      </c>
      <c r="C95" s="7"/>
      <c r="D95" s="7" t="s">
        <v>231</v>
      </c>
      <c r="E95" s="7"/>
      <c r="F95" s="7">
        <v>1964</v>
      </c>
      <c r="G95" s="7" t="s">
        <v>75</v>
      </c>
      <c r="I95" s="1" t="str">
        <v>The Tendrils of the Vine</v>
      </c>
      <c r="J95" s="1" t="str">
        <v>Colette</v>
      </c>
      <c r="K95" s="1">
        <v>1908</v>
      </c>
      <c r="L95" s="1" t="str">
        <v>French</v>
      </c>
      <c r="O95" s="1" t="str">
        <v>The Tendrils of the Vine</v>
      </c>
      <c r="P95" s="1" t="str">
        <v>Colette</v>
      </c>
      <c r="Q95" s="1">
        <v>1908</v>
      </c>
      <c r="R95" s="1" t="str">
        <v>French</v>
      </c>
    </row>
    <row r="96" spans="2:18" x14ac:dyDescent="0.45">
      <c r="B96" s="7" t="s">
        <v>77</v>
      </c>
      <c r="C96" s="7"/>
      <c r="D96" s="7"/>
      <c r="E96" s="7"/>
      <c r="F96" s="7"/>
      <c r="G96" s="7"/>
      <c r="I96" s="1" t="str">
        <v>The Theatre and Its Double</v>
      </c>
      <c r="J96" s="1" t="str">
        <v>Antonin Artaud</v>
      </c>
      <c r="K96" s="1">
        <v>1938</v>
      </c>
      <c r="L96" s="1" t="str">
        <v>French</v>
      </c>
      <c r="O96" s="1" t="str">
        <v>The Theatre and Its Double</v>
      </c>
      <c r="P96" s="1" t="str">
        <v>Antonin Artaud</v>
      </c>
      <c r="Q96" s="1">
        <v>1938</v>
      </c>
      <c r="R96" s="1" t="str">
        <v>French</v>
      </c>
    </row>
    <row r="97" spans="2:18" x14ac:dyDescent="0.45">
      <c r="B97" s="7" t="s">
        <v>191</v>
      </c>
      <c r="C97" s="7"/>
      <c r="D97" s="7" t="s">
        <v>192</v>
      </c>
      <c r="E97" s="7"/>
      <c r="F97" s="7">
        <v>1941</v>
      </c>
      <c r="G97" s="7" t="s">
        <v>82</v>
      </c>
      <c r="I97" s="1" t="str">
        <v>Thérèse Desqueyroux</v>
      </c>
      <c r="J97" s="1" t="str">
        <v>François Mauriac</v>
      </c>
      <c r="K97" s="1">
        <v>1927</v>
      </c>
      <c r="L97" s="1" t="str">
        <v>French</v>
      </c>
      <c r="O97" s="1" t="str">
        <v>Thérèse Desqueyroux</v>
      </c>
      <c r="P97" s="1" t="str">
        <v>François Mauriac</v>
      </c>
      <c r="Q97" s="1">
        <v>1927</v>
      </c>
      <c r="R97" s="1" t="str">
        <v>French</v>
      </c>
    </row>
    <row r="98" spans="2:18" x14ac:dyDescent="0.45">
      <c r="B98" s="7" t="s">
        <v>281</v>
      </c>
      <c r="C98" s="7"/>
      <c r="D98" s="7" t="s">
        <v>282</v>
      </c>
      <c r="E98" s="7"/>
      <c r="F98" s="7" t="s">
        <v>283</v>
      </c>
      <c r="G98" s="7" t="s">
        <v>91</v>
      </c>
      <c r="I98" s="1" t="str">
        <v>Three Essays on the Theory of Sexuality</v>
      </c>
      <c r="J98" s="1" t="str">
        <v>Sigmund Freud</v>
      </c>
      <c r="K98" s="1">
        <v>1905</v>
      </c>
      <c r="L98" s="1" t="str">
        <v>German</v>
      </c>
      <c r="O98" s="1" t="str">
        <v>Three Essays on the Theory of Sexuality</v>
      </c>
      <c r="P98" s="1" t="str">
        <v>Sigmund Freud</v>
      </c>
      <c r="Q98" s="1">
        <v>1905</v>
      </c>
      <c r="R98" s="1" t="str">
        <v>German</v>
      </c>
    </row>
    <row r="99" spans="2:18" x14ac:dyDescent="0.45">
      <c r="B99" s="7" t="s">
        <v>187</v>
      </c>
      <c r="C99" s="7"/>
      <c r="D99" s="7" t="s">
        <v>188</v>
      </c>
      <c r="E99" s="7"/>
      <c r="F99" s="7">
        <v>1929</v>
      </c>
      <c r="G99" s="7" t="s">
        <v>75</v>
      </c>
      <c r="I99" s="1" t="str">
        <v>The Trial</v>
      </c>
      <c r="J99" s="1" t="str">
        <v>Franz Kafka</v>
      </c>
      <c r="K99" s="1">
        <v>1925</v>
      </c>
      <c r="L99" s="1" t="str">
        <v>German</v>
      </c>
      <c r="O99" s="1" t="str">
        <v>The Trial</v>
      </c>
      <c r="P99" s="1" t="str">
        <v>Franz Kafka</v>
      </c>
      <c r="Q99" s="1">
        <v>1925</v>
      </c>
      <c r="R99" s="1" t="str">
        <v>German</v>
      </c>
    </row>
    <row r="100" spans="2:18" x14ac:dyDescent="0.45">
      <c r="B100" s="7" t="s">
        <v>199</v>
      </c>
      <c r="C100" s="7"/>
      <c r="D100" s="7"/>
      <c r="E100" s="7"/>
      <c r="F100" s="7"/>
      <c r="G100" s="7"/>
      <c r="I100" s="1" t="str">
        <v>Tristes Tropiques</v>
      </c>
      <c r="J100" s="1" t="str">
        <v>Claude Lévi-Strauss</v>
      </c>
      <c r="K100" s="1">
        <v>1955</v>
      </c>
      <c r="L100" s="1" t="str">
        <v>French</v>
      </c>
      <c r="O100" s="1" t="str">
        <v>Tristes Tropiques</v>
      </c>
      <c r="P100" s="1" t="str">
        <v>Claude Lévi-Strauss</v>
      </c>
      <c r="Q100" s="1">
        <v>1955</v>
      </c>
      <c r="R100" s="1" t="str">
        <v>French</v>
      </c>
    </row>
    <row r="101" spans="2:18" x14ac:dyDescent="0.45">
      <c r="B101" s="7" t="s">
        <v>98</v>
      </c>
      <c r="C101" s="7"/>
      <c r="D101" s="7" t="s">
        <v>99</v>
      </c>
      <c r="E101" s="7"/>
      <c r="F101" s="7">
        <v>1949</v>
      </c>
      <c r="G101" s="7" t="s">
        <v>75</v>
      </c>
      <c r="I101" s="1" t="str">
        <v>Tropisms</v>
      </c>
      <c r="J101" s="1" t="str">
        <v>Nathalie Sarraute</v>
      </c>
      <c r="K101" s="1">
        <v>1939</v>
      </c>
      <c r="L101" s="1" t="str">
        <v>French</v>
      </c>
      <c r="O101" s="1" t="str">
        <v>Tropisms</v>
      </c>
      <c r="P101" s="1" t="str">
        <v>Nathalie Sarraute</v>
      </c>
      <c r="Q101" s="1">
        <v>1939</v>
      </c>
      <c r="R101" s="1" t="str">
        <v>French</v>
      </c>
    </row>
    <row r="102" spans="2:18" x14ac:dyDescent="0.45">
      <c r="B102" s="7" t="s">
        <v>274</v>
      </c>
      <c r="C102" s="7"/>
      <c r="D102" s="7" t="s">
        <v>275</v>
      </c>
      <c r="E102" s="7"/>
      <c r="F102" s="7">
        <v>1957</v>
      </c>
      <c r="G102" s="7" t="s">
        <v>75</v>
      </c>
      <c r="I102" s="1" t="str">
        <v>Ulysses</v>
      </c>
      <c r="J102" s="1" t="str">
        <v>James Joyce</v>
      </c>
      <c r="K102" s="1">
        <v>1922</v>
      </c>
      <c r="L102" s="1" t="str">
        <v>English</v>
      </c>
      <c r="O102" s="1" t="str">
        <v>Ulysses</v>
      </c>
      <c r="P102" s="1" t="str">
        <v>James Joyce</v>
      </c>
      <c r="Q102" s="1">
        <v>1922</v>
      </c>
      <c r="R102" s="1" t="str">
        <v>English</v>
      </c>
    </row>
    <row r="103" spans="2:18" x14ac:dyDescent="0.45">
      <c r="B103" s="7" t="s">
        <v>189</v>
      </c>
      <c r="C103" s="7"/>
      <c r="D103" s="7" t="s">
        <v>190</v>
      </c>
      <c r="E103" s="7"/>
      <c r="F103" s="7">
        <v>1921</v>
      </c>
      <c r="G103" s="7" t="s">
        <v>106</v>
      </c>
      <c r="I103" s="1" t="str">
        <v>Under the Sun of Satan</v>
      </c>
      <c r="J103" s="1" t="str">
        <v>Georges Bernanos</v>
      </c>
      <c r="K103" s="1">
        <v>1926</v>
      </c>
      <c r="L103" s="1" t="str">
        <v>French</v>
      </c>
      <c r="O103" s="1" t="str">
        <v>Under the Sun of Satan</v>
      </c>
      <c r="P103" s="1" t="str">
        <v>Georges Bernanos</v>
      </c>
      <c r="Q103" s="1">
        <v>1926</v>
      </c>
      <c r="R103" s="1" t="str">
        <v>French</v>
      </c>
    </row>
    <row r="104" spans="2:18" x14ac:dyDescent="0.45">
      <c r="B104" s="7" t="s">
        <v>253</v>
      </c>
      <c r="C104" s="7"/>
      <c r="D104" s="7" t="s">
        <v>254</v>
      </c>
      <c r="E104" s="7"/>
      <c r="F104" s="7">
        <v>1979</v>
      </c>
      <c r="G104" s="7" t="s">
        <v>91</v>
      </c>
      <c r="I104" s="1" t="str">
        <v>Under the Volcano</v>
      </c>
      <c r="J104" s="1" t="str">
        <v>Malcolm Lowry</v>
      </c>
      <c r="K104" s="1">
        <v>1947</v>
      </c>
      <c r="L104" s="1" t="str">
        <v>English</v>
      </c>
      <c r="O104" s="1" t="str">
        <v>Under the Volcano</v>
      </c>
      <c r="P104" s="1" t="str">
        <v>Malcolm Lowry</v>
      </c>
      <c r="Q104" s="1">
        <v>1947</v>
      </c>
      <c r="R104" s="1" t="str">
        <v>English</v>
      </c>
    </row>
    <row r="105" spans="2:18" x14ac:dyDescent="0.45">
      <c r="B105" s="7" t="s">
        <v>149</v>
      </c>
      <c r="C105" s="7"/>
      <c r="D105" s="7" t="s">
        <v>150</v>
      </c>
      <c r="E105" s="7"/>
      <c r="F105" s="7">
        <v>1929</v>
      </c>
      <c r="G105" s="7" t="s">
        <v>91</v>
      </c>
      <c r="I105" s="1" t="str">
        <v>Waiting for Godot</v>
      </c>
      <c r="J105" s="1" t="str">
        <v>Samuel Beckett</v>
      </c>
      <c r="K105" s="1">
        <v>1952</v>
      </c>
      <c r="L105" s="1" t="str">
        <v>French</v>
      </c>
      <c r="O105" s="1" t="str">
        <v>Waiting for Godot</v>
      </c>
      <c r="P105" s="1" t="str">
        <v>Samuel Beckett</v>
      </c>
      <c r="Q105" s="1">
        <v>1952</v>
      </c>
      <c r="R105" s="1" t="str">
        <v>French</v>
      </c>
    </row>
    <row r="106" spans="2:18" x14ac:dyDescent="0.45">
      <c r="B106" s="7" t="s">
        <v>257</v>
      </c>
      <c r="C106" s="7"/>
      <c r="D106" s="7" t="s">
        <v>258</v>
      </c>
      <c r="E106" s="7"/>
      <c r="F106" s="7">
        <v>1931</v>
      </c>
      <c r="G106" s="7" t="s">
        <v>75</v>
      </c>
      <c r="I106" s="1" t="str">
        <v>The War of the Worlds</v>
      </c>
      <c r="J106" s="1" t="str">
        <v>H. G. Wells</v>
      </c>
      <c r="K106" s="1" t="str">
        <v>1898[a]</v>
      </c>
      <c r="L106" s="1" t="str">
        <v>English</v>
      </c>
      <c r="O106" s="1" t="str">
        <v>The War of the Worlds</v>
      </c>
      <c r="P106" s="1" t="str">
        <v>H. G. Wells</v>
      </c>
      <c r="Q106" s="1" t="str">
        <v>1898[a]</v>
      </c>
      <c r="R106" s="1" t="str">
        <v>English</v>
      </c>
    </row>
    <row r="107" spans="2:18" x14ac:dyDescent="0.45">
      <c r="B107" s="7" t="s">
        <v>72</v>
      </c>
      <c r="C107" s="7"/>
      <c r="D107" s="7" t="s">
        <v>74</v>
      </c>
      <c r="E107" s="7"/>
      <c r="F107" s="7">
        <v>1942</v>
      </c>
      <c r="G107" s="7" t="s">
        <v>75</v>
      </c>
      <c r="I107" s="1" t="str">
        <v>The Wonderful Adventures of Nils</v>
      </c>
      <c r="J107" s="1" t="str">
        <v>Selma Lagerlöf</v>
      </c>
      <c r="K107" s="1" t="str">
        <v>1906–07</v>
      </c>
      <c r="L107" s="1" t="str">
        <v>Swedish</v>
      </c>
      <c r="O107" s="1" t="str">
        <v>The Wonderful Adventures of Nils</v>
      </c>
      <c r="P107" s="1" t="str">
        <v>Selma Lagerlöf</v>
      </c>
      <c r="Q107" s="1" t="str">
        <v>1906–07</v>
      </c>
      <c r="R107" s="1" t="str">
        <v>Swedish</v>
      </c>
    </row>
    <row r="108" spans="2:18" x14ac:dyDescent="0.45">
      <c r="B108" s="7" t="s">
        <v>138</v>
      </c>
      <c r="C108" s="7"/>
      <c r="D108" s="7" t="s">
        <v>139</v>
      </c>
      <c r="E108" s="7"/>
      <c r="F108" s="7">
        <v>1940</v>
      </c>
      <c r="G108" s="7" t="s">
        <v>106</v>
      </c>
      <c r="I108" s="1" t="str">
        <v>Writing Degree Zero</v>
      </c>
      <c r="J108" s="1" t="str">
        <v>Roland Barthes</v>
      </c>
      <c r="K108" s="1">
        <v>1953</v>
      </c>
      <c r="L108" s="1" t="str">
        <v>French</v>
      </c>
      <c r="O108" s="1" t="str">
        <v>Writing Degree Zero</v>
      </c>
      <c r="P108" s="1" t="str">
        <v>Roland Barthes</v>
      </c>
      <c r="Q108" s="1">
        <v>1953</v>
      </c>
      <c r="R108" s="1" t="str">
        <v>French</v>
      </c>
    </row>
    <row r="109" spans="2:18" x14ac:dyDescent="0.45">
      <c r="B109" s="7" t="s">
        <v>204</v>
      </c>
      <c r="C109" s="7"/>
      <c r="D109" s="7" t="s">
        <v>205</v>
      </c>
      <c r="E109" s="7"/>
      <c r="F109" s="7">
        <v>1908</v>
      </c>
      <c r="G109" s="7" t="s">
        <v>75</v>
      </c>
      <c r="I109" s="1" t="str">
        <v>Zazie in the Metro</v>
      </c>
      <c r="J109" s="1" t="str">
        <v>Raymond Queneau</v>
      </c>
      <c r="K109" s="1">
        <v>1959</v>
      </c>
      <c r="L109" s="1" t="str">
        <v>French</v>
      </c>
      <c r="O109" s="1" t="str">
        <v>Zazie in the Metro</v>
      </c>
      <c r="P109" s="1" t="str">
        <v>Raymond Queneau</v>
      </c>
      <c r="Q109" s="1">
        <v>1959</v>
      </c>
      <c r="R109" s="1" t="str">
        <v>French</v>
      </c>
    </row>
    <row r="110" spans="2:18" x14ac:dyDescent="0.45">
      <c r="B110" s="7" t="s">
        <v>242</v>
      </c>
      <c r="C110" s="7"/>
      <c r="D110" s="7" t="s">
        <v>243</v>
      </c>
      <c r="E110" s="7"/>
      <c r="F110" s="7">
        <v>1938</v>
      </c>
      <c r="G110" s="7" t="s">
        <v>75</v>
      </c>
      <c r="I110" s="1" t="str">
        <v>Zeno of Bruges</v>
      </c>
      <c r="J110" s="1" t="str">
        <v/>
      </c>
      <c r="K110" s="1" t="str">
        <v/>
      </c>
      <c r="L110" s="1" t="str">
        <v/>
      </c>
      <c r="O110" s="1" t="str">
        <v>Zeno of Bruges</v>
      </c>
      <c r="P110" s="1">
        <v>0</v>
      </c>
      <c r="Q110" s="1">
        <v>0</v>
      </c>
      <c r="R110" s="1">
        <v>0</v>
      </c>
    </row>
    <row r="111" spans="2:18" x14ac:dyDescent="0.45">
      <c r="B111" s="7" t="s">
        <v>151</v>
      </c>
      <c r="C111" s="7"/>
      <c r="D111" s="7" t="s">
        <v>152</v>
      </c>
      <c r="E111" s="7"/>
      <c r="F111" s="7">
        <v>1927</v>
      </c>
      <c r="G111" s="7" t="s">
        <v>75</v>
      </c>
    </row>
    <row r="112" spans="2:18" x14ac:dyDescent="0.45">
      <c r="B112" s="7" t="s">
        <v>129</v>
      </c>
      <c r="C112" s="7"/>
      <c r="D112" s="7" t="s">
        <v>130</v>
      </c>
      <c r="E112" s="7"/>
      <c r="F112" s="7">
        <v>1905</v>
      </c>
      <c r="G112" s="7" t="s">
        <v>82</v>
      </c>
    </row>
    <row r="113" spans="2:7" x14ac:dyDescent="0.45">
      <c r="B113" s="7" t="s">
        <v>80</v>
      </c>
      <c r="C113" s="7"/>
      <c r="D113" s="7" t="s">
        <v>81</v>
      </c>
      <c r="E113" s="7"/>
      <c r="F113" s="7">
        <v>1925</v>
      </c>
      <c r="G113" s="7" t="s">
        <v>82</v>
      </c>
    </row>
    <row r="114" spans="2:7" x14ac:dyDescent="0.45">
      <c r="B114" s="7"/>
      <c r="C114" s="7"/>
      <c r="D114" s="7"/>
      <c r="E114" s="7"/>
      <c r="F114" s="7"/>
      <c r="G114" s="7"/>
    </row>
    <row r="115" spans="2:7" x14ac:dyDescent="0.45">
      <c r="B115" s="7"/>
      <c r="C115" s="7"/>
      <c r="D115" s="7"/>
      <c r="E115" s="7"/>
      <c r="F115" s="7"/>
      <c r="G115" s="7"/>
    </row>
    <row r="116" spans="2:7" x14ac:dyDescent="0.45">
      <c r="B116" s="7"/>
      <c r="C116" s="7"/>
      <c r="D116" s="7"/>
      <c r="E116" s="7"/>
      <c r="F116" s="7"/>
      <c r="G116" s="7"/>
    </row>
    <row r="117" spans="2:7" x14ac:dyDescent="0.45">
      <c r="B117" s="7" t="s">
        <v>119</v>
      </c>
      <c r="C117" s="7"/>
      <c r="D117" s="7" t="s">
        <v>120</v>
      </c>
      <c r="E117" s="7"/>
      <c r="F117" s="7">
        <v>1955</v>
      </c>
      <c r="G117" s="7" t="s">
        <v>75</v>
      </c>
    </row>
    <row r="118" spans="2:7" x14ac:dyDescent="0.45">
      <c r="B118" s="7" t="s">
        <v>234</v>
      </c>
      <c r="C118" s="7"/>
      <c r="D118" s="7" t="s">
        <v>235</v>
      </c>
      <c r="E118" s="7"/>
      <c r="F118" s="7">
        <v>1939</v>
      </c>
      <c r="G118" s="7" t="s">
        <v>75</v>
      </c>
    </row>
    <row r="119" spans="2:7" x14ac:dyDescent="0.45">
      <c r="B119" s="7" t="s">
        <v>136</v>
      </c>
      <c r="C119" s="7"/>
      <c r="D119" s="7" t="s">
        <v>137</v>
      </c>
      <c r="E119" s="7"/>
      <c r="F119" s="7">
        <v>1922</v>
      </c>
      <c r="G119" s="7" t="s">
        <v>91</v>
      </c>
    </row>
    <row r="120" spans="2:7" x14ac:dyDescent="0.45">
      <c r="B120" s="7" t="s">
        <v>172</v>
      </c>
      <c r="C120" s="7"/>
      <c r="D120" s="7" t="s">
        <v>173</v>
      </c>
      <c r="E120" s="7"/>
      <c r="F120" s="7">
        <v>1926</v>
      </c>
      <c r="G120" s="7" t="s">
        <v>75</v>
      </c>
    </row>
    <row r="121" spans="2:7" x14ac:dyDescent="0.45">
      <c r="B121" s="7" t="s">
        <v>291</v>
      </c>
      <c r="C121" s="7"/>
      <c r="D121" s="7" t="s">
        <v>292</v>
      </c>
      <c r="E121" s="7"/>
      <c r="F121" s="7">
        <v>1947</v>
      </c>
      <c r="G121" s="7" t="s">
        <v>91</v>
      </c>
    </row>
    <row r="122" spans="2:7" x14ac:dyDescent="0.45">
      <c r="B122" s="7" t="s">
        <v>100</v>
      </c>
      <c r="C122" s="7"/>
      <c r="D122" s="7" t="s">
        <v>101</v>
      </c>
      <c r="E122" s="7"/>
      <c r="F122" s="7">
        <v>1952</v>
      </c>
      <c r="G122" s="7" t="s">
        <v>75</v>
      </c>
    </row>
    <row r="123" spans="2:7" x14ac:dyDescent="0.45">
      <c r="B123" s="7" t="s">
        <v>195</v>
      </c>
      <c r="C123" s="7"/>
      <c r="D123" s="7" t="s">
        <v>196</v>
      </c>
      <c r="E123" s="7"/>
      <c r="F123" s="7" t="s">
        <v>197</v>
      </c>
      <c r="G123" s="7" t="s">
        <v>91</v>
      </c>
    </row>
    <row r="124" spans="2:7" x14ac:dyDescent="0.45">
      <c r="B124" s="7" t="s">
        <v>222</v>
      </c>
      <c r="C124" s="7"/>
      <c r="D124" s="7" t="s">
        <v>223</v>
      </c>
      <c r="E124" s="7"/>
      <c r="F124" s="7" t="s">
        <v>224</v>
      </c>
      <c r="G124" s="7" t="s">
        <v>225</v>
      </c>
    </row>
    <row r="125" spans="2:7" x14ac:dyDescent="0.45">
      <c r="B125" s="7" t="s">
        <v>212</v>
      </c>
      <c r="C125" s="7"/>
      <c r="D125" s="7" t="s">
        <v>213</v>
      </c>
      <c r="E125" s="7"/>
      <c r="F125" s="7">
        <v>1953</v>
      </c>
      <c r="G125" s="7" t="s">
        <v>75</v>
      </c>
    </row>
    <row r="126" spans="2:7" x14ac:dyDescent="0.45">
      <c r="B126" s="7" t="s">
        <v>153</v>
      </c>
      <c r="C126" s="7"/>
      <c r="D126" s="7" t="s">
        <v>154</v>
      </c>
      <c r="E126" s="7"/>
      <c r="F126" s="7">
        <v>1959</v>
      </c>
      <c r="G126" s="7" t="s">
        <v>75</v>
      </c>
    </row>
    <row r="127" spans="2:7" x14ac:dyDescent="0.45">
      <c r="B127" s="7" t="s">
        <v>132</v>
      </c>
      <c r="C127" s="7"/>
      <c r="D127" s="7"/>
      <c r="E127" s="7"/>
      <c r="F127" s="7"/>
      <c r="G127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081E5-EDD9-4ACB-AF55-F6BC76CF5BA6}">
  <sheetPr codeName="Sheet5">
    <tabColor rgb="FFFFC000"/>
  </sheetPr>
  <dimension ref="B2:J28"/>
  <sheetViews>
    <sheetView workbookViewId="0">
      <selection activeCell="G3" sqref="G3"/>
    </sheetView>
  </sheetViews>
  <sheetFormatPr defaultRowHeight="16.5" x14ac:dyDescent="0.45"/>
  <cols>
    <col min="1" max="1" width="4.61328125" style="1" customWidth="1"/>
    <col min="2" max="2" width="22.15234375" style="1" bestFit="1" customWidth="1"/>
    <col min="3" max="3" width="26.84375" style="1" bestFit="1" customWidth="1"/>
    <col min="4" max="5" width="9.23046875" style="1"/>
    <col min="6" max="6" width="6" style="1" customWidth="1"/>
    <col min="7" max="7" width="22.15234375" style="1" bestFit="1" customWidth="1"/>
    <col min="8" max="8" width="26.84375" style="1" bestFit="1" customWidth="1"/>
    <col min="9" max="9" width="4.4609375" style="1" bestFit="1" customWidth="1"/>
    <col min="10" max="10" width="8.3046875" style="1" bestFit="1" customWidth="1"/>
    <col min="11" max="16384" width="9.23046875" style="1"/>
  </cols>
  <sheetData>
    <row r="2" spans="2:10" x14ac:dyDescent="0.45">
      <c r="B2" s="21" t="s">
        <v>297</v>
      </c>
      <c r="G2" s="17" t="s">
        <v>298</v>
      </c>
    </row>
    <row r="3" spans="2:10" x14ac:dyDescent="0.45">
      <c r="B3" s="18" t="s">
        <v>68</v>
      </c>
      <c r="C3" s="18" t="s">
        <v>69</v>
      </c>
      <c r="D3" s="18" t="s">
        <v>70</v>
      </c>
      <c r="E3" s="18" t="s">
        <v>71</v>
      </c>
      <c r="G3" s="1" t="str" cm="1">
        <f t="array" ref="G3:J23">Squeezeλ(Books2,"-")</f>
        <v>Title</v>
      </c>
      <c r="H3" s="1" t="str">
        <v>Author</v>
      </c>
      <c r="I3" s="1" t="str">
        <v>Year</v>
      </c>
      <c r="J3" s="1" t="str">
        <v>Language</v>
      </c>
    </row>
    <row r="4" spans="2:10" x14ac:dyDescent="0.45">
      <c r="B4" s="7" t="s">
        <v>226</v>
      </c>
      <c r="C4" s="7" t="s">
        <v>227</v>
      </c>
      <c r="D4" s="7">
        <v>1929</v>
      </c>
      <c r="E4" s="7" t="s">
        <v>91</v>
      </c>
      <c r="G4" s="1" t="str">
        <v>A Room of One's Own</v>
      </c>
      <c r="H4" s="1" t="str">
        <v>Virginia Woolf</v>
      </c>
      <c r="I4" s="1">
        <v>1929</v>
      </c>
      <c r="J4" s="1" t="str">
        <v>English</v>
      </c>
    </row>
    <row r="5" spans="2:10" x14ac:dyDescent="0.45">
      <c r="B5" s="7" t="s">
        <v>131</v>
      </c>
      <c r="C5" s="7" t="s">
        <v>133</v>
      </c>
      <c r="D5" s="7">
        <v>1968</v>
      </c>
      <c r="E5" s="7" t="s">
        <v>75</v>
      </c>
      <c r="G5" s="1" t="str">
        <v>The Abyss</v>
      </c>
      <c r="H5" s="1" t="str">
        <v>Marguerite Yourcenar</v>
      </c>
      <c r="I5" s="1">
        <v>1968</v>
      </c>
      <c r="J5" s="1" t="str">
        <v>French</v>
      </c>
    </row>
    <row r="6" spans="2:10" x14ac:dyDescent="0.45">
      <c r="B6" s="7" t="s">
        <v>112</v>
      </c>
      <c r="C6" s="7" t="s">
        <v>113</v>
      </c>
      <c r="D6" s="7">
        <v>1913</v>
      </c>
      <c r="E6" s="7" t="s">
        <v>75</v>
      </c>
      <c r="G6" s="1" t="str">
        <v>Alcools</v>
      </c>
      <c r="H6" s="1" t="str">
        <v>Guillaume Apollinaire</v>
      </c>
      <c r="I6" s="1">
        <v>1913</v>
      </c>
      <c r="J6" s="1" t="str">
        <v>French</v>
      </c>
    </row>
    <row r="7" spans="2:10" x14ac:dyDescent="0.45">
      <c r="B7" s="7" t="s">
        <v>286</v>
      </c>
      <c r="C7" s="7" t="s">
        <v>287</v>
      </c>
      <c r="D7" s="7">
        <v>1957</v>
      </c>
      <c r="E7" s="7" t="s">
        <v>75</v>
      </c>
      <c r="G7" s="1" t="str">
        <v>Amers</v>
      </c>
      <c r="H7" s="1" t="str">
        <v>Saint-John Perse</v>
      </c>
      <c r="I7" s="1">
        <v>1957</v>
      </c>
      <c r="J7" s="1" t="str">
        <v>French</v>
      </c>
    </row>
    <row r="8" spans="2:10" x14ac:dyDescent="0.45">
      <c r="B8" s="7" t="s">
        <v>125</v>
      </c>
      <c r="C8" s="7" t="s">
        <v>126</v>
      </c>
      <c r="D8" s="7">
        <v>1959</v>
      </c>
      <c r="E8" s="7" t="s">
        <v>75</v>
      </c>
      <c r="G8" s="1" t="str">
        <v>Asterix the Gaul</v>
      </c>
      <c r="H8" s="1" t="str">
        <v>René Goscinny and Albert Uderzo</v>
      </c>
      <c r="I8" s="1">
        <v>1959</v>
      </c>
      <c r="J8" s="1" t="str">
        <v>French</v>
      </c>
    </row>
    <row r="9" spans="2:10" x14ac:dyDescent="0.45">
      <c r="B9" s="7" t="s">
        <v>185</v>
      </c>
      <c r="C9" s="7" t="s">
        <v>186</v>
      </c>
      <c r="D9" s="7">
        <v>1944</v>
      </c>
      <c r="E9" s="7" t="s">
        <v>75</v>
      </c>
      <c r="G9" s="1" t="str">
        <v>Aurélien</v>
      </c>
      <c r="H9" s="1" t="str">
        <v>Louis Aragon</v>
      </c>
      <c r="I9" s="1">
        <v>1944</v>
      </c>
      <c r="J9" s="1" t="str">
        <v>French</v>
      </c>
    </row>
    <row r="10" spans="2:10" x14ac:dyDescent="0.45">
      <c r="B10" s="3" t="s">
        <v>0</v>
      </c>
      <c r="C10" s="3" t="s">
        <v>0</v>
      </c>
      <c r="D10" s="3" t="s">
        <v>0</v>
      </c>
      <c r="E10" s="3" t="s">
        <v>0</v>
      </c>
      <c r="G10" s="1" t="str">
        <v>The Bald Soprano</v>
      </c>
      <c r="H10" s="1" t="str">
        <v>Eugène Ionesco</v>
      </c>
      <c r="I10" s="1">
        <v>1952</v>
      </c>
      <c r="J10" s="1" t="str">
        <v>French</v>
      </c>
    </row>
    <row r="11" spans="2:10" x14ac:dyDescent="0.45">
      <c r="B11" s="3" t="s">
        <v>0</v>
      </c>
      <c r="C11" s="3" t="s">
        <v>0</v>
      </c>
      <c r="D11" s="3" t="s">
        <v>0</v>
      </c>
      <c r="E11" s="3" t="s">
        <v>0</v>
      </c>
      <c r="G11" s="1" t="str">
        <v>The Ballad of the Salty Sea</v>
      </c>
      <c r="H11" s="1" t="str">
        <v>Hugo Pratt</v>
      </c>
      <c r="I11" s="1">
        <v>1967</v>
      </c>
      <c r="J11" s="1" t="str">
        <v>Italian</v>
      </c>
    </row>
    <row r="12" spans="2:10" x14ac:dyDescent="0.45">
      <c r="B12" s="3" t="s">
        <v>0</v>
      </c>
      <c r="C12" s="3" t="s">
        <v>0</v>
      </c>
      <c r="D12" s="3" t="s">
        <v>0</v>
      </c>
      <c r="E12" s="3" t="s">
        <v>0</v>
      </c>
      <c r="G12" s="1" t="str">
        <v>Being and Nothingness</v>
      </c>
      <c r="H12" s="1" t="str">
        <v>Jean-Paul Sartre</v>
      </c>
      <c r="I12" s="1">
        <v>1943</v>
      </c>
      <c r="J12" s="1" t="str">
        <v>French</v>
      </c>
    </row>
    <row r="13" spans="2:10" x14ac:dyDescent="0.45">
      <c r="B13" s="7" t="s">
        <v>127</v>
      </c>
      <c r="C13" s="7" t="s">
        <v>128</v>
      </c>
      <c r="D13" s="7">
        <v>1952</v>
      </c>
      <c r="E13" s="7" t="s">
        <v>75</v>
      </c>
      <c r="G13" s="1" t="str">
        <v>Belle du Seigneur</v>
      </c>
      <c r="H13" s="1" t="str">
        <v>Albert Cohen</v>
      </c>
      <c r="I13" s="1">
        <v>1968</v>
      </c>
      <c r="J13" s="1" t="str">
        <v>French</v>
      </c>
    </row>
    <row r="14" spans="2:10" x14ac:dyDescent="0.45">
      <c r="B14" s="7" t="s">
        <v>210</v>
      </c>
      <c r="C14" s="7" t="s">
        <v>211</v>
      </c>
      <c r="D14" s="7">
        <v>1967</v>
      </c>
      <c r="E14" s="7" t="s">
        <v>106</v>
      </c>
      <c r="G14" s="1" t="str">
        <v>The Big Sleep</v>
      </c>
      <c r="H14" s="1" t="str">
        <v>Raymond Chandler</v>
      </c>
      <c r="I14" s="1">
        <v>1939</v>
      </c>
      <c r="J14" s="1" t="str">
        <v>English</v>
      </c>
    </row>
    <row r="15" spans="2:10" x14ac:dyDescent="0.45">
      <c r="B15" s="7" t="s">
        <v>102</v>
      </c>
      <c r="C15" s="7" t="s">
        <v>103</v>
      </c>
      <c r="D15" s="7">
        <v>1943</v>
      </c>
      <c r="E15" s="7" t="s">
        <v>75</v>
      </c>
      <c r="G15" s="1" t="str">
        <v>Blake and Mortimer</v>
      </c>
      <c r="H15" s="1" t="str">
        <v>Edgar P. Jacobs</v>
      </c>
      <c r="I15" s="1">
        <v>1950</v>
      </c>
      <c r="J15" s="1" t="str">
        <v>French</v>
      </c>
    </row>
    <row r="16" spans="2:10" x14ac:dyDescent="0.45">
      <c r="B16" s="7" t="s">
        <v>144</v>
      </c>
      <c r="C16" s="7" t="s">
        <v>145</v>
      </c>
      <c r="D16" s="7">
        <v>1968</v>
      </c>
      <c r="E16" s="7" t="s">
        <v>75</v>
      </c>
      <c r="G16" s="1" t="str">
        <v>The Blue Lotus</v>
      </c>
      <c r="H16" s="1" t="str">
        <v>Hergé</v>
      </c>
      <c r="I16" s="1">
        <v>1936</v>
      </c>
      <c r="J16" s="1" t="str">
        <v>French</v>
      </c>
    </row>
    <row r="17" spans="2:10" x14ac:dyDescent="0.45">
      <c r="B17" s="7" t="s">
        <v>0</v>
      </c>
      <c r="C17" s="7" t="s">
        <v>0</v>
      </c>
      <c r="D17" s="7" t="s">
        <v>0</v>
      </c>
      <c r="E17" s="7" t="s">
        <v>0</v>
      </c>
      <c r="G17" s="1" t="str">
        <v>Bonjour Tristesse</v>
      </c>
      <c r="H17" s="1" t="str">
        <v>Françoise Sagan</v>
      </c>
      <c r="I17" s="1">
        <v>1954</v>
      </c>
      <c r="J17" s="1" t="str">
        <v>French</v>
      </c>
    </row>
    <row r="18" spans="2:10" x14ac:dyDescent="0.45">
      <c r="B18" s="7" t="s">
        <v>284</v>
      </c>
      <c r="C18" s="7" t="s">
        <v>285</v>
      </c>
      <c r="D18" s="7">
        <v>1939</v>
      </c>
      <c r="E18" s="7" t="s">
        <v>91</v>
      </c>
      <c r="G18" s="1" t="str">
        <v>Brave New World</v>
      </c>
      <c r="H18" s="1" t="str">
        <v>Aldous Huxley</v>
      </c>
      <c r="I18" s="1">
        <v>1932</v>
      </c>
      <c r="J18" s="1" t="str">
        <v>English</v>
      </c>
    </row>
    <row r="19" spans="2:10" x14ac:dyDescent="0.45">
      <c r="B19" s="7" t="s">
        <v>270</v>
      </c>
      <c r="C19" s="7" t="s">
        <v>271</v>
      </c>
      <c r="D19" s="7">
        <v>1950</v>
      </c>
      <c r="E19" s="7" t="s">
        <v>75</v>
      </c>
      <c r="G19" s="1" t="str">
        <v>Capital of Pain</v>
      </c>
      <c r="H19" s="1" t="str">
        <v>Paul Éluard</v>
      </c>
      <c r="I19" s="1">
        <v>1926</v>
      </c>
      <c r="J19" s="1" t="str">
        <v>French</v>
      </c>
    </row>
    <row r="20" spans="2:10" x14ac:dyDescent="0.45">
      <c r="B20" s="7" t="s">
        <v>114</v>
      </c>
      <c r="C20" s="7" t="s">
        <v>115</v>
      </c>
      <c r="D20" s="7">
        <v>1936</v>
      </c>
      <c r="E20" s="7" t="s">
        <v>75</v>
      </c>
      <c r="G20" s="1" t="str">
        <v>The Catcher in the Rye</v>
      </c>
      <c r="H20" s="1" t="str">
        <v>J. D. Salinger</v>
      </c>
      <c r="I20" s="1">
        <v>1951</v>
      </c>
      <c r="J20" s="1" t="str">
        <v>English</v>
      </c>
    </row>
    <row r="21" spans="2:10" x14ac:dyDescent="0.45">
      <c r="B21" s="7" t="s">
        <v>163</v>
      </c>
      <c r="C21" s="7" t="s">
        <v>164</v>
      </c>
      <c r="D21" s="7">
        <v>1954</v>
      </c>
      <c r="E21" s="7" t="s">
        <v>75</v>
      </c>
      <c r="G21" s="1" t="str">
        <v>Confusion of Feelings</v>
      </c>
      <c r="H21" s="1" t="str">
        <v>Stefan Zweig</v>
      </c>
      <c r="I21" s="1">
        <v>1927</v>
      </c>
      <c r="J21" s="1" t="str">
        <v>German</v>
      </c>
    </row>
    <row r="22" spans="2:10" x14ac:dyDescent="0.45">
      <c r="B22" s="7" t="s">
        <v>121</v>
      </c>
      <c r="C22" s="7" t="s">
        <v>122</v>
      </c>
      <c r="D22" s="7">
        <v>1932</v>
      </c>
      <c r="E22" s="7" t="s">
        <v>91</v>
      </c>
      <c r="G22" s="1" t="str">
        <v>Contempt/A Ghost at Noon</v>
      </c>
      <c r="H22" s="1" t="str">
        <v>Alberto Moravia</v>
      </c>
      <c r="I22" s="1">
        <v>1954</v>
      </c>
      <c r="J22" s="1" t="str">
        <v>Italian</v>
      </c>
    </row>
    <row r="23" spans="2:10" x14ac:dyDescent="0.45">
      <c r="B23" s="7" t="s">
        <v>0</v>
      </c>
      <c r="C23" s="7" t="s">
        <v>0</v>
      </c>
      <c r="D23" s="7" t="s">
        <v>0</v>
      </c>
      <c r="E23" s="7" t="s">
        <v>0</v>
      </c>
      <c r="G23" s="1" t="str">
        <v>The Counterfeiters</v>
      </c>
      <c r="H23" s="1" t="str">
        <v>André Gide</v>
      </c>
      <c r="I23" s="1">
        <v>1925</v>
      </c>
      <c r="J23" s="1" t="str">
        <v>French</v>
      </c>
    </row>
    <row r="24" spans="2:10" x14ac:dyDescent="0.45">
      <c r="B24" s="7" t="s">
        <v>206</v>
      </c>
      <c r="C24" s="7" t="s">
        <v>207</v>
      </c>
      <c r="D24" s="7">
        <v>1926</v>
      </c>
      <c r="E24" s="7" t="s">
        <v>75</v>
      </c>
    </row>
    <row r="25" spans="2:10" x14ac:dyDescent="0.45">
      <c r="B25" s="7" t="s">
        <v>266</v>
      </c>
      <c r="C25" s="7" t="s">
        <v>267</v>
      </c>
      <c r="D25" s="7">
        <v>1951</v>
      </c>
      <c r="E25" s="7" t="s">
        <v>91</v>
      </c>
    </row>
    <row r="26" spans="2:10" x14ac:dyDescent="0.45">
      <c r="B26" s="7" t="s">
        <v>155</v>
      </c>
      <c r="C26" s="7" t="s">
        <v>156</v>
      </c>
      <c r="D26" s="7">
        <v>1927</v>
      </c>
      <c r="E26" s="7" t="s">
        <v>82</v>
      </c>
    </row>
    <row r="27" spans="2:10" x14ac:dyDescent="0.45">
      <c r="B27" s="7" t="s">
        <v>179</v>
      </c>
      <c r="C27" s="7" t="s">
        <v>180</v>
      </c>
      <c r="D27" s="7">
        <v>1954</v>
      </c>
      <c r="E27" s="7" t="s">
        <v>106</v>
      </c>
    </row>
    <row r="28" spans="2:10" x14ac:dyDescent="0.45">
      <c r="B28" s="7" t="s">
        <v>140</v>
      </c>
      <c r="C28" s="7" t="s">
        <v>141</v>
      </c>
      <c r="D28" s="7">
        <v>1925</v>
      </c>
      <c r="E28" s="7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D9C4D-702D-40F8-92DA-B97F5DAC3EB5}">
  <sheetPr codeName="Sheet6">
    <tabColor theme="3" tint="0.499984740745262"/>
  </sheetPr>
  <dimension ref="B2:AT41"/>
  <sheetViews>
    <sheetView workbookViewId="0">
      <selection activeCell="R5" sqref="R5"/>
    </sheetView>
  </sheetViews>
  <sheetFormatPr defaultRowHeight="16.5" x14ac:dyDescent="0.45"/>
  <cols>
    <col min="1" max="1" width="4.69140625" style="1" customWidth="1"/>
    <col min="2" max="9" width="3.69140625" style="1" customWidth="1"/>
    <col min="10" max="10" width="4.15234375" style="1" customWidth="1"/>
    <col min="11" max="16" width="3.69140625" style="1" customWidth="1"/>
    <col min="17" max="17" width="5.61328125" style="1" customWidth="1"/>
    <col min="18" max="31" width="3.69140625" style="2" customWidth="1"/>
    <col min="32" max="32" width="5.15234375" style="1" customWidth="1"/>
    <col min="33" max="46" width="3.69140625" style="1" customWidth="1"/>
    <col min="47" max="16384" width="9.23046875" style="1"/>
  </cols>
  <sheetData>
    <row r="2" spans="2:46" ht="17" thickBot="1" x14ac:dyDescent="0.5">
      <c r="B2" s="22" t="s">
        <v>299</v>
      </c>
    </row>
    <row r="3" spans="2:46" ht="17" thickBot="1" x14ac:dyDescent="0.5">
      <c r="B3" s="26">
        <v>5</v>
      </c>
      <c r="C3" s="27">
        <v>10</v>
      </c>
      <c r="D3" s="27">
        <v>3</v>
      </c>
      <c r="E3" s="27">
        <v>8</v>
      </c>
      <c r="F3" s="27">
        <v>8</v>
      </c>
      <c r="G3" s="27">
        <v>6</v>
      </c>
      <c r="H3" s="27">
        <v>8</v>
      </c>
      <c r="I3" s="27">
        <v>7</v>
      </c>
      <c r="J3" s="28">
        <v>6</v>
      </c>
      <c r="K3" s="27">
        <v>5</v>
      </c>
      <c r="L3" s="27">
        <v>5</v>
      </c>
      <c r="M3" s="27">
        <v>6</v>
      </c>
      <c r="N3" s="27">
        <v>1</v>
      </c>
      <c r="O3" s="27">
        <v>2</v>
      </c>
      <c r="P3" s="29">
        <v>5</v>
      </c>
      <c r="R3" s="24" t="s">
        <v>301</v>
      </c>
      <c r="AG3" s="24" t="s">
        <v>304</v>
      </c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2:46" x14ac:dyDescent="0.45">
      <c r="B4" s="25">
        <v>6</v>
      </c>
      <c r="C4" s="25">
        <v>10</v>
      </c>
      <c r="D4" s="25">
        <v>3</v>
      </c>
      <c r="E4" s="25">
        <v>5</v>
      </c>
      <c r="F4" s="25">
        <v>1</v>
      </c>
      <c r="G4" s="25">
        <v>5</v>
      </c>
      <c r="H4" s="25">
        <v>9</v>
      </c>
      <c r="I4" s="25">
        <v>8</v>
      </c>
      <c r="J4" s="25">
        <v>9</v>
      </c>
      <c r="K4" s="25">
        <v>10</v>
      </c>
      <c r="L4" s="25">
        <v>6</v>
      </c>
      <c r="M4" s="25">
        <v>9</v>
      </c>
      <c r="N4" s="25">
        <v>4</v>
      </c>
      <c r="O4" s="30">
        <v>10</v>
      </c>
      <c r="P4" s="32">
        <v>5</v>
      </c>
      <c r="R4" s="15" t="s">
        <v>300</v>
      </c>
      <c r="AG4" s="15" t="s">
        <v>305</v>
      </c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2:46" x14ac:dyDescent="0.45">
      <c r="B5" s="3">
        <v>2</v>
      </c>
      <c r="C5" s="3">
        <v>1</v>
      </c>
      <c r="D5" s="3">
        <v>1</v>
      </c>
      <c r="E5" s="3">
        <v>1</v>
      </c>
      <c r="F5" s="3">
        <v>9</v>
      </c>
      <c r="G5" s="3">
        <v>6</v>
      </c>
      <c r="H5" s="3">
        <v>6</v>
      </c>
      <c r="I5" s="3">
        <v>10</v>
      </c>
      <c r="J5" s="23">
        <v>8</v>
      </c>
      <c r="K5" s="3">
        <v>3</v>
      </c>
      <c r="L5" s="3">
        <v>4</v>
      </c>
      <c r="M5" s="3">
        <v>1</v>
      </c>
      <c r="N5" s="3">
        <v>6</v>
      </c>
      <c r="O5" s="5">
        <v>5</v>
      </c>
      <c r="P5" s="33">
        <v>2</v>
      </c>
      <c r="R5" s="2" cm="1">
        <f t="array" ref="R5:AE17">DeleteWhereλ(Grid,_xlfn.LAMBDA(_xlpm.v,SUM(_xlpm.v)=100))</f>
        <v>5</v>
      </c>
      <c r="S5" s="2">
        <v>10</v>
      </c>
      <c r="T5" s="2">
        <v>3</v>
      </c>
      <c r="U5" s="2">
        <v>8</v>
      </c>
      <c r="V5" s="2">
        <v>8</v>
      </c>
      <c r="W5" s="2">
        <v>6</v>
      </c>
      <c r="X5" s="2">
        <v>8</v>
      </c>
      <c r="Y5" s="2">
        <v>7</v>
      </c>
      <c r="Z5" s="2">
        <v>5</v>
      </c>
      <c r="AA5" s="2">
        <v>5</v>
      </c>
      <c r="AB5" s="2">
        <v>6</v>
      </c>
      <c r="AC5" s="2">
        <v>1</v>
      </c>
      <c r="AD5" s="2">
        <v>2</v>
      </c>
      <c r="AE5" s="2">
        <v>5</v>
      </c>
      <c r="AF5" s="2"/>
      <c r="AG5" s="2" cm="1">
        <f t="array" ref="AG5:AT18">DeleteWhereλ(Grid,_xlfn.LAMBDA(_xlpm.v,MODE(_xlpm.v)=5))</f>
        <v>6</v>
      </c>
      <c r="AH5" s="2">
        <v>10</v>
      </c>
      <c r="AI5" s="2">
        <v>3</v>
      </c>
      <c r="AJ5" s="2">
        <v>5</v>
      </c>
      <c r="AK5" s="2">
        <v>1</v>
      </c>
      <c r="AL5" s="2">
        <v>5</v>
      </c>
      <c r="AM5" s="2">
        <v>9</v>
      </c>
      <c r="AN5" s="2">
        <v>8</v>
      </c>
      <c r="AO5" s="2">
        <v>9</v>
      </c>
      <c r="AP5" s="2">
        <v>10</v>
      </c>
      <c r="AQ5" s="2">
        <v>6</v>
      </c>
      <c r="AR5" s="2">
        <v>9</v>
      </c>
      <c r="AS5" s="2">
        <v>4</v>
      </c>
      <c r="AT5" s="2">
        <v>10</v>
      </c>
    </row>
    <row r="6" spans="2:46" x14ac:dyDescent="0.45">
      <c r="B6" s="3">
        <v>4</v>
      </c>
      <c r="C6" s="3">
        <v>7</v>
      </c>
      <c r="D6" s="3">
        <v>3</v>
      </c>
      <c r="E6" s="3">
        <v>3</v>
      </c>
      <c r="F6" s="3">
        <v>3</v>
      </c>
      <c r="G6" s="3">
        <v>7</v>
      </c>
      <c r="H6" s="3">
        <v>5</v>
      </c>
      <c r="I6" s="3">
        <v>10</v>
      </c>
      <c r="J6" s="23">
        <v>6</v>
      </c>
      <c r="K6" s="3">
        <v>3</v>
      </c>
      <c r="L6" s="3">
        <v>6</v>
      </c>
      <c r="M6" s="3">
        <v>9</v>
      </c>
      <c r="N6" s="3">
        <v>5</v>
      </c>
      <c r="O6" s="5">
        <v>1</v>
      </c>
      <c r="P6" s="33">
        <v>5</v>
      </c>
      <c r="R6" s="2">
        <v>2</v>
      </c>
      <c r="S6" s="2">
        <v>1</v>
      </c>
      <c r="T6" s="2">
        <v>1</v>
      </c>
      <c r="U6" s="2">
        <v>1</v>
      </c>
      <c r="V6" s="2">
        <v>9</v>
      </c>
      <c r="W6" s="2">
        <v>6</v>
      </c>
      <c r="X6" s="2">
        <v>6</v>
      </c>
      <c r="Y6" s="2">
        <v>10</v>
      </c>
      <c r="Z6" s="2">
        <v>3</v>
      </c>
      <c r="AA6" s="2">
        <v>4</v>
      </c>
      <c r="AB6" s="2">
        <v>1</v>
      </c>
      <c r="AC6" s="2">
        <v>6</v>
      </c>
      <c r="AD6" s="2">
        <v>5</v>
      </c>
      <c r="AE6" s="2">
        <v>2</v>
      </c>
      <c r="AF6" s="2"/>
      <c r="AG6" s="2">
        <v>2</v>
      </c>
      <c r="AH6" s="2">
        <v>1</v>
      </c>
      <c r="AI6" s="2">
        <v>1</v>
      </c>
      <c r="AJ6" s="2">
        <v>1</v>
      </c>
      <c r="AK6" s="2">
        <v>9</v>
      </c>
      <c r="AL6" s="2">
        <v>6</v>
      </c>
      <c r="AM6" s="2">
        <v>6</v>
      </c>
      <c r="AN6" s="2">
        <v>10</v>
      </c>
      <c r="AO6" s="2">
        <v>8</v>
      </c>
      <c r="AP6" s="2">
        <v>3</v>
      </c>
      <c r="AQ6" s="2">
        <v>4</v>
      </c>
      <c r="AR6" s="2">
        <v>1</v>
      </c>
      <c r="AS6" s="2">
        <v>6</v>
      </c>
      <c r="AT6" s="2">
        <v>5</v>
      </c>
    </row>
    <row r="7" spans="2:46" x14ac:dyDescent="0.45">
      <c r="B7" s="3">
        <v>4</v>
      </c>
      <c r="C7" s="3">
        <v>10</v>
      </c>
      <c r="D7" s="3">
        <v>1</v>
      </c>
      <c r="E7" s="3">
        <v>6</v>
      </c>
      <c r="F7" s="3">
        <v>7</v>
      </c>
      <c r="G7" s="3">
        <v>1</v>
      </c>
      <c r="H7" s="3">
        <v>1</v>
      </c>
      <c r="I7" s="3">
        <v>4</v>
      </c>
      <c r="J7" s="23">
        <v>3</v>
      </c>
      <c r="K7" s="3">
        <v>9</v>
      </c>
      <c r="L7" s="3">
        <v>4</v>
      </c>
      <c r="M7" s="3">
        <v>2</v>
      </c>
      <c r="N7" s="3">
        <v>4</v>
      </c>
      <c r="O7" s="5">
        <v>4</v>
      </c>
      <c r="P7" s="33">
        <v>7</v>
      </c>
      <c r="R7" s="2">
        <v>4</v>
      </c>
      <c r="S7" s="2">
        <v>7</v>
      </c>
      <c r="T7" s="2">
        <v>3</v>
      </c>
      <c r="U7" s="2">
        <v>3</v>
      </c>
      <c r="V7" s="2">
        <v>3</v>
      </c>
      <c r="W7" s="2">
        <v>7</v>
      </c>
      <c r="X7" s="2">
        <v>5</v>
      </c>
      <c r="Y7" s="2">
        <v>10</v>
      </c>
      <c r="Z7" s="2">
        <v>3</v>
      </c>
      <c r="AA7" s="2">
        <v>6</v>
      </c>
      <c r="AB7" s="2">
        <v>9</v>
      </c>
      <c r="AC7" s="2">
        <v>5</v>
      </c>
      <c r="AD7" s="2">
        <v>1</v>
      </c>
      <c r="AE7" s="2">
        <v>5</v>
      </c>
      <c r="AF7" s="2"/>
      <c r="AG7" s="2">
        <v>4</v>
      </c>
      <c r="AH7" s="2">
        <v>7</v>
      </c>
      <c r="AI7" s="2">
        <v>3</v>
      </c>
      <c r="AJ7" s="2">
        <v>3</v>
      </c>
      <c r="AK7" s="2">
        <v>3</v>
      </c>
      <c r="AL7" s="2">
        <v>7</v>
      </c>
      <c r="AM7" s="2">
        <v>5</v>
      </c>
      <c r="AN7" s="2">
        <v>10</v>
      </c>
      <c r="AO7" s="2">
        <v>6</v>
      </c>
      <c r="AP7" s="2">
        <v>3</v>
      </c>
      <c r="AQ7" s="2">
        <v>6</v>
      </c>
      <c r="AR7" s="2">
        <v>9</v>
      </c>
      <c r="AS7" s="2">
        <v>5</v>
      </c>
      <c r="AT7" s="2">
        <v>1</v>
      </c>
    </row>
    <row r="8" spans="2:46" x14ac:dyDescent="0.45">
      <c r="B8" s="3">
        <v>10</v>
      </c>
      <c r="C8" s="3">
        <v>4</v>
      </c>
      <c r="D8" s="3">
        <v>4</v>
      </c>
      <c r="E8" s="3">
        <v>6</v>
      </c>
      <c r="F8" s="3">
        <v>5</v>
      </c>
      <c r="G8" s="3">
        <v>8</v>
      </c>
      <c r="H8" s="3">
        <v>8</v>
      </c>
      <c r="I8" s="3">
        <v>3</v>
      </c>
      <c r="J8" s="23">
        <v>6</v>
      </c>
      <c r="K8" s="3">
        <v>9</v>
      </c>
      <c r="L8" s="3">
        <v>3</v>
      </c>
      <c r="M8" s="3">
        <v>7</v>
      </c>
      <c r="N8" s="3">
        <v>2</v>
      </c>
      <c r="O8" s="5">
        <v>10</v>
      </c>
      <c r="P8" s="33">
        <v>1</v>
      </c>
      <c r="R8" s="2">
        <v>4</v>
      </c>
      <c r="S8" s="2">
        <v>10</v>
      </c>
      <c r="T8" s="2">
        <v>1</v>
      </c>
      <c r="U8" s="2">
        <v>6</v>
      </c>
      <c r="V8" s="2">
        <v>7</v>
      </c>
      <c r="W8" s="2">
        <v>1</v>
      </c>
      <c r="X8" s="2">
        <v>1</v>
      </c>
      <c r="Y8" s="2">
        <v>4</v>
      </c>
      <c r="Z8" s="2">
        <v>9</v>
      </c>
      <c r="AA8" s="2">
        <v>4</v>
      </c>
      <c r="AB8" s="2">
        <v>2</v>
      </c>
      <c r="AC8" s="2">
        <v>4</v>
      </c>
      <c r="AD8" s="2">
        <v>4</v>
      </c>
      <c r="AE8" s="2">
        <v>7</v>
      </c>
      <c r="AF8" s="2"/>
      <c r="AG8" s="2">
        <v>4</v>
      </c>
      <c r="AH8" s="2">
        <v>10</v>
      </c>
      <c r="AI8" s="2">
        <v>1</v>
      </c>
      <c r="AJ8" s="2">
        <v>6</v>
      </c>
      <c r="AK8" s="2">
        <v>7</v>
      </c>
      <c r="AL8" s="2">
        <v>1</v>
      </c>
      <c r="AM8" s="2">
        <v>1</v>
      </c>
      <c r="AN8" s="2">
        <v>4</v>
      </c>
      <c r="AO8" s="2">
        <v>3</v>
      </c>
      <c r="AP8" s="2">
        <v>9</v>
      </c>
      <c r="AQ8" s="2">
        <v>4</v>
      </c>
      <c r="AR8" s="2">
        <v>2</v>
      </c>
      <c r="AS8" s="2">
        <v>4</v>
      </c>
      <c r="AT8" s="2">
        <v>4</v>
      </c>
    </row>
    <row r="9" spans="2:46" x14ac:dyDescent="0.45">
      <c r="B9" s="3">
        <v>3</v>
      </c>
      <c r="C9" s="3">
        <v>3</v>
      </c>
      <c r="D9" s="3">
        <v>7</v>
      </c>
      <c r="E9" s="3">
        <v>5</v>
      </c>
      <c r="F9" s="3">
        <v>9</v>
      </c>
      <c r="G9" s="3">
        <v>1</v>
      </c>
      <c r="H9" s="3">
        <v>10</v>
      </c>
      <c r="I9" s="3">
        <v>9</v>
      </c>
      <c r="J9" s="23">
        <v>7</v>
      </c>
      <c r="K9" s="3">
        <v>5</v>
      </c>
      <c r="L9" s="3">
        <v>4</v>
      </c>
      <c r="M9" s="3">
        <v>1</v>
      </c>
      <c r="N9" s="3">
        <v>10</v>
      </c>
      <c r="O9" s="5">
        <v>3</v>
      </c>
      <c r="P9" s="33">
        <v>1</v>
      </c>
      <c r="R9" s="2">
        <v>10</v>
      </c>
      <c r="S9" s="2">
        <v>4</v>
      </c>
      <c r="T9" s="2">
        <v>4</v>
      </c>
      <c r="U9" s="2">
        <v>6</v>
      </c>
      <c r="V9" s="2">
        <v>5</v>
      </c>
      <c r="W9" s="2">
        <v>8</v>
      </c>
      <c r="X9" s="2">
        <v>8</v>
      </c>
      <c r="Y9" s="2">
        <v>3</v>
      </c>
      <c r="Z9" s="2">
        <v>9</v>
      </c>
      <c r="AA9" s="2">
        <v>3</v>
      </c>
      <c r="AB9" s="2">
        <v>7</v>
      </c>
      <c r="AC9" s="2">
        <v>2</v>
      </c>
      <c r="AD9" s="2">
        <v>10</v>
      </c>
      <c r="AE9" s="2">
        <v>1</v>
      </c>
      <c r="AF9" s="2"/>
      <c r="AG9" s="2">
        <v>10</v>
      </c>
      <c r="AH9" s="2">
        <v>4</v>
      </c>
      <c r="AI9" s="2">
        <v>4</v>
      </c>
      <c r="AJ9" s="2">
        <v>6</v>
      </c>
      <c r="AK9" s="2">
        <v>5</v>
      </c>
      <c r="AL9" s="2">
        <v>8</v>
      </c>
      <c r="AM9" s="2">
        <v>8</v>
      </c>
      <c r="AN9" s="2">
        <v>3</v>
      </c>
      <c r="AO9" s="2">
        <v>6</v>
      </c>
      <c r="AP9" s="2">
        <v>9</v>
      </c>
      <c r="AQ9" s="2">
        <v>3</v>
      </c>
      <c r="AR9" s="2">
        <v>7</v>
      </c>
      <c r="AS9" s="2">
        <v>2</v>
      </c>
      <c r="AT9" s="2">
        <v>10</v>
      </c>
    </row>
    <row r="10" spans="2:46" x14ac:dyDescent="0.45">
      <c r="B10" s="3">
        <v>2</v>
      </c>
      <c r="C10" s="3">
        <v>2</v>
      </c>
      <c r="D10" s="3">
        <v>1</v>
      </c>
      <c r="E10" s="3">
        <v>10</v>
      </c>
      <c r="F10" s="3">
        <v>8</v>
      </c>
      <c r="G10" s="3">
        <v>4</v>
      </c>
      <c r="H10" s="3">
        <v>8</v>
      </c>
      <c r="I10" s="3">
        <v>10</v>
      </c>
      <c r="J10" s="23">
        <v>7</v>
      </c>
      <c r="K10" s="3">
        <v>9</v>
      </c>
      <c r="L10" s="3">
        <v>3</v>
      </c>
      <c r="M10" s="3">
        <v>9</v>
      </c>
      <c r="N10" s="3">
        <v>7</v>
      </c>
      <c r="O10" s="5">
        <v>5</v>
      </c>
      <c r="P10" s="33">
        <v>3</v>
      </c>
      <c r="R10" s="2">
        <v>3</v>
      </c>
      <c r="S10" s="2">
        <v>3</v>
      </c>
      <c r="T10" s="2">
        <v>7</v>
      </c>
      <c r="U10" s="2">
        <v>5</v>
      </c>
      <c r="V10" s="2">
        <v>9</v>
      </c>
      <c r="W10" s="2">
        <v>1</v>
      </c>
      <c r="X10" s="2">
        <v>10</v>
      </c>
      <c r="Y10" s="2">
        <v>9</v>
      </c>
      <c r="Z10" s="2">
        <v>5</v>
      </c>
      <c r="AA10" s="2">
        <v>4</v>
      </c>
      <c r="AB10" s="2">
        <v>1</v>
      </c>
      <c r="AC10" s="2">
        <v>10</v>
      </c>
      <c r="AD10" s="2">
        <v>3</v>
      </c>
      <c r="AE10" s="2">
        <v>1</v>
      </c>
      <c r="AF10" s="2"/>
      <c r="AG10" s="2">
        <v>3</v>
      </c>
      <c r="AH10" s="2">
        <v>3</v>
      </c>
      <c r="AI10" s="2">
        <v>7</v>
      </c>
      <c r="AJ10" s="2">
        <v>5</v>
      </c>
      <c r="AK10" s="2">
        <v>9</v>
      </c>
      <c r="AL10" s="2">
        <v>1</v>
      </c>
      <c r="AM10" s="2">
        <v>10</v>
      </c>
      <c r="AN10" s="2">
        <v>9</v>
      </c>
      <c r="AO10" s="2">
        <v>7</v>
      </c>
      <c r="AP10" s="2">
        <v>5</v>
      </c>
      <c r="AQ10" s="2">
        <v>4</v>
      </c>
      <c r="AR10" s="2">
        <v>1</v>
      </c>
      <c r="AS10" s="2">
        <v>10</v>
      </c>
      <c r="AT10" s="2">
        <v>3</v>
      </c>
    </row>
    <row r="11" spans="2:46" x14ac:dyDescent="0.45">
      <c r="B11" s="23">
        <v>5</v>
      </c>
      <c r="C11" s="23">
        <v>7</v>
      </c>
      <c r="D11" s="23">
        <v>6</v>
      </c>
      <c r="E11" s="23">
        <v>7</v>
      </c>
      <c r="F11" s="23">
        <v>7</v>
      </c>
      <c r="G11" s="23">
        <v>5</v>
      </c>
      <c r="H11" s="23">
        <v>6</v>
      </c>
      <c r="I11" s="23">
        <v>5</v>
      </c>
      <c r="J11" s="23">
        <v>8</v>
      </c>
      <c r="K11" s="23">
        <v>9</v>
      </c>
      <c r="L11" s="23">
        <v>6</v>
      </c>
      <c r="M11" s="23">
        <v>8</v>
      </c>
      <c r="N11" s="23">
        <v>6</v>
      </c>
      <c r="O11" s="31">
        <v>8</v>
      </c>
      <c r="P11" s="34">
        <v>7</v>
      </c>
      <c r="R11" s="2">
        <v>2</v>
      </c>
      <c r="S11" s="2">
        <v>2</v>
      </c>
      <c r="T11" s="2">
        <v>1</v>
      </c>
      <c r="U11" s="2">
        <v>10</v>
      </c>
      <c r="V11" s="2">
        <v>8</v>
      </c>
      <c r="W11" s="2">
        <v>4</v>
      </c>
      <c r="X11" s="2">
        <v>8</v>
      </c>
      <c r="Y11" s="2">
        <v>10</v>
      </c>
      <c r="Z11" s="2">
        <v>9</v>
      </c>
      <c r="AA11" s="2">
        <v>3</v>
      </c>
      <c r="AB11" s="2">
        <v>9</v>
      </c>
      <c r="AC11" s="2">
        <v>7</v>
      </c>
      <c r="AD11" s="2">
        <v>5</v>
      </c>
      <c r="AE11" s="2">
        <v>3</v>
      </c>
      <c r="AF11" s="2"/>
      <c r="AG11" s="2">
        <v>2</v>
      </c>
      <c r="AH11" s="2">
        <v>2</v>
      </c>
      <c r="AI11" s="2">
        <v>1</v>
      </c>
      <c r="AJ11" s="2">
        <v>10</v>
      </c>
      <c r="AK11" s="2">
        <v>8</v>
      </c>
      <c r="AL11" s="2">
        <v>4</v>
      </c>
      <c r="AM11" s="2">
        <v>8</v>
      </c>
      <c r="AN11" s="2">
        <v>10</v>
      </c>
      <c r="AO11" s="2">
        <v>7</v>
      </c>
      <c r="AP11" s="2">
        <v>9</v>
      </c>
      <c r="AQ11" s="2">
        <v>3</v>
      </c>
      <c r="AR11" s="2">
        <v>9</v>
      </c>
      <c r="AS11" s="2">
        <v>7</v>
      </c>
      <c r="AT11" s="2">
        <v>5</v>
      </c>
    </row>
    <row r="12" spans="2:46" x14ac:dyDescent="0.45">
      <c r="B12" s="3">
        <v>2</v>
      </c>
      <c r="C12" s="3">
        <v>8</v>
      </c>
      <c r="D12" s="3">
        <v>3</v>
      </c>
      <c r="E12" s="3">
        <v>10</v>
      </c>
      <c r="F12" s="3">
        <v>4</v>
      </c>
      <c r="G12" s="3">
        <v>4</v>
      </c>
      <c r="H12" s="3">
        <v>4</v>
      </c>
      <c r="I12" s="3">
        <v>2</v>
      </c>
      <c r="J12" s="23">
        <v>5</v>
      </c>
      <c r="K12" s="3">
        <v>6</v>
      </c>
      <c r="L12" s="3">
        <v>5</v>
      </c>
      <c r="M12" s="3">
        <v>10</v>
      </c>
      <c r="N12" s="3">
        <v>2</v>
      </c>
      <c r="O12" s="5">
        <v>3</v>
      </c>
      <c r="P12" s="33">
        <v>8</v>
      </c>
      <c r="R12" s="2">
        <v>2</v>
      </c>
      <c r="S12" s="2">
        <v>8</v>
      </c>
      <c r="T12" s="2">
        <v>3</v>
      </c>
      <c r="U12" s="2">
        <v>10</v>
      </c>
      <c r="V12" s="2">
        <v>4</v>
      </c>
      <c r="W12" s="2">
        <v>4</v>
      </c>
      <c r="X12" s="2">
        <v>4</v>
      </c>
      <c r="Y12" s="2">
        <v>2</v>
      </c>
      <c r="Z12" s="2">
        <v>6</v>
      </c>
      <c r="AA12" s="2">
        <v>5</v>
      </c>
      <c r="AB12" s="2">
        <v>10</v>
      </c>
      <c r="AC12" s="2">
        <v>2</v>
      </c>
      <c r="AD12" s="2">
        <v>3</v>
      </c>
      <c r="AE12" s="2">
        <v>8</v>
      </c>
      <c r="AF12" s="2"/>
      <c r="AG12" s="2">
        <v>5</v>
      </c>
      <c r="AH12" s="2">
        <v>7</v>
      </c>
      <c r="AI12" s="2">
        <v>6</v>
      </c>
      <c r="AJ12" s="2">
        <v>7</v>
      </c>
      <c r="AK12" s="2">
        <v>7</v>
      </c>
      <c r="AL12" s="2">
        <v>5</v>
      </c>
      <c r="AM12" s="2">
        <v>6</v>
      </c>
      <c r="AN12" s="2">
        <v>5</v>
      </c>
      <c r="AO12" s="2">
        <v>8</v>
      </c>
      <c r="AP12" s="2">
        <v>9</v>
      </c>
      <c r="AQ12" s="2">
        <v>6</v>
      </c>
      <c r="AR12" s="2">
        <v>8</v>
      </c>
      <c r="AS12" s="2">
        <v>6</v>
      </c>
      <c r="AT12" s="2">
        <v>8</v>
      </c>
    </row>
    <row r="13" spans="2:46" x14ac:dyDescent="0.45">
      <c r="B13" s="3">
        <v>3</v>
      </c>
      <c r="C13" s="3">
        <v>2</v>
      </c>
      <c r="D13" s="3">
        <v>3</v>
      </c>
      <c r="E13" s="3">
        <v>1</v>
      </c>
      <c r="F13" s="3">
        <v>7</v>
      </c>
      <c r="G13" s="3">
        <v>10</v>
      </c>
      <c r="H13" s="3">
        <v>5</v>
      </c>
      <c r="I13" s="3">
        <v>2</v>
      </c>
      <c r="J13" s="23">
        <v>6</v>
      </c>
      <c r="K13" s="3">
        <v>2</v>
      </c>
      <c r="L13" s="3">
        <v>4</v>
      </c>
      <c r="M13" s="3">
        <v>10</v>
      </c>
      <c r="N13" s="3">
        <v>2</v>
      </c>
      <c r="O13" s="5">
        <v>5</v>
      </c>
      <c r="P13" s="33">
        <v>1</v>
      </c>
      <c r="R13" s="2">
        <v>3</v>
      </c>
      <c r="S13" s="2">
        <v>2</v>
      </c>
      <c r="T13" s="2">
        <v>3</v>
      </c>
      <c r="U13" s="2">
        <v>1</v>
      </c>
      <c r="V13" s="2">
        <v>7</v>
      </c>
      <c r="W13" s="2">
        <v>10</v>
      </c>
      <c r="X13" s="2">
        <v>5</v>
      </c>
      <c r="Y13" s="2">
        <v>2</v>
      </c>
      <c r="Z13" s="2">
        <v>2</v>
      </c>
      <c r="AA13" s="2">
        <v>4</v>
      </c>
      <c r="AB13" s="2">
        <v>10</v>
      </c>
      <c r="AC13" s="2">
        <v>2</v>
      </c>
      <c r="AD13" s="2">
        <v>5</v>
      </c>
      <c r="AE13" s="2">
        <v>1</v>
      </c>
      <c r="AF13" s="2"/>
      <c r="AG13" s="2">
        <v>2</v>
      </c>
      <c r="AH13" s="2">
        <v>8</v>
      </c>
      <c r="AI13" s="2">
        <v>3</v>
      </c>
      <c r="AJ13" s="2">
        <v>10</v>
      </c>
      <c r="AK13" s="2">
        <v>4</v>
      </c>
      <c r="AL13" s="2">
        <v>4</v>
      </c>
      <c r="AM13" s="2">
        <v>4</v>
      </c>
      <c r="AN13" s="2">
        <v>2</v>
      </c>
      <c r="AO13" s="2">
        <v>5</v>
      </c>
      <c r="AP13" s="2">
        <v>6</v>
      </c>
      <c r="AQ13" s="2">
        <v>5</v>
      </c>
      <c r="AR13" s="2">
        <v>10</v>
      </c>
      <c r="AS13" s="2">
        <v>2</v>
      </c>
      <c r="AT13" s="2">
        <v>3</v>
      </c>
    </row>
    <row r="14" spans="2:46" x14ac:dyDescent="0.45">
      <c r="B14" s="3">
        <v>2</v>
      </c>
      <c r="C14" s="3">
        <v>3</v>
      </c>
      <c r="D14" s="3">
        <v>2</v>
      </c>
      <c r="E14" s="3">
        <v>2</v>
      </c>
      <c r="F14" s="3">
        <v>7</v>
      </c>
      <c r="G14" s="3">
        <v>4</v>
      </c>
      <c r="H14" s="3">
        <v>6</v>
      </c>
      <c r="I14" s="3">
        <v>3</v>
      </c>
      <c r="J14" s="23">
        <v>3</v>
      </c>
      <c r="K14" s="3">
        <v>10</v>
      </c>
      <c r="L14" s="3">
        <v>7</v>
      </c>
      <c r="M14" s="3">
        <v>7</v>
      </c>
      <c r="N14" s="3">
        <v>9</v>
      </c>
      <c r="O14" s="5">
        <v>3</v>
      </c>
      <c r="P14" s="33">
        <v>5</v>
      </c>
      <c r="R14" s="2">
        <v>2</v>
      </c>
      <c r="S14" s="2">
        <v>3</v>
      </c>
      <c r="T14" s="2">
        <v>2</v>
      </c>
      <c r="U14" s="2">
        <v>2</v>
      </c>
      <c r="V14" s="2">
        <v>7</v>
      </c>
      <c r="W14" s="2">
        <v>4</v>
      </c>
      <c r="X14" s="2">
        <v>6</v>
      </c>
      <c r="Y14" s="2">
        <v>3</v>
      </c>
      <c r="Z14" s="2">
        <v>10</v>
      </c>
      <c r="AA14" s="2">
        <v>7</v>
      </c>
      <c r="AB14" s="2">
        <v>7</v>
      </c>
      <c r="AC14" s="2">
        <v>9</v>
      </c>
      <c r="AD14" s="2">
        <v>3</v>
      </c>
      <c r="AE14" s="2">
        <v>5</v>
      </c>
      <c r="AF14" s="2"/>
      <c r="AG14" s="2">
        <v>3</v>
      </c>
      <c r="AH14" s="2">
        <v>2</v>
      </c>
      <c r="AI14" s="2">
        <v>3</v>
      </c>
      <c r="AJ14" s="2">
        <v>1</v>
      </c>
      <c r="AK14" s="2">
        <v>7</v>
      </c>
      <c r="AL14" s="2">
        <v>10</v>
      </c>
      <c r="AM14" s="2">
        <v>5</v>
      </c>
      <c r="AN14" s="2">
        <v>2</v>
      </c>
      <c r="AO14" s="2">
        <v>6</v>
      </c>
      <c r="AP14" s="2">
        <v>2</v>
      </c>
      <c r="AQ14" s="2">
        <v>4</v>
      </c>
      <c r="AR14" s="2">
        <v>10</v>
      </c>
      <c r="AS14" s="2">
        <v>2</v>
      </c>
      <c r="AT14" s="2">
        <v>5</v>
      </c>
    </row>
    <row r="15" spans="2:46" x14ac:dyDescent="0.45">
      <c r="B15" s="3">
        <v>2</v>
      </c>
      <c r="C15" s="3">
        <v>1</v>
      </c>
      <c r="D15" s="3">
        <v>7</v>
      </c>
      <c r="E15" s="3">
        <v>2</v>
      </c>
      <c r="F15" s="3">
        <v>1</v>
      </c>
      <c r="G15" s="3">
        <v>2</v>
      </c>
      <c r="H15" s="3">
        <v>5</v>
      </c>
      <c r="I15" s="3">
        <v>1</v>
      </c>
      <c r="J15" s="23">
        <v>9</v>
      </c>
      <c r="K15" s="3">
        <v>6</v>
      </c>
      <c r="L15" s="3">
        <v>6</v>
      </c>
      <c r="M15" s="3">
        <v>1</v>
      </c>
      <c r="N15" s="3">
        <v>6</v>
      </c>
      <c r="O15" s="5">
        <v>1</v>
      </c>
      <c r="P15" s="33">
        <v>8</v>
      </c>
      <c r="R15" s="2">
        <v>2</v>
      </c>
      <c r="S15" s="2">
        <v>1</v>
      </c>
      <c r="T15" s="2">
        <v>7</v>
      </c>
      <c r="U15" s="2">
        <v>2</v>
      </c>
      <c r="V15" s="2">
        <v>1</v>
      </c>
      <c r="W15" s="2">
        <v>2</v>
      </c>
      <c r="X15" s="2">
        <v>5</v>
      </c>
      <c r="Y15" s="2">
        <v>1</v>
      </c>
      <c r="Z15" s="2">
        <v>6</v>
      </c>
      <c r="AA15" s="2">
        <v>6</v>
      </c>
      <c r="AB15" s="2">
        <v>1</v>
      </c>
      <c r="AC15" s="2">
        <v>6</v>
      </c>
      <c r="AD15" s="2">
        <v>1</v>
      </c>
      <c r="AE15" s="2">
        <v>8</v>
      </c>
      <c r="AF15" s="2"/>
      <c r="AG15" s="2">
        <v>2</v>
      </c>
      <c r="AH15" s="2">
        <v>3</v>
      </c>
      <c r="AI15" s="2">
        <v>2</v>
      </c>
      <c r="AJ15" s="2">
        <v>2</v>
      </c>
      <c r="AK15" s="2">
        <v>7</v>
      </c>
      <c r="AL15" s="2">
        <v>4</v>
      </c>
      <c r="AM15" s="2">
        <v>6</v>
      </c>
      <c r="AN15" s="2">
        <v>3</v>
      </c>
      <c r="AO15" s="2">
        <v>3</v>
      </c>
      <c r="AP15" s="2">
        <v>10</v>
      </c>
      <c r="AQ15" s="2">
        <v>7</v>
      </c>
      <c r="AR15" s="2">
        <v>7</v>
      </c>
      <c r="AS15" s="2">
        <v>9</v>
      </c>
      <c r="AT15" s="2">
        <v>3</v>
      </c>
    </row>
    <row r="16" spans="2:46" x14ac:dyDescent="0.45">
      <c r="B16" s="3">
        <v>2</v>
      </c>
      <c r="C16" s="3">
        <v>10</v>
      </c>
      <c r="D16" s="3">
        <v>2</v>
      </c>
      <c r="E16" s="3">
        <v>8</v>
      </c>
      <c r="F16" s="3">
        <v>3</v>
      </c>
      <c r="G16" s="3">
        <v>4</v>
      </c>
      <c r="H16" s="3">
        <v>6</v>
      </c>
      <c r="I16" s="3">
        <v>8</v>
      </c>
      <c r="J16" s="23">
        <v>8</v>
      </c>
      <c r="K16" s="3">
        <v>5</v>
      </c>
      <c r="L16" s="3">
        <v>8</v>
      </c>
      <c r="M16" s="3">
        <v>7</v>
      </c>
      <c r="N16" s="3">
        <v>7</v>
      </c>
      <c r="O16" s="5">
        <v>8</v>
      </c>
      <c r="P16" s="33">
        <v>1</v>
      </c>
      <c r="R16" s="2">
        <v>2</v>
      </c>
      <c r="S16" s="2">
        <v>10</v>
      </c>
      <c r="T16" s="2">
        <v>2</v>
      </c>
      <c r="U16" s="2">
        <v>8</v>
      </c>
      <c r="V16" s="2">
        <v>3</v>
      </c>
      <c r="W16" s="2">
        <v>4</v>
      </c>
      <c r="X16" s="2">
        <v>6</v>
      </c>
      <c r="Y16" s="2">
        <v>8</v>
      </c>
      <c r="Z16" s="2">
        <v>5</v>
      </c>
      <c r="AA16" s="2">
        <v>8</v>
      </c>
      <c r="AB16" s="2">
        <v>7</v>
      </c>
      <c r="AC16" s="2">
        <v>7</v>
      </c>
      <c r="AD16" s="2">
        <v>8</v>
      </c>
      <c r="AE16" s="2">
        <v>1</v>
      </c>
      <c r="AF16" s="2"/>
      <c r="AG16" s="2">
        <v>2</v>
      </c>
      <c r="AH16" s="2">
        <v>1</v>
      </c>
      <c r="AI16" s="2">
        <v>7</v>
      </c>
      <c r="AJ16" s="2">
        <v>2</v>
      </c>
      <c r="AK16" s="2">
        <v>1</v>
      </c>
      <c r="AL16" s="2">
        <v>2</v>
      </c>
      <c r="AM16" s="2">
        <v>5</v>
      </c>
      <c r="AN16" s="2">
        <v>1</v>
      </c>
      <c r="AO16" s="2">
        <v>9</v>
      </c>
      <c r="AP16" s="2">
        <v>6</v>
      </c>
      <c r="AQ16" s="2">
        <v>6</v>
      </c>
      <c r="AR16" s="2">
        <v>1</v>
      </c>
      <c r="AS16" s="2">
        <v>6</v>
      </c>
      <c r="AT16" s="2">
        <v>1</v>
      </c>
    </row>
    <row r="17" spans="2:46" ht="17" thickBot="1" x14ac:dyDescent="0.5">
      <c r="B17" s="3">
        <v>8</v>
      </c>
      <c r="C17" s="3">
        <v>5</v>
      </c>
      <c r="D17" s="3">
        <v>5</v>
      </c>
      <c r="E17" s="3">
        <v>6</v>
      </c>
      <c r="F17" s="3">
        <v>5</v>
      </c>
      <c r="G17" s="3">
        <v>4</v>
      </c>
      <c r="H17" s="3">
        <v>9</v>
      </c>
      <c r="I17" s="3">
        <v>4</v>
      </c>
      <c r="J17" s="23">
        <v>9</v>
      </c>
      <c r="K17" s="3">
        <v>3</v>
      </c>
      <c r="L17" s="3">
        <v>7</v>
      </c>
      <c r="M17" s="3">
        <v>4</v>
      </c>
      <c r="N17" s="3">
        <v>4</v>
      </c>
      <c r="O17" s="5">
        <v>3</v>
      </c>
      <c r="P17" s="35">
        <v>6</v>
      </c>
      <c r="R17" s="2">
        <v>8</v>
      </c>
      <c r="S17" s="2">
        <v>5</v>
      </c>
      <c r="T17" s="2">
        <v>5</v>
      </c>
      <c r="U17" s="2">
        <v>6</v>
      </c>
      <c r="V17" s="2">
        <v>5</v>
      </c>
      <c r="W17" s="2">
        <v>4</v>
      </c>
      <c r="X17" s="2">
        <v>9</v>
      </c>
      <c r="Y17" s="2">
        <v>4</v>
      </c>
      <c r="Z17" s="2">
        <v>3</v>
      </c>
      <c r="AA17" s="2">
        <v>7</v>
      </c>
      <c r="AB17" s="2">
        <v>4</v>
      </c>
      <c r="AC17" s="2">
        <v>4</v>
      </c>
      <c r="AD17" s="2">
        <v>3</v>
      </c>
      <c r="AE17" s="2">
        <v>6</v>
      </c>
      <c r="AF17" s="2"/>
      <c r="AG17" s="2">
        <v>2</v>
      </c>
      <c r="AH17" s="2">
        <v>10</v>
      </c>
      <c r="AI17" s="2">
        <v>2</v>
      </c>
      <c r="AJ17" s="2">
        <v>8</v>
      </c>
      <c r="AK17" s="2">
        <v>3</v>
      </c>
      <c r="AL17" s="2">
        <v>4</v>
      </c>
      <c r="AM17" s="2">
        <v>6</v>
      </c>
      <c r="AN17" s="2">
        <v>8</v>
      </c>
      <c r="AO17" s="2">
        <v>8</v>
      </c>
      <c r="AP17" s="2">
        <v>5</v>
      </c>
      <c r="AQ17" s="2">
        <v>8</v>
      </c>
      <c r="AR17" s="2">
        <v>7</v>
      </c>
      <c r="AS17" s="2">
        <v>7</v>
      </c>
      <c r="AT17" s="2">
        <v>8</v>
      </c>
    </row>
    <row r="18" spans="2:46" x14ac:dyDescent="0.45">
      <c r="AF18" s="2"/>
      <c r="AG18" s="2">
        <v>8</v>
      </c>
      <c r="AH18" s="2">
        <v>5</v>
      </c>
      <c r="AI18" s="2">
        <v>5</v>
      </c>
      <c r="AJ18" s="2">
        <v>6</v>
      </c>
      <c r="AK18" s="2">
        <v>5</v>
      </c>
      <c r="AL18" s="2">
        <v>4</v>
      </c>
      <c r="AM18" s="2">
        <v>9</v>
      </c>
      <c r="AN18" s="2">
        <v>4</v>
      </c>
      <c r="AO18" s="2">
        <v>9</v>
      </c>
      <c r="AP18" s="2">
        <v>3</v>
      </c>
      <c r="AQ18" s="2">
        <v>7</v>
      </c>
      <c r="AR18" s="2">
        <v>4</v>
      </c>
      <c r="AS18" s="2">
        <v>4</v>
      </c>
      <c r="AT18" s="2">
        <v>3</v>
      </c>
    </row>
    <row r="19" spans="2:46" ht="17" thickBot="1" x14ac:dyDescent="0.5">
      <c r="B19" s="12"/>
      <c r="C19" s="1" t="s">
        <v>302</v>
      </c>
    </row>
    <row r="20" spans="2:46" ht="17" thickBot="1" x14ac:dyDescent="0.5">
      <c r="B20" s="36"/>
      <c r="C20" s="1" t="s">
        <v>303</v>
      </c>
    </row>
    <row r="21" spans="2:46" x14ac:dyDescent="0.45">
      <c r="R21" s="24" t="s">
        <v>309</v>
      </c>
      <c r="AG21" s="20" t="s">
        <v>311</v>
      </c>
    </row>
    <row r="22" spans="2:46" x14ac:dyDescent="0.45">
      <c r="B22" s="22" t="s">
        <v>306</v>
      </c>
      <c r="R22" s="15" t="s">
        <v>308</v>
      </c>
      <c r="AG22" s="17" t="s">
        <v>313</v>
      </c>
    </row>
    <row r="23" spans="2:46" x14ac:dyDescent="0.45">
      <c r="B23" s="3">
        <v>74</v>
      </c>
      <c r="C23" s="37">
        <v>36</v>
      </c>
      <c r="D23" s="3">
        <v>10</v>
      </c>
      <c r="E23" s="3">
        <v>55</v>
      </c>
      <c r="F23" s="3">
        <v>68</v>
      </c>
      <c r="G23" s="37">
        <v>94</v>
      </c>
      <c r="H23" s="3">
        <v>23</v>
      </c>
      <c r="I23" s="3">
        <v>73</v>
      </c>
      <c r="J23" s="3">
        <v>43</v>
      </c>
      <c r="K23" s="37">
        <v>58</v>
      </c>
      <c r="R23" s="2" cm="1">
        <f t="array" ref="R23:X29">DeleteWhereλ(Grid2,_xlfn.LAMBDA(_xlpm.v,OR(_xlpm.v="X",_xlpm.v="Del")))</f>
        <v>74</v>
      </c>
      <c r="S23" s="2">
        <v>10</v>
      </c>
      <c r="T23" s="2">
        <v>55</v>
      </c>
      <c r="U23" s="2">
        <v>68</v>
      </c>
      <c r="V23" s="2">
        <v>23</v>
      </c>
      <c r="W23" s="2">
        <v>73</v>
      </c>
      <c r="X23" s="2">
        <v>43</v>
      </c>
      <c r="AG23" s="2" cm="1">
        <f t="array" ref="AG23:AI26">DeleteWhereλ(Grid2,_xlfn.LAMBDA(_xlpm.v,AND(ISNUMBER(_xlpm.v))))</f>
        <v>37</v>
      </c>
      <c r="AH23" s="2" t="str">
        <v>X</v>
      </c>
      <c r="AI23" s="2" t="str">
        <v>Y</v>
      </c>
    </row>
    <row r="24" spans="2:46" x14ac:dyDescent="0.45">
      <c r="B24" s="3">
        <v>37</v>
      </c>
      <c r="C24" s="37">
        <v>51</v>
      </c>
      <c r="D24" s="3">
        <v>52</v>
      </c>
      <c r="E24" s="3">
        <v>7</v>
      </c>
      <c r="F24" s="3">
        <v>65</v>
      </c>
      <c r="G24" s="37">
        <v>60</v>
      </c>
      <c r="H24" s="3">
        <v>6</v>
      </c>
      <c r="I24" s="3">
        <v>3</v>
      </c>
      <c r="J24" s="3">
        <v>54</v>
      </c>
      <c r="K24" s="37">
        <v>96</v>
      </c>
      <c r="R24" s="2">
        <v>37</v>
      </c>
      <c r="S24" s="2">
        <v>52</v>
      </c>
      <c r="T24" s="2">
        <v>7</v>
      </c>
      <c r="U24" s="2">
        <v>65</v>
      </c>
      <c r="V24" s="2">
        <v>6</v>
      </c>
      <c r="W24" s="2">
        <v>3</v>
      </c>
      <c r="X24" s="2">
        <v>54</v>
      </c>
      <c r="AG24" s="2">
        <v>95</v>
      </c>
      <c r="AH24" s="2">
        <v>43</v>
      </c>
      <c r="AI24" s="2" t="str">
        <v>Del</v>
      </c>
    </row>
    <row r="25" spans="2:46" ht="17" thickBot="1" x14ac:dyDescent="0.5">
      <c r="B25" s="3">
        <v>32</v>
      </c>
      <c r="C25" s="41">
        <v>31</v>
      </c>
      <c r="D25" s="3">
        <v>76</v>
      </c>
      <c r="E25" s="3">
        <v>74</v>
      </c>
      <c r="F25" s="3">
        <v>38</v>
      </c>
      <c r="G25" s="41">
        <v>69</v>
      </c>
      <c r="H25" s="3">
        <v>14</v>
      </c>
      <c r="I25" s="3">
        <v>6</v>
      </c>
      <c r="J25" s="3">
        <v>12</v>
      </c>
      <c r="K25" s="41">
        <v>60</v>
      </c>
      <c r="R25" s="2">
        <v>32</v>
      </c>
      <c r="S25" s="2">
        <v>76</v>
      </c>
      <c r="T25" s="2">
        <v>74</v>
      </c>
      <c r="U25" s="2">
        <v>38</v>
      </c>
      <c r="V25" s="2">
        <v>14</v>
      </c>
      <c r="W25" s="2">
        <v>6</v>
      </c>
      <c r="X25" s="2">
        <v>12</v>
      </c>
      <c r="AG25" s="2">
        <v>55</v>
      </c>
      <c r="AH25" s="2" t="str">
        <v>Y</v>
      </c>
      <c r="AI25" s="2">
        <v>85</v>
      </c>
    </row>
    <row r="26" spans="2:46" ht="17" thickBot="1" x14ac:dyDescent="0.5">
      <c r="B26" s="39">
        <v>39</v>
      </c>
      <c r="C26" s="43">
        <v>37</v>
      </c>
      <c r="D26" s="40">
        <v>43</v>
      </c>
      <c r="E26" s="37">
        <v>22</v>
      </c>
      <c r="F26" s="39">
        <v>76</v>
      </c>
      <c r="G26" s="43" t="s">
        <v>1</v>
      </c>
      <c r="H26" s="40">
        <v>90</v>
      </c>
      <c r="I26" s="37">
        <v>94</v>
      </c>
      <c r="J26" s="39">
        <v>88</v>
      </c>
      <c r="K26" s="43" t="s">
        <v>312</v>
      </c>
      <c r="R26" s="2">
        <v>9</v>
      </c>
      <c r="S26" s="2">
        <v>92</v>
      </c>
      <c r="T26" s="2">
        <v>30</v>
      </c>
      <c r="U26" s="2">
        <v>48</v>
      </c>
      <c r="V26" s="2">
        <v>95</v>
      </c>
      <c r="W26" s="2">
        <v>49</v>
      </c>
      <c r="X26" s="2">
        <v>12</v>
      </c>
      <c r="AG26" s="2" t="str">
        <v>Del</v>
      </c>
      <c r="AH26" s="2">
        <v>99</v>
      </c>
      <c r="AI26" s="2">
        <v>85</v>
      </c>
    </row>
    <row r="27" spans="2:46" x14ac:dyDescent="0.45">
      <c r="B27" s="3">
        <v>9</v>
      </c>
      <c r="C27" s="42">
        <v>74</v>
      </c>
      <c r="D27" s="3">
        <v>92</v>
      </c>
      <c r="E27" s="3">
        <v>30</v>
      </c>
      <c r="F27" s="3">
        <v>48</v>
      </c>
      <c r="G27" s="42">
        <v>39</v>
      </c>
      <c r="H27" s="3">
        <v>95</v>
      </c>
      <c r="I27" s="3">
        <v>49</v>
      </c>
      <c r="J27" s="3">
        <v>12</v>
      </c>
      <c r="K27" s="42">
        <v>41</v>
      </c>
      <c r="R27" s="2">
        <v>87</v>
      </c>
      <c r="S27" s="2">
        <v>80</v>
      </c>
      <c r="T27" s="2">
        <v>60</v>
      </c>
      <c r="U27" s="2">
        <v>89</v>
      </c>
      <c r="V27" s="2">
        <v>87</v>
      </c>
      <c r="W27" s="2">
        <v>96</v>
      </c>
      <c r="X27" s="2">
        <v>83</v>
      </c>
    </row>
    <row r="28" spans="2:46" ht="17" thickBot="1" x14ac:dyDescent="0.5">
      <c r="B28" s="3">
        <v>87</v>
      </c>
      <c r="C28" s="41">
        <v>66</v>
      </c>
      <c r="D28" s="3">
        <v>80</v>
      </c>
      <c r="E28" s="3">
        <v>60</v>
      </c>
      <c r="F28" s="3">
        <v>89</v>
      </c>
      <c r="G28" s="41">
        <v>76</v>
      </c>
      <c r="H28" s="3">
        <v>87</v>
      </c>
      <c r="I28" s="3">
        <v>96</v>
      </c>
      <c r="J28" s="3">
        <v>83</v>
      </c>
      <c r="K28" s="41">
        <v>27</v>
      </c>
      <c r="R28" s="2">
        <v>33</v>
      </c>
      <c r="S28" s="2">
        <v>66</v>
      </c>
      <c r="T28" s="2">
        <v>87</v>
      </c>
      <c r="U28" s="2">
        <v>65</v>
      </c>
      <c r="V28" s="2">
        <v>9</v>
      </c>
      <c r="W28" s="2">
        <v>10</v>
      </c>
      <c r="X28" s="2">
        <v>24</v>
      </c>
    </row>
    <row r="29" spans="2:46" ht="17" thickBot="1" x14ac:dyDescent="0.5">
      <c r="B29" s="39">
        <v>60</v>
      </c>
      <c r="C29" s="43">
        <v>95</v>
      </c>
      <c r="D29" s="40">
        <v>66</v>
      </c>
      <c r="E29" s="37">
        <v>85</v>
      </c>
      <c r="F29" s="39">
        <v>48</v>
      </c>
      <c r="G29" s="43">
        <v>43</v>
      </c>
      <c r="H29" s="40">
        <v>15</v>
      </c>
      <c r="I29" s="37">
        <v>87</v>
      </c>
      <c r="J29" s="39">
        <v>35</v>
      </c>
      <c r="K29" s="43" t="s">
        <v>307</v>
      </c>
      <c r="R29" s="2">
        <v>31</v>
      </c>
      <c r="S29" s="2">
        <v>94</v>
      </c>
      <c r="T29" s="2">
        <v>77</v>
      </c>
      <c r="U29" s="2">
        <v>77</v>
      </c>
      <c r="V29" s="2">
        <v>53</v>
      </c>
      <c r="W29" s="2">
        <v>43</v>
      </c>
      <c r="X29" s="2">
        <v>82</v>
      </c>
    </row>
    <row r="30" spans="2:46" ht="17" thickBot="1" x14ac:dyDescent="0.5">
      <c r="B30" s="5">
        <v>33</v>
      </c>
      <c r="C30" s="43">
        <v>55</v>
      </c>
      <c r="D30" s="4">
        <v>66</v>
      </c>
      <c r="E30" s="3">
        <v>87</v>
      </c>
      <c r="F30" s="5">
        <v>65</v>
      </c>
      <c r="G30" s="43" t="s">
        <v>312</v>
      </c>
      <c r="H30" s="4">
        <v>9</v>
      </c>
      <c r="I30" s="3">
        <v>10</v>
      </c>
      <c r="J30" s="3">
        <v>24</v>
      </c>
      <c r="K30" s="44">
        <v>85</v>
      </c>
    </row>
    <row r="31" spans="2:46" ht="17" thickBot="1" x14ac:dyDescent="0.5">
      <c r="B31" s="39">
        <v>74</v>
      </c>
      <c r="C31" s="43" t="s">
        <v>307</v>
      </c>
      <c r="D31" s="40">
        <v>79</v>
      </c>
      <c r="E31" s="37">
        <v>55</v>
      </c>
      <c r="F31" s="39">
        <v>43</v>
      </c>
      <c r="G31" s="43">
        <v>99</v>
      </c>
      <c r="H31" s="40">
        <v>62</v>
      </c>
      <c r="I31" s="37">
        <v>76</v>
      </c>
      <c r="J31" s="39">
        <v>99</v>
      </c>
      <c r="K31" s="43">
        <v>85</v>
      </c>
    </row>
    <row r="32" spans="2:46" x14ac:dyDescent="0.45">
      <c r="B32" s="3">
        <v>31</v>
      </c>
      <c r="C32" s="42">
        <v>68</v>
      </c>
      <c r="D32" s="3">
        <v>94</v>
      </c>
      <c r="E32" s="3">
        <v>77</v>
      </c>
      <c r="F32" s="3">
        <v>77</v>
      </c>
      <c r="G32" s="42">
        <v>29</v>
      </c>
      <c r="H32" s="3">
        <v>53</v>
      </c>
      <c r="I32" s="3">
        <v>43</v>
      </c>
      <c r="J32" s="3">
        <v>82</v>
      </c>
      <c r="K32" s="42">
        <v>19</v>
      </c>
    </row>
    <row r="34" spans="2:16" ht="17" thickBot="1" x14ac:dyDescent="0.5">
      <c r="B34" s="38"/>
      <c r="C34" s="1" t="s">
        <v>310</v>
      </c>
    </row>
    <row r="35" spans="2:16" ht="17" thickBot="1" x14ac:dyDescent="0.5">
      <c r="B35" s="36"/>
      <c r="C35" s="1" t="s">
        <v>314</v>
      </c>
    </row>
    <row r="38" spans="2:16" x14ac:dyDescent="0.45">
      <c r="P38" s="19" t="s">
        <v>315</v>
      </c>
    </row>
    <row r="39" spans="2:16" x14ac:dyDescent="0.45">
      <c r="P39" s="19" t="s">
        <v>316</v>
      </c>
    </row>
    <row r="40" spans="2:16" x14ac:dyDescent="0.45">
      <c r="P40" s="19" t="s">
        <v>317</v>
      </c>
    </row>
    <row r="41" spans="2:16" x14ac:dyDescent="0.45">
      <c r="P41" s="19" t="s">
        <v>318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3C77-FADB-40B3-9E29-2A0D37DC8AED}">
  <sheetPr>
    <tabColor theme="9" tint="0.79998168889431442"/>
  </sheetPr>
  <dimension ref="B2:F28"/>
  <sheetViews>
    <sheetView workbookViewId="0">
      <selection activeCell="D4" sqref="D4"/>
    </sheetView>
  </sheetViews>
  <sheetFormatPr defaultRowHeight="16.5" x14ac:dyDescent="0.45"/>
  <cols>
    <col min="1" max="1" width="9.23046875" style="1"/>
    <col min="2" max="2" width="10.15234375" style="1" bestFit="1" customWidth="1"/>
    <col min="3" max="3" width="9.23046875" style="1"/>
    <col min="4" max="4" width="11.3046875" style="2" bestFit="1" customWidth="1"/>
    <col min="5" max="5" width="9.23046875" style="2"/>
    <col min="6" max="6" width="12.53515625" style="2" bestFit="1" customWidth="1"/>
    <col min="7" max="16384" width="9.23046875" style="1"/>
  </cols>
  <sheetData>
    <row r="2" spans="2:6" x14ac:dyDescent="0.45">
      <c r="D2" s="54" t="s">
        <v>343</v>
      </c>
      <c r="F2" s="54" t="s">
        <v>344</v>
      </c>
    </row>
    <row r="3" spans="2:6" x14ac:dyDescent="0.45">
      <c r="B3" s="45" t="s">
        <v>346</v>
      </c>
      <c r="D3" s="24" t="s">
        <v>353</v>
      </c>
      <c r="F3" s="24" t="s">
        <v>354</v>
      </c>
    </row>
    <row r="4" spans="2:6" x14ac:dyDescent="0.45">
      <c r="B4" s="7" t="s">
        <v>347</v>
      </c>
      <c r="D4" s="2" cm="1">
        <f t="array" ref="D4:D28">Countdownλ(cities)</f>
        <v>5</v>
      </c>
      <c r="F4" s="2" cm="1">
        <f t="array" ref="F4:F28">Streakλ(cities)</f>
        <v>1</v>
      </c>
    </row>
    <row r="5" spans="2:6" x14ac:dyDescent="0.45">
      <c r="B5" s="7" t="s">
        <v>347</v>
      </c>
      <c r="D5" s="2">
        <v>4</v>
      </c>
      <c r="F5" s="2">
        <v>2</v>
      </c>
    </row>
    <row r="6" spans="2:6" x14ac:dyDescent="0.45">
      <c r="B6" s="7" t="s">
        <v>347</v>
      </c>
      <c r="D6" s="2">
        <v>3</v>
      </c>
      <c r="F6" s="2">
        <v>3</v>
      </c>
    </row>
    <row r="7" spans="2:6" x14ac:dyDescent="0.45">
      <c r="B7" s="7" t="s">
        <v>347</v>
      </c>
      <c r="D7" s="2">
        <v>2</v>
      </c>
      <c r="F7" s="2">
        <v>4</v>
      </c>
    </row>
    <row r="8" spans="2:6" x14ac:dyDescent="0.45">
      <c r="B8" s="7" t="s">
        <v>347</v>
      </c>
      <c r="D8" s="2">
        <v>1</v>
      </c>
      <c r="F8" s="2">
        <v>5</v>
      </c>
    </row>
    <row r="9" spans="2:6" x14ac:dyDescent="0.45">
      <c r="B9" s="7" t="s">
        <v>348</v>
      </c>
      <c r="D9" s="2">
        <v>3</v>
      </c>
      <c r="F9" s="2">
        <v>1</v>
      </c>
    </row>
    <row r="10" spans="2:6" x14ac:dyDescent="0.45">
      <c r="B10" s="7" t="s">
        <v>348</v>
      </c>
      <c r="D10" s="2">
        <v>2</v>
      </c>
      <c r="F10" s="2">
        <v>2</v>
      </c>
    </row>
    <row r="11" spans="2:6" x14ac:dyDescent="0.45">
      <c r="B11" s="7" t="s">
        <v>348</v>
      </c>
      <c r="D11" s="2">
        <v>1</v>
      </c>
      <c r="F11" s="2">
        <v>3</v>
      </c>
    </row>
    <row r="12" spans="2:6" x14ac:dyDescent="0.45">
      <c r="B12" s="7" t="s">
        <v>349</v>
      </c>
      <c r="D12" s="2">
        <v>1</v>
      </c>
      <c r="F12" s="2">
        <v>1</v>
      </c>
    </row>
    <row r="13" spans="2:6" x14ac:dyDescent="0.45">
      <c r="B13" s="7" t="s">
        <v>350</v>
      </c>
      <c r="D13" s="2">
        <v>2</v>
      </c>
      <c r="F13" s="2">
        <v>1</v>
      </c>
    </row>
    <row r="14" spans="2:6" x14ac:dyDescent="0.45">
      <c r="B14" s="7" t="s">
        <v>350</v>
      </c>
      <c r="D14" s="2">
        <v>1</v>
      </c>
      <c r="F14" s="2">
        <v>2</v>
      </c>
    </row>
    <row r="15" spans="2:6" x14ac:dyDescent="0.45">
      <c r="B15" s="7" t="s">
        <v>351</v>
      </c>
      <c r="D15" s="2">
        <v>9</v>
      </c>
      <c r="F15" s="2">
        <v>1</v>
      </c>
    </row>
    <row r="16" spans="2:6" x14ac:dyDescent="0.45">
      <c r="B16" s="7" t="s">
        <v>351</v>
      </c>
      <c r="D16" s="2">
        <v>8</v>
      </c>
      <c r="F16" s="2">
        <v>2</v>
      </c>
    </row>
    <row r="17" spans="2:6" x14ac:dyDescent="0.45">
      <c r="B17" s="7" t="s">
        <v>351</v>
      </c>
      <c r="D17" s="2">
        <v>7</v>
      </c>
      <c r="F17" s="2">
        <v>3</v>
      </c>
    </row>
    <row r="18" spans="2:6" x14ac:dyDescent="0.45">
      <c r="B18" s="7" t="s">
        <v>351</v>
      </c>
      <c r="D18" s="2">
        <v>6</v>
      </c>
      <c r="F18" s="2">
        <v>4</v>
      </c>
    </row>
    <row r="19" spans="2:6" x14ac:dyDescent="0.45">
      <c r="B19" s="7" t="s">
        <v>351</v>
      </c>
      <c r="D19" s="2">
        <v>5</v>
      </c>
      <c r="F19" s="2">
        <v>5</v>
      </c>
    </row>
    <row r="20" spans="2:6" x14ac:dyDescent="0.45">
      <c r="B20" s="7" t="s">
        <v>351</v>
      </c>
      <c r="D20" s="2">
        <v>4</v>
      </c>
      <c r="F20" s="2">
        <v>6</v>
      </c>
    </row>
    <row r="21" spans="2:6" x14ac:dyDescent="0.45">
      <c r="B21" s="7" t="s">
        <v>351</v>
      </c>
      <c r="D21" s="2">
        <v>3</v>
      </c>
      <c r="F21" s="2">
        <v>7</v>
      </c>
    </row>
    <row r="22" spans="2:6" x14ac:dyDescent="0.45">
      <c r="B22" s="7" t="s">
        <v>351</v>
      </c>
      <c r="D22" s="2">
        <v>2</v>
      </c>
      <c r="F22" s="2">
        <v>8</v>
      </c>
    </row>
    <row r="23" spans="2:6" x14ac:dyDescent="0.45">
      <c r="B23" s="7" t="s">
        <v>351</v>
      </c>
      <c r="D23" s="2">
        <v>1</v>
      </c>
      <c r="F23" s="2">
        <v>9</v>
      </c>
    </row>
    <row r="24" spans="2:6" x14ac:dyDescent="0.45">
      <c r="B24" s="7" t="s">
        <v>352</v>
      </c>
      <c r="D24" s="2">
        <v>5</v>
      </c>
      <c r="F24" s="2">
        <v>1</v>
      </c>
    </row>
    <row r="25" spans="2:6" x14ac:dyDescent="0.45">
      <c r="B25" s="7" t="s">
        <v>352</v>
      </c>
      <c r="D25" s="2">
        <v>4</v>
      </c>
      <c r="F25" s="2">
        <v>2</v>
      </c>
    </row>
    <row r="26" spans="2:6" x14ac:dyDescent="0.45">
      <c r="B26" s="7" t="s">
        <v>352</v>
      </c>
      <c r="D26" s="2">
        <v>3</v>
      </c>
      <c r="F26" s="2">
        <v>3</v>
      </c>
    </row>
    <row r="27" spans="2:6" x14ac:dyDescent="0.45">
      <c r="B27" s="7" t="s">
        <v>352</v>
      </c>
      <c r="D27" s="2">
        <v>2</v>
      </c>
      <c r="F27" s="2">
        <v>4</v>
      </c>
    </row>
    <row r="28" spans="2:6" x14ac:dyDescent="0.45">
      <c r="B28" s="7" t="s">
        <v>352</v>
      </c>
      <c r="D28" s="2">
        <v>1</v>
      </c>
      <c r="F28" s="2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B6AF1-1933-4DF2-9AFE-CE66073690D6}">
  <sheetPr codeName="Sheet7">
    <tabColor rgb="FFFF9999"/>
  </sheetPr>
  <dimension ref="A4:D14"/>
  <sheetViews>
    <sheetView showGridLines="0" workbookViewId="0"/>
  </sheetViews>
  <sheetFormatPr defaultColWidth="0" defaultRowHeight="16.5" x14ac:dyDescent="0.45"/>
  <cols>
    <col min="1" max="1" width="6.69140625" style="1" customWidth="1"/>
    <col min="2" max="2" width="22.4609375" style="1" bestFit="1" customWidth="1"/>
    <col min="3" max="3" width="66.23046875" style="1" bestFit="1" customWidth="1"/>
    <col min="4" max="4" width="9.23046875" style="1" customWidth="1"/>
    <col min="5" max="16384" width="9.23046875" style="1" hidden="1"/>
  </cols>
  <sheetData>
    <row r="4" spans="2:3" x14ac:dyDescent="0.45">
      <c r="B4" s="20" t="s">
        <v>355</v>
      </c>
    </row>
    <row r="6" spans="2:3" x14ac:dyDescent="0.45">
      <c r="B6" s="60" t="s">
        <v>325</v>
      </c>
      <c r="C6" s="60" t="s">
        <v>326</v>
      </c>
    </row>
    <row r="7" spans="2:3" ht="71.5" customHeight="1" x14ac:dyDescent="0.45">
      <c r="B7" s="55" t="s">
        <v>327</v>
      </c>
      <c r="C7" s="53" t="s">
        <v>357</v>
      </c>
    </row>
    <row r="8" spans="2:3" ht="37.5" customHeight="1" x14ac:dyDescent="0.45">
      <c r="B8" s="55" t="s">
        <v>328</v>
      </c>
      <c r="C8" s="53" t="s">
        <v>358</v>
      </c>
    </row>
    <row r="9" spans="2:3" ht="33" x14ac:dyDescent="0.45">
      <c r="B9" s="55" t="s">
        <v>329</v>
      </c>
      <c r="C9" s="53" t="s">
        <v>359</v>
      </c>
    </row>
    <row r="10" spans="2:3" x14ac:dyDescent="0.45">
      <c r="B10" s="56"/>
      <c r="C10" s="56"/>
    </row>
    <row r="11" spans="2:3" x14ac:dyDescent="0.45">
      <c r="B11" s="59" t="s">
        <v>331</v>
      </c>
      <c r="C11" s="56"/>
    </row>
    <row r="12" spans="2:3" x14ac:dyDescent="0.45">
      <c r="B12" s="56"/>
      <c r="C12" s="56"/>
    </row>
    <row r="13" spans="2:3" x14ac:dyDescent="0.45">
      <c r="B13" s="61" t="s">
        <v>325</v>
      </c>
      <c r="C13" s="61" t="s">
        <v>326</v>
      </c>
    </row>
    <row r="14" spans="2:3" ht="41.5" customHeight="1" x14ac:dyDescent="0.45">
      <c r="B14" s="48" t="s">
        <v>330</v>
      </c>
      <c r="C14" s="46" t="s">
        <v>356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BUAGgAZQAgAFMAeQBtAG0AZQB0AHIAeQAgAFMAdQBpAHQAZQBcAG4ALwAvACAAQQAgAGMAbwBsAGwAZQBjAHQAaQBvAG4AIABvAGYAIABzAHQAcgB1AGMAdAB1AHIAYQBsACAAYQByAHIAYQB5ACAAZgB1AG4AYwB0AGkAbwBuAHMAIABmAG8AcgAgAHMAaABhAHAAaQBuAGcALAAgAHQAcgBpAG0AbQBpAG4AZwAsAFwAbgAvAC8AIABhAG4AZAAgAHMAdQBiAGcAcgBvAHUAcAAtAGIAYQBzAGUAZAAgAHMAZQBsAGUAYwB0AGkAbwBuACAAaQBuACAAMgBEACAAbQBhAHQAcgBpAGMAZQBzAC4AXABuAFwAbgAvAC8AIABBAHUAdABoAG8AcgA6ACAAIABQAGEAdAByAGkAYwBrACAASABcAG4ALwAvACAARABhAHQAZQA6ACAAIAAgACAAMQAvADEAOQAvADIAMAAyADYAXABuAC8ALwAgAFYAZQByAHMAaQBvAG4AOgAgADEALgAwAFwAbgBcAG4ALwAvACAARgB1AG4AYwB0AGkAbwBuACAAIAAgACAAIAAgACAAIAAgAEkAIAB3AGEAbgB0ACAAdABvACAAcgBlAG0AbwB2AGUALgAuAC4AXABuAC8ALwAiICAARABlAGwAZQB0AGUAUgBvAHcAcwC7AyAAIAAgAC0AIAAgAFIAZQBtAG8AdgBlACAAcgBvAHcAcwAgAGYAcgBvAG0AIABhACAAMgBEACAAYQByAHIAYQB5ACAAYgB5ACAAcwBwAGUAYwBpAGYAeQBpAG4AZwAgAGQAZQBsAGUAdABlACAAYwBvAHUAbgB0AHMAIABmAG8AcgAgAGUAYQBjAGgAIABzAHUAYgBnAHIAbwB1AHAALgBcAG4ALwAvACIgIABEAGUAbABlAHQAZQBDAG8AbABzALsDIAAgACAALQAgACAAUgBlAG0AbwB2AGUAIABjAG8AbAB1AG0AbgBzACAAZgByAG8AbQAgAGEAIAAyAEQAIABhAHIAcgBhAHkAIABiAHkAIABzAHAAZQBjAGkAZgB5AGkAbgBnACAAZABlAGwAZQB0AGUAIABjAG8AdQBuAHQAcwAgAGYAbwByACAAZQBhAGMAaAAgAHMAdQBiAGcAcgBvAHUAcAAuAFwAbgAvAC8AIiAgAFMAcQB1AGUAZQB6AGUAuwMgACAAIAAgACAAIAAtACAAIABSAGUAbQBvAHYAZQAgAGUAbQBwAHQAeQAgAHIAbwB3AHMAIABhAG4AZAAgAGMAbwBsAHUAbQBuAHMAIABmAHIAbwBtACAAYQAgADIARAAgAGEAcgByAGEAeQAsACAAdwBpAHQAaAAgAG8AcAB0AGkAbwBuAGEAbAAgAGMAdQBzAHQAbwBtACAAYwByAGkAdABlAHIAaQBhAC4AXABuAC8ALwAiICAARABlAGwAZQB0AGUAVwBoAGUAcgBlALsDIAAgAC0AIAAgAFIAZQBtAG8AdgBlACAAcgBvAHcAcwAgAGEAbgBkACAAYwBvAGwAdQBtAG4AcwAgAHQAaABhAHQAIABtAGUAZQB0ACAAYwByAGkAdABlAHIAaQBhACAAZABlAGYAaQBuAGUAZAAgAGIAeQAgAGEAIABMAGEAbQBiAGQAYQAuAFwAbgBcAG4ALwAvACAAIAAgACAAIAAgACAAIAAgACAAIAAgACAAIAAgACAAIAAgAEkAIAB3AGEAbgB0ACAAdABvACAAawBlAGUAcAAuAC4ALgBcAG4ALwAvACIgIABLAGUAZQBwAFIAbwB3AHMAuwMgACAAIAAgACAAIAAtACAAUgBlAHQAYQBpAG4AIAByAG8AdwBzACAAZgByAG8AbQAgAGEAIAAyAEQAIABhAHIAcgBhAHkAIABiAHkAIABzAHAAZQBjAGkAZgB5AGkAbgBnACAAawBlAGUAcAAgAGMAbwB1AG4AdABzACAAZgBvAHIAIABlAGEAYwBoACAAcwB1AGIAZwByAG8AdQBwAC4AXABuAC8ALwAiICAASwBlAGUAcABDAG8AbABzALsDIAAgACAAIAAgACAALQAgAFIAZQB0AGEAaQBuACAAYwBvAGwAdQBtAG4AcwAgAGYAcgBvAG0AIABhACAAMgBEACAAYQByAHIAYQB5ACAAYgB5ACAAcwBwAGUAYwBpAGYAeQBpAG4AZwAgAGsAZQBlAHAAIABjAG8AdQBuAHQAcwAgAGYAbwByACAAZQBhAGMAaAAgAHMAdQBiAGcAcgBvAHUAcAAuAFwAbgBcAG4ALwAvACAAIABMAGEAbQBiAGQAYQAgAGgAZQBsAHAAZQByAHMAIABmAG8AcgAgAGcAZQBuAGUAcgBhAHQAaQBuAGcAIABpAG4AZABpAGMAZQBzAFwAbgAvAC8AIiAgAEMAbwB1AG4AdABkAG8AdwBuALsDIAAgACAAIAAgAC0AIABHAGUAbgBlAHIAYQB0AGUAIABjAG8AdQBuAHQAZABvAHcAbgAgAGkAbgBkAGkAYwBlAHMAIABmAG8AcgAgAGMAbwBuAHQAaQBnAHUAbwB1AHMAIAByAHUAbgBzACAAaQBuACAAYQAgADEARAAgAGEAcgByAGEAeQAuAFwAbgAvAC8AIAAgACAAIAAgACAAIAAgACAAIAAgACAAIAAgACAAIAAgACAAIABFAGEAYwBoACAAcgB1AG4AIABjAG8AdQBuAHQAcwAgAGQAbwB3AG4AIABmAHIAbwBtACAAaQB0AHMAIABsAGUAbgBnAHQAaAAgAHQAbwAgADEALgBcAG4ALwAvACIgIABTAHQAcgBlAGEAawC7AyAAIAAgACAAIAAgACAAIAAtACAAQwBhAGwAYwB1AGwAYQB0AGUAIABzAHQAcgBlAGEAawBzACAAbwBmACAAYwBvAG4AcwBlAGMAdQB0AGkAdgBlACAAdgBhAGwAdQBlAHMAIAB3AGkAdABoAGkAbgAgADEARAAgAG8AcgAgADIARAAgAGEAcgByAGEAeQBzAC4AXABuAFwAbgBcAG4ALwAvAC0ALQAtACAARABlAGwAZQB0AGkAbwBuAC0AYgBhAHMAZQBkACAAZgB1AG4AYwB0AGkAbwBuAHMAIAAtAC0ALQBcAG4AXABuAC8ALwAtAC0ALQAtAC0ALQAtAC0ALQAtAC0ALQAtAC0ALQAtAC0ALQAtAC0ALQAtAC0ALQAtAC0ALQAtAC0ALQAtAC0ALQAtAC0ALQAtAC0ALQAtAC0ALQAtAC0ALQAtAC0ALQAtAC0ALQAtAC0ALQAtAC0ALQAtAC0ALQAtAC0ALQAtAC0ALQAtAC0ALQAtAC0ALQAtAC0ALQAtAC0ALQAtAC0ALQAtAC0AXABuAC8ALwAgAFMAcQB1AGUAZQB6AGUAuwNcAG4ALwAvAC0ALQAtAC0ALQAtAC0ALQAtAC0ALQAtAC0ALQAtAC0ALQAtAC0ALQAtAC0ALQAtAC0ALQAtAC0ALQAtAC0ALQAtAC0ALQAtAC0ALQAtAC0ALQAtAC0ALQAtAC0ALQAtAC0ALQAtAC0ALQAtAC0ALQAtAC0ALQAtAC0ALQAtAC0ALQAtAC0ALQAtAC0ALQAtAC0ALQAtAC0ALQAtAC0ALQAtAC0ALQBcAG4AXABuAC8ALwAgAEQAZQBzAGMAcgBpAHAAdABpAG8AbgA6AFwAbgAvAC8AIABSAGUAbQBvAHYAZQBzACAAbgB1AGwAbAAgAGEAbgBkACAAcwB0AHIAYQBpAGcAaAB0ACAAegBlAHIAbwAgAHYAZQByAHQAaQBjAGEAbAAgAG8AcgAgAGgAbwByAGkAegBvAG4AdABhAGwAIAB2AGUAYwB0AG8AcgBzACAAZgByAG8AbQAgAGEAIAAyAEQAIABhAHIAcgBhAHkALgBcAG4ALwAvACAAUwB1AHAAcABvAHIAdABzACAAbwBwAHQAaQBvAG4AYQBsACAAYwB1AHMAdABvAG0AIABjAHIAaQB0AGUAcgBpAGEAIABmAG8AcgAgAHIAZQBtAG8AdgBhAGwALgBcAG4ALwAvAC0ALQAtAC0ALQAtAC0ALQAtAC0ALQAtAC0ALQAtAC0ALQAtAC0ALQAtAC0ALQAtAC0ALQAtAC0ALQAtAC0ALQAtAC0ALQAtAC0ALQAtAC0ALQAtAC0ALQAtAC0ALQAtAC0ALQAtAC0ALQAtAC0ALQAtAC0ALQAtAC0ALQAtAC0ALQAtAC0ALQAtAC0ALQAtAC0ALQAtAC0ALQAtAC0ALQAtAC0ALQBcAG4ALwAvACAAUABhAHIAYQBtAGUAdABlAHIAcwA6AFwAbgAvAC8AIABhAHIAcgBhAHkAIAAgACAAIAAgACAAIAAgACAAIAAgAC0AIABhAHIAcgBhAHkAIAAoADEARAAgAG8AcgAgADIARAApACAAdwBoAGUAcgBlACAAcgBvAHcAcwAgAG8AcgAgAGMAbwBsAHUAbQBuAHMAIABhAHIAZQAgAHIAZQBtAG8AdgBlAGQALgBcAG4ALwAvACAATwBwAHQAaQBvAG4AYQBsACAAcABhAHIAYQBtAGUAdABlAHIAcwA6AFwAbgAvAC8AIABjAHUAcwB0AG8AbQBfAGMAcgBpAHQAZQByAGkAYQAgAC0AIABzAGMAYQBsAGEAcgAgAGMAcgBpAHQAZQByAGkAYQAgAGYAbwByACAAcgBlAG0AbwB2AGEAbAAgAG8AZgAgAHIAbwB3AHMAIABvAHIAIABjAG8AbAB1AG0AbgBzAC4AIABcAG4ALwAvACAAcwB1AHAAcAByAGUAcwBzAF8AegBlAHIAbwBzACAAIAAtACAAUwBlAHQAIAB0AG8AIABUAFIAVQBFACAAdwBpAGwAbAAgAHIAZQBwAGwAYQBjAGUAIAAwAHMAIAB3AGkAdABoACAAZQBtAHAAdAB5ACAAXAAiAFwAIgAgAGkAbgAgAGYAaQBuAGEAbAAgAHIAZQBzAHUAbAB0AC4AXABuAC8ALwAtAC0ALQAtAC0ALQAtAC0ALQAtAC0ALQAtAC0ALQAtAC0ALQAtAC0ALQAtAC0ALQAtAC0ALQAtAC0ALQAtAC0ALQAtAC0ALQAtAC0ALQAtAC0ALQAtAC0ALQAtAC0ALQAtAC0ALQAtAC0ALQAtAC0ALQAtAC0ALQAtAC0ALQAtAC0ALQAtAC0ALQAtAC0ALQAtAC0ALQAtAC0ALQAtAC0ALQAtAC0AXABuAFwAbgBcAG4AUwBxAHUAZQBlAHoAZQC7Az0AXABuAEwAQQBNAEIARABBACgAXABuACAAIAAgACAAYQByAHIAYQB5ACwAXABuACAAIAAgACAAWwBjAHUAcwB0AG8AbQBfAGMAcgBpAHQAZQByAGkAYQBdACwAXABuACAAIAAgACAAWwBzAHUAcABwAHIAZQBzAHMAXwB6AGUAcgBvAHMAXQAsAFwAbgBMAEUAVAAoAFwAbgBcAG4AIAAgACAAIABIAGkAZABlAFoAZQByAG8APwAsACAAIABOAE8AVAAoAEkAUwBPAE0ASQBUAFQARQBEACgAcwB1AHAAcAByAGUAcwBzAF8AegBlAHIAbwBzACkAKQAsAFwAbgBcAG4AIAAgACAAIAAvAC8AUwBoAGEAcABlAFwAbgAgACAAIAAgAGkALAAgACAAIAAgACAAIAAgACAAIAAgAFMARQBRAFUARQBOAEMARQAoAFIATwBXAFMAKABhAHIAcgBhAHkAKQApACwAIAAgAGoALAAgACAAIAAgAFMARQBRAFUARQBOAEMARQAoACwAQwBPAEwAVQBNAE4AUwAoAGEAcgByAGEAeQApACkALABcAG4AXABuACAAIAAgACAALwAvAFIAZQB0AGEAaQBuACAAbgBvAG4ALQBiAGwAYQBuAGsAIAByAG8AdwBzACwAIABjAG8AbAB1AG0AbgBzAC4AIABTAHQAcgBhAGkAZwBoAHQAIAB6AGUAcgBvACAAdgBlAGMAdABvAHIAcwAgAGEAcgBlACAAcAB1AHIAZwBlAGQALgBcAG4AIAAgACAAIABLAGUAZQBwALsDLAAgACAAIAAgACAAIABMAEEATQBCAEQAQQAoAHYALABOAE8AVAAoAEEATgBEACgAVABPAEMATwBMACgAdgAsADIAKQA9ADAAKQApACkALABcAG4AXABuACAAIAAgACAALwAvAEMAdQBzAHQAbwBtACAAYwByAGkAdABlAHIAaQBhAFwAbgAgACAAIAAgAEMAdQBzAHQAbwBtALsDLAAgACAAIAAgAEwAQQBNAEIARABBACgAdgAsAE4ATwBUACgAQQBOAEQAKABUAE8AQwBPAEwAKAB2ACwAMgApAD0AYwB1AHMAdABvAG0AXwBjAHIAaQB0AGUAcgBpAGEAKQApACkALABcAG4AXABuACAAIAAgACAALwAvAEYAdQBuAGMAdABpAG8AbgAgAHMAZQBsAGUAYwB0AGkAbgBvAFwAbgAgACAAIAAgAGYAbgAsACAAIAAgACAAIAAgACAAIAAgAEkARgAoAEkAUwBPAE0ASQBUAFQARQBEACgAYwB1AHMAdABvAG0AXwBjAHIAaQB0AGUAcgBpAGEAKQAsAEsAZQBlAHAAuwMsAEMAdQBzAHQAbwBtALsDKQAsAFwAbgBcAG4AIAAgACAAIABhACwAIAAgACAAIAAgACAAIAAgACAAIABUAE8AQwBPAEwAKABJAEYAKABCAFkAUgBPAFcAKABhAHIAcgBhAHkALABmAG4AKQAsAGkALABOAEEAKAApACkALAAyACkALABcAG4AIAAgACAAIABiACwAIAAgACAAIAAgACAAIAAgACAAIABUAE8AUgBPAFcAKABJAEYAKABCAFkAQwBPAEwAKABhAHIAcgBhAHkALABmAG4AKQAsAGoALABOAEEAKAApACkALAAyACkALABcAG4AIAAgACAAIABJAHMARQBtAHAAdAB5AD8ALAAgACAAIABBAE4ARAAoAEkAUwBFAFIAUgBPAFIAKABhACkALABJAFMARQBSAFIATwBSACgAYgApACkALABcAG4AXABuACAAIAAgACAALwAvAFIAZQBzAGUAdAAgAHMAaABhAHAAZQBcAG4AIAAgACAAIAB4ACwAIAAgACAAIAAgACAAIAAgACAAIABSAE8AVwBTACgAYQApACwAXABuACAAIAAgACAAeQAsACAAIAAgACAAIAAgACAAIAAgACAAQwBPAEwAVQBNAE4AUwAoAGIAKQAsAFwAbgBcAG4AIAAgACAAIAAvAC8ATQBlAHMAaAAgAGcAcgBpAGQAXABuACAAIAAgACAAcgAsACAAIAAgACAAIAAgACAAIAAgACAAYQAgACoAIABTAEUAUQBVAEUATgBDAEUAKAAsAHkALAAxACwAMAApACwAXABuACAAIAAgACAAYwAsACAAIAAgACAAIAAgACAAIAAgACAAYgAgACoAIABTAEUAUQBVAEUATgBDAEUAKAB4ACwALAAxACwAMAApACwAXABuAFwAbgAgACAAIAAgAC8ALwBHAGUAdAAgAHIAZQBzAHUAbAB0AHMALAAgAHMAdQBwAHAAcgBlAHMAcwAgADAAcwBcAG4AIAAgACAAIAByAGUAcwB1AGwAdAAsACAAIAAgACAAIABJAE4ARABFAFgAKABhAHIAcgBhAHkALAByACwAYwApACwAXABuACAAIAAgACAAcgBlAHMAdQBsAHQAXwBiACwAIAAgACAAIAAgACAASQBGACgAcgBlAHMAdQBsAHQAPQAwACwAXAAiAFwAIgAsAHIAZQBzAHUAbAB0ACkALABcAG4AXABuACAAIAAgACAAZABlAGwAaQB2AGUAcgAsACAAIAAgACAASQBGACgASQBzAEUAbQBwAHQAeQA/ACwAXAAiACMARQBNAFAAVABZAC0AQQBSAFIAQQBZACEAXAAiACwASQBGACgASABpAGQAZQBaAGUAcgBvAD8ALAByAGUAcwB1AGwAdABfAGIALAByAGUAcwB1AGwAdAApACkALABcAG4AIAAgACAAIABkAGUAbABpAHYAZQByAFwAbgApACkAOwBcAG4AXABuAC8ALwAtAC0ALQAtAC0ALQAtAC0ALQAtAC0ALQAtAC0ALQAtAC0ALQAtAC0ALQAtAC0ALQAtAC0ALQAtAC0ALQAtAC0ALQAtAC0ALQAtAC0ALQAtAC0ALQAtAC0ALQAtAC0ALQAtAC0ALQAtAC0ALQAtAC0ALQAtAC0ALQAtAC0ALQAtAC0ALQAtAC0ALQAtAC0ALQAtAC0ALQAtAC0ALQAtAC0ALQAtAC0AXABuAC8ALwAgAEQAZQBsAGUAdABlAFcAaABlAHIAZQC7A1wAbgAvAC8ALQAtAC0ALQAtAC0ALQAtAC0ALQAtAC0ALQAtAC0ALQAtAC0ALQAtAC0ALQAtAC0ALQAtAC0ALQAtAC0ALQAtAC0ALQAtAC0ALQAtAC0ALQAtAC0ALQAtAC0ALQAtAC0ALQAtAC0ALQAtAC0ALQAtAC0ALQAtAC0ALQAtAC0ALQAtAC0ALQAtAC0ALQAtAC0ALQAtAC0ALQAtAC0ALQAtAC0ALQAtAFwAbgBcAG4ALwAvACAARABlAHMAYwByAGkAcAB0AGkAbwBuADoAXABuAC8ALwAgAFIAZQBtAG8AdgBlAHMAIAB2AGUAcgB0AGkAYwBhAGwAIABvAHIAIABoAG8AcgBpAHoAbwBuAHQAYQBsACAAdgBlAGMAdABvAHIAcwAgAGYAcgBvAG0AIABhACAAMgBEACAAYQByAHIAYQB5ACAAYgB5ACAAdQBzAGkAbgBnACAAYQAgAEwAYQBtAGIAZABhAC4AXABuAC8ALwAtAC0ALQAtAC0ALQAtAC0ALQAtAC0ALQAtAC0ALQAtAC0ALQAtAC0ALQAtAC0ALQAtAC0ALQAtAC0ALQAtAC0ALQAtAC0ALQAtAC0ALQAtAC0ALQAtAC0ALQAtAC0ALQAtAC0ALQAtAC0ALQAtAC0ALQAtAC0ALQAtAC0ALQAtAC0ALQAtAC0ALQAtAC0ALQAtAC0ALQAtAC0ALQAtAC0ALQAtAC0AXABuAC8ALwAgAFAAYQByAGEAbQBlAHQAZQByAHMAOgBcAG4ALwAvACAAYQByAHIAYQB5ACAAIAAgACAAIAAgACAAIAAgACAAIAAtACAAYQByAHIAYQB5ACAAKAAxAEQAIABvAHIAIAAyAEQAKQAgAHcAaABlAHIAZQAgAHIAbwB3AHMAIABvAHIAIABjAG8AbAB1AG0AbgBzACAAYQByAGUAIAByAGUAbQBvAHYAZQBkAC4AXABuAC8ALwAgAE8AcAB0AGkAbwBuAGEAbAAgAHAAYQByAGEAbQBlAHQAZQByADoAXABuAC8ALwAgAGYAdQBuAGMAdABpAG8AbgAgACAAIAAgACAAIAAgACAALQAgAEwAYQBtAGIAZABhACAAdABvACAAYQBwAHAAbAB5ACAAdABvACAAZQBhAGMAaAAgAHYAZQByAHQAaQBjAGEAbAAgAGEAbgBkACAAaABvAHIAaQB6AG8AbgB0AGEAbAAgAHYAZQBjAHQAbwByACAAaQBuACAAYQAgADIARAAgAGEAcgByAGEAeQAuACAAXABuAC8ALwAtAC0ALQAtAC0ALQAtAC0ALQAtAC0ALQAtAC0ALQAtAC0ALQAtAC0ALQAtAC0ALQAtAC0ALQAtAC0ALQAtAC0ALQAtAC0ALQAtAC0ALQAtAC0ALQAtAC0ALQAtAC0ALQAtAC0ALQAtAC0ALQAtAC0ALQAtAC0ALQAtAC0ALQAtAC0ALQAtAC0ALQAtAC0ALQAtAC0ALQAtAC0ALQAtAC0ALQAtAC0AXABuAFwAbgBEAGUAbABlAHQAZQBXAGgAZQByAGUAuwMgAD0AXABuAEwAQQBNAEIARABBACgAYQByAHIAYQB5ACwAIABmAHUAbgBjAHQAaQBvAG4ALABcAG4ATABFAFQAKABcAG4AIAAgACAAIAAvAC8AUwBoAGEAcABlAFwAbgAgACAAIAAgAGkALAAgAFMARQBRAFUARQBOAEMARQAoAFIATwBXAFMAKABhAHIAcgBhAHkAKQApACwAXABuACAAIAAgACAAagAsACAAUwBFAFEAVQBFAE4AQwBFACgALABDAE8ATABVAE0ATgBTACgAYQByAHIAYQB5ACkAKQAsAFwAbgBcAG4AIAAgACAAIAAvAC8ATgBlAGcAYQB0AGUAIAByAGUAcwB1AGwAdABzACAAbwBmACAAZgB1AG4AYwB0AGkAbwBuAFwAbgAgACAAIAAgAGYAbgAsACAATABBAE0AQgBEAEEAKAB2ACwAIABOAE8AVAAoAGYAdQBuAGMAdABpAG8AbgAoAHYAKQApACkALABcAG4AXABuACAAIAAgACAALwAvAEkAbgBkAGkAYwBlAHMAIAB0AG8AIABrAGUAZQBwAFwAbgAgACAAIAAgAGEALAAgAFQATwBDAE8ATAAoAEkARgAoAEIAWQBSAE8AVwAoAGEAcgByAGEAeQAsACAAZgBuACkALAAgAGkALAAgAE4AQQAoACkAKQAsACAAMgApACwAXABuACAAIAAgACAAYgAsACAAVABPAFIATwBXACgASQBGACgAQgBZAEMATwBMACgAYQByAHIAYQB5ACwAIABmAG4AKQAsACAAagAsACAATgBBACgAKQApACwAIAAyACkALABcAG4AXABuACAAIAAgACAALwAvAEMAaABlAGMAawAgAGYAbwByACAAbgBvACAAcgBlAG0AbwB2AGEAbABzAFwAbgAgACAAIAAgAEkAcwBFAG0AcAB0AHkAPwAsACAAQQBOAEQAKABJAFMARQBSAFIATwBSACgAYQApACwAIABJAFMARQBSAFIATwBSACgAYgApACkALABcAG4AXABuACAAIAAgACAALwAvAFIAZQBzAGUAdAAgAHMAaABhAHAAZQBcAG4AIAAgACAAIAB4ACwAIABSAE8AVwBTACgAYQApACwAXABuACAAIAAgACAAeQAsACAAQwBPAEwAVQBNAE4AUwAoAGIAKQAsAFwAbgBcAG4AIAAgACAAIAAvAC8ASQBuAGQAaQBjAGUAcwBcAG4AIAAgACAAIAByACwAIABhACAAKgAgAFMARQBRAFUARQBOAEMARQAoACwAIAB5ACwAIAAxACwAIAAwACkALABcAG4AIAAgACAAIABjACwAIABiACAAKgAgAFMARQBRAFUARQBOAEMARQAoAHgALAAgACwAIAAxACwAIAAwACkALABcAG4AXABuACAAIAAgACAAZgBpAG4AYQBsACwAIABJAEYAKABJAHMARQBtAHAAdAB5AD8ALAAgAFwAIgAjAEUATQBQAFQAWQAtAEEAUgBSAEEAWQAhAFwAIgAsACAASQBOAEQARQBYACgAYQByAHIAYQB5ACwAIAByACwAIABjACkAKQAsAFwAbgAgACAAIAAgAGYAaQBuAGEAbABcAG4AKQApADsAXABuAFwAbgAvAC8ALQAtAC0ALQAtAC0ALQAtAC0ALQAtAC0ALQAtAC0ALQAtAC0ALQAtAC0ALQAtAC0ALQAtAC0ALQAtAC0ALQAtAC0ALQAtAC0ALQAtAC0ALQAtAC0ALQAtAC0ALQAtAC0ALQAtAC0ALQAtAC0ALQAtAC0ALQAtAC0ALQAtAC0ALQAtAC0ALQAtAC0ALQAtAC0ALQAtAC0ALQAtAC0ALQAtAC0ALQAtAFwAbgAvAC8ALQAtAC0AIABEAGUAbABlAHQAZQBSAG8AdwBzALsDIAAtAC0ALQBcAG4ALwAvAC0ALQAtAC0ALQAtAC0ALQAtAC0ALQAtAC0ALQAtAC0ALQAtAC0ALQAtAC0ALQAtAC0ALQAtAC0ALQAtAC0ALQAtAC0ALQAtAC0ALQAtAC0ALQAtAC0ALQAtAC0ALQAtAC0ALQAtAC0ALQAtAC0ALQAtAC0ALQAtAC0ALQAtAC0ALQAtAC0ALQAtAC0ALQAtAC0ALQAtAC0ALQAtAC0ALQAtAC0ALQBcAG4AXABuAC8ALwAgAEQAZQBzAGMAcgBpAHAAdABpAG8AbgA6AFwAbgAvAC8AIAAgACAARABlAGwAZQB0AGUAIAByAG8AdwBzACAAZgByAG8AbQAgAGEAIAAyAEQAIABhAHIAcgBhAHkAIABiAGEAcwBlAGQAIABvAG4AIABzAHUAYgBnAHIAbwB1AHAAIAByAHUAbgBzAC4AXABuAC8ALwAgACAAIABQAG8AcwBpAHQAaQB2AGUAIABkAGUAbABlAHQAZQAgAHQAcgBpAG0AcwAgAGYAcgBvAG0AIAB0AGgAZQAgAGwAZQBmAHQAIABvAGYAIABlAGEAYwBoACAAcgB1AG4ALABcAG4ALwAvACAAIAAgAE4AZQBnAGEAdABpAHYAZQAgAGQAZQBsAGUAdABlACAAdAByAGkAbQBzACAAZgByAG8AbQAgAHQAaABlACAAcgBpAGcAaAB0ACAAbwBmACAAZQBhAGMAaAAgAHIAdQBuAC4AXABuAC8ALwBcAG4ALwAvACAAUABhAHIAYQBtAGUAdABlAHIAcwA6AFwAbgAvAC8AIAAgACAAYQByAHIAYQB5ACAAIAAgACAAIAAgACAAIAAgACAALQAgADIARAAgAGEAcgByAGEAeQAuAFwAbgAvAC8AIAAgACAAZABlAGwAZQB0AGUAIAAgACAAIAAgACAAIAAgACAALQAgAFMAYwBhAGwAYQByACAAaQBuAHQAZQBnAGUAcgAgACgAcABvAHMAaQB0AGkAdgBlACAAPQAgAGwAZQBmAHQALAAgAG4AZQBnAGEAdABpAHYAZQAgAD0AIAByAGkAZwBoAHQAKQAuAFwAbgAvAC8AIAAgACAAYQB0AF8AZQBhAGMAaABfAGMAaABhAG4AZwBlACAALQAgAFMAdQBiAGcAcgBvAHUAcAAgAGwAYQBiAGUAbABzACAAKABzAGEAbQBlACAAcwBoAGEAcABlACAAYQBzACAAYQByAHIAYQB5ABkgcwAgAGMAbwBsAHUAbQBuAHMAKQAuAFwAbgAvAC8AXABuAC8ALwAgAEwAYQBtAGIAZABhAHMAIABjAGEAbABsAGUAZAA6AFwAbgAvAC8AIAAgACAAUwB0AHIAZQBhAGsAuwNcAG4ALwAvACAAIAAgAEMAbwB1AG4AdABkAG8AdwBuALsDXABuAFwAbgBEAGUAbABlAHQAZQBSAG8AdwBzALsDIAA9AFwAbgBMAEEATQBCAEQAQQAoAFwAbgAgACAAIAAgAGEAcgByAGEAeQAsACAAZABlAGwAZQB0AGUALAAgAGEAdABfAGUAYQBjAGgAXwBjAGgAYQBuAGcAZQAsAFwAbgBMAEUAVAAoAFwAbgAgACAAIAAgAC8ALwAgAEgAYQBsAHQAaQBuAGcAIABzAGMAZQBuAGEAcgBpAG8AcwBcAG4AIAAgACAAIABPAG4AZQBTAHUAYgBHAHIAbwB1AHAAPwAsACAAIAAgAEMATwBVAE4AVABBACgAVQBOAEkAUQBVAEUAKABhAHQAXwBlAGEAYwBoAF8AYwBoAGEAbgBnAGUAKQApAD0AMQAsAFwAbgAgACAAIAAgAEQAaQBzAGMAYQByAGQALAAgACAAIAAgACAAIAAgACAARABSAE8AUAAoAGEAcgByAGEAeQAsAEAAZABlAGwAZQB0AGUAKQAsAFwAbgAgACAAIAAgAFMAaABhAHAAZQBNAGkAcwBtAGEAdABjAGgAPwAsACAATwBSACgAUgBPAFcAUwAoAGEAcgByAGEAeQApADwAPgBSAE8AVwBTACgAYQB0AF8AZQBhAGMAaABfAGMAaABhAG4AZwBlACkAKQAsAFwAbgAgACAAIAAgAEkAcwBUAGUAeAB0AD8ALAAgACAAIAAgACAAIAAgACAATwBSACgASQBTAFQARQBYAFQAKABkAGUAbABlAHQAZQApACkALABcAG4AIAAgACAAIABOAG8AdABTAGMAYQBsAGEAcgA/ACwAIAAgACAAIAAgAEEATgBEACgATgBPAFQAKABJAHMAVABlAHgAdAA/ACkALABDAE8AVQBOAFQAQQAoAGQAZQBsAGUAdABlACkAPgAxACkALABcAG4AIAAgACAAIABzAGMAZQBuAGEAcgBpAG8AcwAsACAAIAAgACAAIAAgAFYAUwBUAEEAQwBLACgAUwBoAGEAcABlAE0AaQBzAG0AYQB0AGMAaAA/ACwASQBzAFQAZQB4AHQAPwAsAE4AbwB0AFMAYwBhAGwAYQByAD8AKQAsAFwAbgBcAG4AIAAgACAAIAAvAC8AIABFAHIAcgBvAHIAcwBcAG4AIAAgACAAIABoAGEAbAB0ACwAIAAgACAAIAAgACAAIAAgACAAIAAgAE8AUgAoAHMAYwBlAG4AYQByAGkAbwBzACkALABcAG4AIAAgACAAIABlAHIAcgBvAHIAcwAsACAAIAAgACAAIAAgACAAIAAgAHsAXAAiACMARABJAE0ARQBOAFMASQBPAE4AUwAhAFwAIgA7AFwAIgAjAFQARQBYAFQAIQBcACIAOwBcACIAIwBTAEMAQQBMAEEAUgAhAFwAIgB9ACwAXABuACAAIAAgACAAYQBsAGUAcgB0ACwAIAAgACAAIAAgACAAIAAgACAAIABBAFIAUgBBAFkAVABPAFQARQBYAFQAKABGAEkATABUAEUAUgAoAGUAcgByAG8AcgBzACwAcwBjAGUAbgBhAHIAaQBvAHMALAAwACkAKQAsAFwAbgBcAG4AIAAgACAAIAAvAC8AIABMAG8AZwBpAGMAIABnAGEAdABlAFwAbgAgACAAIAAgAEkARgAoAE8AbgBlAFMAdQBiAEcAcgBvAHUAcAA/ACwARABpAHMAYwBhAHIAZAAsAFwAbgAgACAAIAAgAEkARgAoAGgAYQBsAHQALABhAGwAZQByAHQALABcAG4ATABFAFQAKABcAG4AIAAgACAAIAAvAC8AIABQAG8AcwBpAHQAaQB2AGUAIAAtACAAdABvAHAAIABvAGYAIABzAHUAYgBnAHIAbwB1AHAAIAAtACAATgBlAGcAYQB0AGkAdgBlACAALQAgAGIAbwB0AHQAbwBtACAAbwBmACAAcwB1AGIAZwByAG8AdQBwAFwAbgAgACAAIAAgAHMALAAgACAAIAAgACAAIAAgACAAIAAgACAAIAAgACAAUwBJAEcATgAoAGQAZQBsAGUAdABlACkALABcAG4AIAAgACAAIABcAG4AIAAgACAAIAAvAC8AIABJAG4AZABpAGMAZQBzAFwAbgAgACAAIAAgAGEAcwBjAGUAbgBkACwAIAAgACAAIAAgACAAIAAgACAAUwB0AHIAZQBhAGsAuwMoAGEAdABfAGUAYQBjAGgAXwBjAGgAYQBuAGcAZQApACwAXABuACAAIAAgACAAZABlAHMAYwBlAG4AZAAsACAAIAAgACAAIAAgACAAIABDAG8AdQBuAHQAZABvAHcAbgC7AygAYQB0AF8AZQBhAGMAaABfAGMAaABhAG4AZwBlACkALABcAG4AIAAgACAAIABkAGUAbABlAHQAZQAsACAAIAAgACAAIAAgACAAIAAgAEEAQgBTACgAZABlAGwAZQB0AGUAKQAsAFwAbgAgACAAIAAgAFwAbgAgACAAIAAgAC8ALwBTAGUAbABlAGMAdAAgAGkAbgBkAGUAeABcAG4AIAAgACAAIABpAGQAeAAsACAAIAAgACAAIAAgACAAIAAgACAAIAAgAEkARgAoAHMAPQAgAC0AMQAsACAAZABlAHMAYwBlAG4AZAAsAGEAcwBjAGUAbgBkACkALABcAG4AIAAgACAAIABcAG4AIAAgACAAIAAvAC8ARQB4AGMAbAB1AGQAZQAgAGkAbgB0AGUAZwBlAHIAcwAgAGYAcgBvAG0AIABpAG4AZABlAHgAXABuACAAIAAgACAAYgBvAG8AbAAsACAAIAAgACAAIAAgACAAIAAgACAAIABOAE8AVAAoAGkAZAB4ACAAPAA9ACAAZABlAGwAZQB0AGUAKQAsAFwAbgBcAG4AIAAgACAAIABmAGkAbgBhAGwALAAgACAAIAAgACAAIAAgACAAIAAgAEYASQBMAFQARQBSACgAYQByAHIAYQB5ACwAYgBvAG8AbAApACwAXABuACAAIAAgACAAZgBpAG4AYQBsAFwAbgApACkAKQApACkAOwBcAG4AXABuAFwAbgAvAC8ALQAtAC0ALQAtAC0ALQAtAC0ALQAtAC0ALQAtAC0ALQAtAC0ALQAtAC0ALQAtAC0ALQAtAC0ALQAtAC0ALQAtAC0ALQAtAC0ALQAtAC0ALQAtAC0ALQAtAC0ALQAtAC0ALQAtAC0ALQAtAC0ALQAtAC0ALQAtAC0ALQAtAC0ALQAtAC0ALQAtAC0ALQAtAC0ALQAtAC0ALQAtAC0ALQAtAC0ALQAtAFwAbgAvAC8ALQAtAC0AIABEAGUAbABlAHQAZQBDAG8AbABzALsDIAAtAC0ALQBcAG4ALwAvAC0ALQAtAC0ALQAtAC0ALQAtAC0ALQAtAC0ALQAtAC0ALQAtAC0ALQAtAC0ALQAtAC0ALQAtAC0ALQAtAC0ALQAtAC0ALQAtAC0ALQAtAC0ALQAtAC0ALQAtAC0ALQAtAC0ALQAtAC0ALQAtAC0ALQAtAC0ALQAtAC0ALQAtAC0ALQAtAC0ALQAtAC0ALQAtAC0ALQAtAC0ALQAtAC0ALQAtAC0ALQBcAG4AXABuAC8ALwAgAEQAZQBzAGMAcgBpAHAAdABpAG8AbgA6AFwAbgAvAC8AIAAgACAARABlAGwAZQB0AGUAIABjAG8AbAB1AG0AbgBzACAAZgByAG8AbQAgAGEAIAAyAEQAIABhAHIAcgBhAHkAIABiAGEAcwBlAGQAIABvAG4AIABzAHUAYgBnAHIAbwB1AHAAIAByAHUAbgBzAC4AXABuAC8ALwAgACAAIABQAG8AcwBpAHQAaQB2AGUAIABkAGUAbABlAHQAZQAgAHQAcgBpAG0AcwAgAGYAcgBvAG0AIAB0AGgAZQAgAGwAZQBmAHQAIABvAGYAIABlAGEAYwBoACAAcgB1AG4ALABcAG4ALwAvACAAIAAgAE4AZQBnAGEAdABpAHYAZQAgAGQAZQBsAGUAdABlACAAdAByAGkAbQBzACAAZgByAG8AbQAgAHQAaABlACAAcgBpAGcAaAB0ACAAbwBmACAAZQBhAGMAaAAgAHIAdQBuAC4AXABuAC8ALwBcAG4ALwAvACAAUABhAHIAYQBtAGUAdABlAHIAcwA6AFwAbgAvAC8AIAAgACAAYQByAHIAYQB5ACAAIAAgACAAIAAgACAAIAAgACAALQAgADIARAAgAGEAcgByAGEAeQAuAFwAbgAvAC8AIAAgACAAZABlAGwAZQB0AGUAIAAgACAAIAAgACAAIAAgACAALQAgAFMAYwBhAGwAYQByACAAaQBuAHQAZQBnAGUAcgAgACgAcABvAHMAaQB0AGkAdgBlACAAPQAgAGwAZQBmAHQALAAgAG4AZQBnAGEAdABpAHYAZQAgAD0AIAByAGkAZwBoAHQAKQAuAFwAbgAvAC8AIAAgACAAYQB0AF8AZQBhAGMAaABfAGMAaABhAG4AZwBlACAALQAgAFMAdQBiAGcAcgBvAHUAcAAgAGwAYQBiAGUAbABzACAAKABzAGEAbQBlACAAcwBoAGEAcABlACAAYQBzACAAYQByAHIAYQB5ABkgcwAgAGMAbwBsAHUAbQBuAHMAKQAuAFwAbgAvAC8AXABuAC8ALwAgAEwAYQBtAGIAZABhAHMAIABjAGEAbABsAGUAZAA6AFwAbgAvAC8AIAAgACAAUwB0AHIAZQBhAGsAuwNcAG4ALwAvACAAIAAgAEMAbwB1AG4AdABkAG8AdwBuALsDXABuAFwAbgBEAGUAbABlAHQAZQBDAG8AbABzALsDIAA9AFwAbgBMAEEATQBCAEQAQQAoAFwAbgAgACAAIAAgAGEAcgByAGEAeQAsACAAZABlAGwAZQB0AGUALAAgAGEAdABfAGUAYQBjAGgAXwBjAGgAYQBuAGcAZQAsAFwAbgBMAEUAVAAoAFwAbgAgACAAIAAgAC8ALwAgAEgAYQBsAHQAaQBuAGcAIABzAGMAZQBuAGEAcgBpAG8AcwBcAG4AIAAgACAAIABPAG4AZQBTAHUAYgBHAHIAbwB1AHAAPwAsACAAIAAgAEMATwBVAE4AVABBACgAVQBOAEkAUQBVAEUAKABhAHQAXwBlAGEAYwBoAF8AYwBoAGEAbgBnAGUALAAxACkAKQA9ADEALABcAG4AIAAgACAAIABEAGkAcwBjAGEAcgBkACwAIAAgACAAIAAgACAAIAAgAEQAUgBPAFAAKABhAHIAcgBhAHkALAAsAEAAZABlAGwAZQB0AGUAKQAsAFwAbgAgACAAIAAgAFMAaABhAHAAZQBNAGkAcwBtAGEAdABjAGgAPwAsACAATwBSACgAQwBPAEwAVQBNAE4AUwAoAGEAcgByAGEAeQApADwAPgBDAE8ATABVAE0ATgBTACgAYQB0AF8AZQBhAGMAaABfAGMAaABhAG4AZwBlACkAKQAsAFwAbgAgACAAIAAgAEkAcwBUAGUAeAB0AD8ALAAgACAAIAAgACAAIAAgACAATwBSACgASQBTAFQARQBYAFQAKABkAGUAbABlAHQAZQApACkALABcAG4AIAAgACAAIABOAG8AdABTAGMAYQBsAGEAcgA/ACwAIAAgACAAIAAgAEEATgBEACgATgBPAFQAKABJAHMAVABlAHgAdAA/ACkALABDAE8AVQBOAFQAQQAoAGQAZQBsAGUAdABlACkAPgAxACkALABcAG4AIAAgACAAIABzAGMAZQBuAGEAcgBpAG8AcwAsACAAIAAgACAAIAAgAFYAUwBUAEEAQwBLACgAUwBoAGEAcABlAE0AaQBzAG0AYQB0AGMAaAA/ACwASQBzAFQAZQB4AHQAPwAsAE4AbwB0AFMAYwBhAGwAYQByAD8AKQAsAFwAbgBcAG4AIAAgACAAIAAvAC8AIABFAHIAcgBvAHIAcwBcAG4AIAAgACAAIABoAGEAbAB0ACwAIAAgACAAIAAgACAAIAAgACAAIAAgAE8AUgAoAHMAYwBlAG4AYQByAGkAbwBzACkALABcAG4AIAAgACAAIABlAHIAcgBvAHIAcwAsACAAIAAgACAAIAAgACAAIAAgAHsAXAAiACMARABJAE0ARQBOAFMASQBPAE4AUwAhAFwAIgA7AFwAIgAjAFQARQBYAFQAIQBcACIAOwBcACIAIwBTAEMAQQBMAEEAUgAhAFwAIgB9ACwAXABuACAAIAAgACAAYQBsAGUAcgB0ACwAIAAgACAAIAAgACAAIAAgACAAIABBAFIAUgBBAFkAVABPAFQARQBYAFQAKABGAEkATABUAEUAUgAoAGUAcgByAG8AcgBzACwAcwBjAGUAbgBhAHIAaQBvAHMALAAwACkAKQAsAFwAbgBcAG4AIAAgACAAIAAvAC8AIABMAG8AZwBpAGMAIABnAGEAdABlAFwAbgAgACAAIAAgAEkARgAoAE8AbgBlAFMAdQBiAEcAcgBvAHUAcAA/ACwARABpAHMAYwBhAHIAZAAsAFwAbgAgACAAIAAgAEkARgAoAGgAYQBsAHQALABhAGwAZQByAHQALABcAG4ATABFAFQAKABcAG4AIAAgACAAIAAvAC8AIABQAG8AcwBpAHQAaQB2AGUAIAA9ACAAbABlAGYAdAAgAHQAcgBpAG0ALAAgAE4AZQBnAGEAdABpAHYAZQAgAD0AIAByAGkAZwBoAHQAIAB0AHIAaQBtAFwAbgAgACAAIAAgAHMALAAgACAAIAAgACAAIAAgACAAIAAgACAAIAAgACAAUwBJAEcATgAoAGQAZQBsAGUAdABlACkALABcAG4AXABuACAAIAAgACAALwAvACAASQBuAGQAaQBjAGUAcwBcAG4AIAAgACAAIABhAHMAYwBlAG4AZAAsACAAIAAgACAAIAAgACAAIAAgAFMAdAByAGUAYQBrALsDKABhAHQAXwBlAGEAYwBoAF8AYwBoAGEAbgBnAGUALABUAFIAVQBFACkALABcAG4AIAAgACAAIABkAGUAcwBjAGUAbgBkACwAIAAgACAAIAAgACAAIAAgAEMAbwB1AG4AdABkAG8AdwBuALsDKABhAHQAXwBlAGEAYwBoAF8AYwBoAGEAbgBnAGUALABUAFIAVQBFACkALABcAG4AIAAgACAAIABkAGUAbABlAHQAZQAsACAAIAAgACAAIAAgACAAIAAgAEEAQgBTACgAZABlAGwAZQB0AGUAKQAsAFwAbgBcAG4AIAAgACAAIAAvAC8AIABTAGUAbABlAGMAdAAgAGkAbgBkAGUAeABcAG4AIAAgACAAIABpAGQAeAAsACAAIAAgACAAIAAgACAAIAAgACAAIAAgAEkARgAoAHMAPQAtADEALABkAGUAcwBjAGUAbgBkACwAYQBzAGMAZQBuAGQAKQAsAFwAbgBcAG4AIAAgACAAIAAvAC8AIABFAHgAYwBsAHUAZABlACAAaQBuAHQAZQBnAGUAcgBzACAAZgByAG8AbQAgAGkAbgBkAGUAeABcAG4AIAAgACAAIABiAG8AbwBsACwAIAAgACAAIAAgACAAIAAgACAAIAAgAE4ATwBUACgAaQBkAHgAIAA8AD0AIABkAGUAbABlAHQAZQApACwAXABuAFwAbgAgACAAIAAgAC8ALwAgAEEAcABwAGwAeQAgAGYAaQBsAHQAZQByACAAYwBvAGwAdQBtAG4AESB3AGkAcwBlAFwAbgAgACAAIAAgAGYAaQBuAGEAbAAsACAAIAAgACAAIAAgACAAIAAgACAARgBJAEwAVABFAFIAKABhAHIAcgBhAHkALABiAG8AbwBsACkALABcAG4AIAAgACAAIABmAGkAbgBhAGwAXABuACkAKQApACkAXABuACkAOwBcAG4AXABuAC8ALwAtAC0ALQAgAFIAZQB0AGEAaQBuAG0AZQBuAHQALQBiAGEAcwBlAGQAIABmAHUAbgBjAHQAaQBvAG4AcwAgAC0ALQBcAG4AXABuAC8ALwAtAC0ALQAtAC0ALQAtAC0ALQAtAC0ALQAtAC0ALQAtAC0ALQAtAC0ALQAtAC0ALQAtAC0ALQAtAC0ALQAtAC0ALQAtAC0ALQAtAC0ALQAtAC0ALQAtAC0ALQAtAC0ALQAtAC0ALQAtAC0ALQAtAC0ALQAtAC0ALQAtAC0ALQAtAC0ALQAtAC0ALQAtAC0ALQAtAC0ALQAtAC0ALQAtAC0ALQAtAC0AXABuAC8ALwAtAC0ALQAgAEsAZQBlAHAAUgBvAHcAcwC7AyAALQAtAC0AXABuAC8ALwAtAC0ALQAtAC0ALQAtAC0ALQAtAC0ALQAtAC0ALQAtAC0ALQAtAC0ALQAtAC0ALQAtAC0ALQAtAC0ALQAtAC0ALQAtAC0ALQAtAC0ALQAtAC0ALQAtAC0ALQAtAC0ALQAtAC0ALQAtAC0ALQAtAC0ALQAtAC0ALQAtAC0ALQAtAC0ALQAtAC0ALQAtAC0ALQAtAC0ALQAtAC0ALQAtAC0ALQAtAC0AXABuAFwAbgAvAC8AIABEAGUAcwBjAHIAaQBwAHQAaQBvAG4AOgBcAG4ALwAvACAAIAAgAFIAZQB0AGEAaQBuACAAYwBvAGwAdQBtAG4AcwAgAGYAcgBvAG0AIABhACAAMgBEACAAYQByAHIAYQB5ACAAYgBhAHMAZQBkACAAbwBuACAAcwB1AGIAZwByAG8AdQBwACAAcgB1AG4AcwAuAFwAbgAvAC8AIAAgACAAUABvAHMAaQB0AGkAdgBlACAAawBlAGUAcAAgAHIAZQB0AGEAaQBuAHMAIABmAHIAbwBtACAAdABoAGUAIABsAGUAZgB0ACAAbwBmACAAZQBhAGMAaAAgAHIAdQBuACwAXABuAC8ALwAgACAAIABOAGUAZwBhAHQAaQB2AGUAIABrAGUAZQBwACAAcgBlAHQAYQBpAG4AcwAgAGYAcgBvAG0AIAB0AGgAZQAgAHIAaQBnAGgAdAAgAG8AZgAgAGUAYQBjAGgAIAByAHUAbgAuAFwAbgAvAC8AXABuAC8ALwAgAFAAYQByAGEAbQBlAHQAZQByAHMAOgBcAG4ALwAvACAAIAAgAGEAcgByAGEAeQAgACAAIAAgACAAIAAgACAAIAAgAC0AIAAyAEQAIABhAHIAcgBhAHkALgBcAG4ALwAvACAAIAAgAGsAZQBlAHAAIAAgACAAIAAgACAAIAAgACAAIAAgAC0AIABTAGMAYQBsAGEAcgAgAGkAbgB0AGUAZwBlAHIAIAAoAHAAbwBzAGkAdABpAHYAZQAgAD0AIABsAGUAZgB0ACwAIABuAGUAZwBhAHQAaQB2AGUAIAA9ACAAcgBpAGcAaAB0ACkALgBcAG4ALwAvACAAIAAgAGEAdABfAGUAYQBjAGgAXwBjAGgAYQBuAGcAZQAgAC0AIABTAHUAYgBnAHIAbwB1AHAAIABsAGEAYgBlAGwAcwAgACgAcwBhAG0AZQAgAHMAaABhAHAAZQAgAGEAcwAgAGEAcgByAGEAeQAZIHMAIABjAG8AbAB1AG0AbgBzACkALgBcAG4ALwAvAFwAbgAvAC8AIABMAGEAbQBiAGQAYQBzACAAYwBhAGwAbABlAGQAOgBcAG4ALwAvACAAIAAgAFMAdAByAGUAYQBrALsDXABuAC8ALwAgACAAIABDAG8AdQBuAHQAZABvAHcAbgC7A1wAbgBcAG4AXABuAEsAZQBlAHAAUgBvAHcAcwC7AyAAPQBcAG4ATABBAE0AQgBEAEEAKABcAG4AIAAgACAAIABhAHIAcgBhAHkALAAgAGsAZQBlAHAALAAgAGEAdABfAGUAYQBjAGgAXwBjAGgAYQBuAGcAZQAsAFwAbgBMAEUAVAAoAFwAbgAgACAAIAAgAC8ALwAgAEgAYQBsAHQAaQBuAGcAIABzAGMAZQBuAGEAcgBpAG8AcwBcAG4AIAAgACAAIABPAG4AZQBTAHUAYgBHAHIAbwB1AHAAPwAsACAAIAAgAEMATwBVAE4AVABBACgAVQBOAEkAUQBVAEUAKABhAHQAXwBlAGEAYwBoAF8AYwBoAGEAbgBnAGUAKQApAD0AMQAsAFwAbgAgACAAIAAgAEQAaQBzAGMAYQByAGQALAAgACAAIAAgACAAIAAgACAARABSAE8AUAAoAGEAcgByAGEAeQAsAGsAZQBlAHAAKQAsAFwAbgAgACAAIAAgAFMAaABhAHAAZQBNAGkAcwBtAGEAdABjAGgAPwAsACAATwBSACgAUgBPAFcAUwAoAGEAcgByAGEAeQApADwAPgBSAE8AVwBTACgAYQB0AF8AZQBhAGMAaABfAGMAaABhAG4AZwBlACkAKQAsAFwAbgAgACAAIAAgAEkAcwBUAGUAeAB0AD8ALAAgACAAIAAgACAAIAAgACAATwBSACgASQBTAFQARQBYAFQAKABrAGUAZQBwACkAKQAsAFwAbgAgACAAIAAgAE4AbwB0AFMAYwBhAGwAYQByAD8ALAAgACAAIAAgACAAQQBOAEQAKABOAE8AVAAoAEkAcwBUAGUAeAB0AD8AKQAsAEMATwBVAE4AVABBACgAawBlAGUAcAApAD4AMQApACwAXABuACAAIAAgACAAcwBjAGUAbgBhAHIAaQBvAHMALAAgACAAIAAgACAAIABWAFMAVABBAEMASwAoAFMAaABhAHAAZQBNAGkAcwBtAGEAdABjAGgAPwAsAEkAcwBUAGUAeAB0AD8ALABOAG8AdABTAGMAYQBsAGEAcgA/ACkALABcAG4AXABuACAAIAAgACAALwAvACAARQByAHIAbwByAHMAXABuACAAIAAgACAAaABhAGwAdAAsACAAIAAgACAAIAAgACAAIAAgACAAIABPAFIAKABzAGMAZQBuAGEAcgBpAG8AcwApACwAXABuACAAIAAgACAAZQByAHIAbwByAHMALAAgACAAIAAgACAAIAAgACAAIAB7AFwAIgAjAEQASQBNAEUATgBTAEkATwBOAFMAIQBcACIAOwBcACIAIwBUAEUAWABUACEAXAAiADsAXAAiACMAUwBDAEEATABBAFIAIQBcACIAfQAsAFwAbgAgACAAIAAgAGEAbABlAHIAdAAsACAAIAAgACAAIAAgACAAIAAgACAAQQBSAFIAQQBZAFQATwBUAEUAWABUACgARgBJAEwAVABFAFIAKABlAHIAcgBvAHIAcwAsAHMAYwBlAG4AYQByAGkAbwBzACwAMAApACkALABcAG4AXABuACAAIAAgACAALwAvACAATABvAGcAaQBjACAAZwBhAHQAZQBcAG4AIAAgACAAIABJAEYAKABPAG4AZQBTAHUAYgBHAHIAbwB1AHAAPwAsAEQAaQBzAGMAYQByAGQALABcAG4AIAAgACAAIABJAEYAKABoAGEAbAB0ACwAYQBsAGUAcgB0ACwAXABuAEwARQBUACgAXABuACAAIAAgACAALwAvACAAUABvAHMAaQB0AGkAdgBlACAALQAgAHQAbwBwACAAbwBmACAAcwB1AGIAZwByAG8AdQBwACAALQAgAE4AZQBnAGEAdABpAHYAZQAgAC0AIABiAG8AdAB0AG8AbQAgAG8AZgAgAHMAdQBiAGcAcgBvAHUAcABcAG4AIAAgACAAIABzACwAIAAgACAAIAAgACAAIAAgACAAIAAgACAAIAAgAFMASQBHAE4AKABrAGUAZQBwACkALABcAG4AIAAgACAAIABcAG4AIAAgACAAIAAvAC8AIABJAG4AZABpAGMAZQBzAFwAbgAgACAAIAAgAGEAcwBjAGUAbgBkACwAIAAgACAAIAAgACAAIAAgACAAUwB0AHIAZQBhAGsAuwMoAGEAdABfAGUAYQBjAGgAXwBjAGgAYQBuAGcAZQApACwAXABuACAAIAAgACAAZABlAHMAYwBlAG4AZAAsACAAIAAgACAAIAAgACAAIABDAG8AdQBuAHQAZABvAHcAbgC7AygAYQB0AF8AZQBhAGMAaABfAGMAaABhAG4AZwBlACkALABcAG4AIAAgACAAIABrAGUAZQBwACwAIAAgACAAIAAgACAAIAAgACAAIAAgAEEAQgBTACgAawBlAGUAcAApACwAXABuACAAIAAgACAAXABuACAAIAAgACAALwAvAFMAZQBsAGUAYwB0ACAAaQBuAGQAZQB4AFwAbgAgACAAIAAgAGkAZAB4ACwAIAAgACAAIAAgACAAIAAgACAAIAAgACAASQBGACgAcwA9ACAALQAxACwAIABkAGUAcwBjAGUAbgBkACwAYQBzAGMAZQBuAGQAKQAsAFwAbgAgACAAIAAgAFwAbgAgACAAIAAgAC8ALwBJAG4AYwBsAHUAZABlACAAaQBuAHQAZQBnAGUAcgBzACAAZgByAG8AbQAgAGkAbgBkAGUAeABcAG4AIAAgACAAIABiAG8AbwBsACwAIAAgACAAIAAgACAAIAAgACAAIAAgAGkAZAB4ACAAPAA9ACAAawBlAGUAcAAsAFwAbgBcAG4AIAAgACAAIABmAGkAbgBhAGwALAAgACAAIAAgACAAIAAgACAAIAAgAEYASQBMAFQARQBSACgAYQByAHIAYQB5ACwAYgBvAG8AbAApACwAXABuACAAIAAgACAAZgBpAG4AYQBsAFwAbgApACkAKQApACkAOwBcAG4AXABuAC8ALwAtAC0ALQAtAC0ALQAtAC0ALQAtAC0ALQAtAC0ALQAtAC0ALQAtAC0ALQAtAC0ALQAtAC0ALQAtAC0ALQAtAC0ALQAtAC0ALQAtAC0ALQAtAC0ALQAtAC0ALQAtAC0ALQAtAC0ALQAtAC0ALQAtAC0ALQAtAC0ALQAtAC0ALQAtAC0ALQAtAC0ALQAtAC0ALQAtAC0ALQAtAC0ALQAtAC0ALQAtAC0AXABuAC8ALwAtAC0ALQAgAEsAZQBlAHAAQwBvAGwAcwC7AyAALQAtAC0AXABuAC8ALwAtAC0ALQAtAC0ALQAtAC0ALQAtAC0ALQAtAC0ALQAtAC0ALQAtAC0ALQAtAC0ALQAtAC0ALQAtAC0ALQAtAC0ALQAtAC0ALQAtAC0ALQAtAC0ALQAtAC0ALQAtAC0ALQAtAC0ALQAtAC0ALQAtAC0ALQAtAC0ALQAtAC0ALQAtAC0ALQAtAC0ALQAtAC0ALQAtAC0ALQAtAC0ALQAtAC0ALQAtAC0AXABuAFwAbgAvAC8AIABEAGUAcwBjAHIAaQBwAHQAaQBvAG4AOgBcAG4ALwAvACAAIAAgAFIAZQB0AGEAaQBuACAAYwBvAGwAdQBtAG4AcwAgAGYAcgBvAG0AIABhACAAMgBEACAAYQByAHIAYQB5ACAAYgBhAHMAZQBkACAAbwBuACAAcwB1AGIAZwByAG8AdQBwACAAcgB1AG4AcwAuAFwAbgAvAC8AIAAgACAAUABvAHMAaQB0AGkAdgBlACAAawBlAGUAcAAgAHIAZQB0AGEAaQBuAHMAIABmAHIAbwBtACAAdABoAGUAIABsAGUAZgB0ACAAbwBmACAAZQBhAGMAaAAgAHIAdQBuACwAXABuAC8ALwAgACAAIABOAGUAZwBhAHQAaQB2AGUAIABrAGUAZQBwACAAcgBlAHQAYQBpAG4AcwAgAGYAcgBvAG0AIAB0AGgAZQAgAHIAaQBnAGgAdAAgAG8AZgAgAGUAYQBjAGgAIAByAHUAbgAuAFwAbgAvAC8AXABuAC8ALwAgAFAAYQByAGEAbQBlAHQAZQByAHMAOgBcAG4ALwAvACAAIAAgAGEAcgByAGEAeQAgACAAIAAgACAAIAAgACAAIAAgAC0AIAAyAEQAIABhAHIAcgBhAHkALgBcAG4ALwAvACAAIAAgAGsAZQBlAHAAIAAgACAAIAAgACAAIAAgACAAIAAgAC0AIABTAGMAYQBsAGEAcgAgAGkAbgB0AGUAZwBlAHIAIAAoAHAAbwBzAGkAdABpAHYAZQAgAD0AIABsAGUAZgB0ACwAIABuAGUAZwBhAHQAaQB2AGUAIAA9ACAAcgBpAGcAaAB0ACkALgBcAG4ALwAvACAAIAAgAGEAdABfAGUAYQBjAGgAXwBjAGgAYQBuAGcAZQAgAC0AIABTAHUAYgBnAHIAbwB1AHAAIABsAGEAYgBlAGwAcwAgACgAcwBhAG0AZQAgAHMAaABhAHAAZQAgAGEAcwAgAGEAcgByAGEAeQAZIHMAIABjAG8AbAB1AG0AbgBzACkALgBcAG4ALwAvAFwAbgAvAC8AIABMAGEAbQBiAGQAYQBzACAAYwBhAGwAbABlAGQAOgBcAG4ALwAvACAAIAAgAFMAdAByAGUAYQBrALsDXABuAC8ALwAgACAAIABDAG8AdQBuAHQAZABvAHcAbgC7A1wAbgBcAG4ASwBlAGUAcABDAG8AbABzALsDIAA9AFwAbgBMAEEATQBCAEQAQQAoAFwAbgAgACAAIAAgAGEAcgByAGEAeQAsACAAawBlAGUAcAAsACAAYQB0AF8AZQBhAGMAaABfAGMAaABhAG4AZwBlACwAXABuAEwARQBUACgAXABuACAAIAAgACAALwAvACAASABhAGwAdABpAG4AZwAgAHMAYwBlAG4AYQByAGkAbwBzAFwAbgAgACAAIAAgAE8AbgBlAFMAdQBiAEcAcgBvAHUAcAA/ACwAIAAgACAAQwBPAFUATgBUAEEAKABVAE4ASQBRAFUARQAoAGEAdABfAGUAYQBjAGgAXwBjAGgAYQBuAGcAZQAsADEAKQApAD0AMQAsAFwAbgAgACAAIAAgAEQAaQBzAGMAYQByAGQALAAgACAAIAAgACAAIAAgACAARABSAE8AUAAoAGEAcgByAGEAeQAsACwAawBlAGUAcAApACwAXABuACAAIAAgACAAUwBoAGEAcABlAE0AaQBzAG0AYQB0AGMAaAA/ACwAIABPAFIAKABDAE8ATABVAE0ATgBTACgAYQByAHIAYQB5ACkAPAA+AEMATwBMAFUATQBOAFMAKABhAHQAXwBlAGEAYwBoAF8AYwBoAGEAbgBnAGUAKQApACwAXABuACAAIAAgACAASQBzAFQAZQB4AHQAPwAsACAAIAAgACAAIAAgACAAIABPAFIAKABJAFMAVABFAFgAVAAoAGsAZQBlAHAAKQApACwAXABuACAAIAAgACAATgBvAHQAUwBjAGEAbABhAHIAPwAsACAAIAAgACAAIABBAE4ARAAoAE4ATwBUACgASQBzAFQAZQB4AHQAPwApACwAQwBPAFUATgBUAEEAKABrAGUAZQBwACkAPgAxACkALABcAG4AIAAgACAAIABzAGMAZQBuAGEAcgBpAG8AcwAsACAAIAAgACAAIAAgAFYAUwBUAEEAQwBLACgAUwBoAGEAcABlAE0AaQBzAG0AYQB0AGMAaAA/ACwASQBzAFQAZQB4AHQAPwAsAE4AbwB0AFMAYwBhAGwAYQByAD8AKQAsAFwAbgBcAG4AIAAgACAAIAAvAC8AIABFAHIAcgBvAHIAcwBcAG4AIAAgACAAIABoAGEAbAB0ACwAIAAgACAAIAAgACAAIAAgACAAIAAgAE8AUgAoAHMAYwBlAG4AYQByAGkAbwBzACkALABcAG4AIAAgACAAIABlAHIAcgBvAHIAcwAsACAAIAAgACAAIAAgACAAIAAgAHsAXAAiACMARABJAE0ARQBOAFMASQBPAE4AUwAhAFwAIgA7AFwAIgAjAFQARQBYAFQAIQBcACIAOwBcACIAIwBTAEMAQQBMAEEAUgAhAFwAIgB9ACwAXABuACAAIAAgACAAYQBsAGUAcgB0ACwAIAAgACAAIAAgACAAIAAgACAAIABBAFIAUgBBAFkAVABPAFQARQBYAFQAKABGAEkATABUAEUAUgAoAGUAcgByAG8AcgBzACwAcwBjAGUAbgBhAHIAaQBvAHMALAAwACkAKQAsAFwAbgBcAG4AIAAgACAAIAAvAC8AIABMAG8AZwBpAGMAIABnAGEAdABlAFwAbgAgACAAIAAgAEkARgAoAE8AbgBlAFMAdQBiAEcAcgBvAHUAcAA/ACwARABpAHMAYwBhAHIAZAAsAFwAbgAgACAAIAAgAEkARgAoAGgAYQBsAHQALABhAGwAZQByAHQALABcAG4ATABFAFQAKABcAG4AIAAgACAAIAAvAC8AIABQAG8AcwBpAHQAaQB2AGUAIAA9ACAAbABlAGYAdAAgAHQAcgBpAG0ALAAgAE4AZQBnAGEAdABpAHYAZQAgAD0AIAByAGkAZwBoAHQAIAB0AHIAaQBtAFwAbgAgACAAIAAgAHMALAAgACAAIAAgACAAIAAgACAAIAAgACAAIAAgACAAUwBJAEcATgAoAGsAZQBlAHAAKQAsAFwAbgBcAG4AIAAgACAAIAAvAC8AIABJAG4AZABpAGMAZQBzAFwAbgAgACAAIAAgAGEAcwBjAGUAbgBkACwAIAAgACAAIAAgACAAIAAgACAAUwB0AHIAZQBhAGsAuwMoAGEAdABfAGUAYQBjAGgAXwBjAGgAYQBuAGcAZQAsAFQAUgBVAEUAKQAsAFwAbgAgACAAIAAgAGQAZQBzAGMAZQBuAGQALAAgACAAIAAgACAAIAAgACAAQwBvAHUAbgB0AGQAbwB3AG4AuwMoAGEAdABfAGUAYQBjAGgAXwBjAGgAYQBuAGcAZQAsAFQAUgBVAEUAKQAsAFwAbgAgACAAIAAgAGsAZQBlAHAALAAgACAAIAAgACAAIAAgACAAIAAgACAAQQBCAFMAKABrAGUAZQBwACkALABcAG4AXABuACAAIAAgACAALwAvACAAUwBlAGwAZQBjAHQAIABpAG4AZABlAHgAXABuACAAIAAgACAAaQBkAHgALAAgACAAIAAgACAAIAAgACAAIAAgACAAIABJAEYAKABzAD0ALQAxACwAZABlAHMAYwBlAG4AZAAsAGEAcwBjAGUAbgBkACkALABcAG4AXABuACAAIAAgACAALwAvACAASQBuAGMAbAB1AGQAZQAgAGkAbgB0AGUAZwBlAHIAcwAgAGYAcgBvAG0AIABpAG4AZABlAHgAXABuACAAIAAgACAAYgBvAG8AbAAsACAAIAAgACAAIAAgACAAIAAgACAAIABpAGQAeAAgADwAPQAgAGsAZQBlAHAALABcAG4AXABuACAAIAAgACAALwAvACAAQQBwAHAAbAB5ACAAZgBpAGwAdABlAHIAIABjAG8AbAB1AG0AbgARIHcAaQBzAGUAXABuACAAIAAgACAAZgBpAG4AYQBsACwAIAAgACAAIAAgACAAIAAgACAAIABGAEkATABUAEUAUgAoAGEAcgByAGEAeQAsAGIAbwBvAGwAKQAsAFwAbgAgACAAIAAgAGYAaQBuAGEAbABcAG4AKQApACkAKQApADsAXABuAFwAbgBcAG4AXABuAFwAbgBcAG4ALwAvAC0ALQAtACAATABhAG0AYgBkAGEAIABoAGUAbABwAGUAcgBzACAAZgBvAHIAIABnAGUAbgBlAHIAYQB0AGkAbgBnACAAaQBuAGQAaQBjAGUAcwAgAC0ALQAtAFwAbgBcAG4ALwAvAC0ALQAtAC0ALQAtAC0ALQAtAC0ALQAtAC0ALQAtAC0ALQAtAC0ALQAtAC0ALQAtAC0ALQAtAC0ALQAtAC0ALQAtAC0ALQAtAC0ALQAtAC0ALQAtAC0ALQAtAC0ALQAtAC0ALQAtAC0ALQAtAC0ALQAtAC0ALQAtAC0ALQAtAC0ALQAtAC0ALQAtAC0ALQAtAC0ALQAtAC0ALQAtAC0ALQAtAC0ALQBcAG4ALwAvAC0ALQAtACAAQwBvAHUAbgB0AGQAbwB3AG4AuwMgAC0ALQAtAFwAbgAvAC8ALQAtAC0ALQAtAC0ALQAtAC0ALQAtAC0ALQAtAC0ALQAtAC0ALQAtAC0ALQAtAC0ALQAtAC0ALQAtAC0ALQAtAC0ALQAtAC0ALQAtAC0ALQAtAC0ALQAtAC0ALQAtAC0ALQAtAC0ALQAtAC0ALQAtAC0ALQAtAC0ALQAtAC0ALQAtAC0ALQAtAC0ALQAtAC0ALQAtAC0ALQAtAC0ALQAtAC0ALQAtAFwAbgBcAG4ALwAvACAARABlAHMAYwByAGkAcAB0AGkAbwBuADoAXABuAC8ALwAgACAAIABHAGUAbgBlAHIAYQB0AGUAIABjAG8AdQBuAHQAZABvAHcAbgAgAGkAbgBkAGkAYwBlAHMAIABmAG8AcgAgAGMAbwBuAHQAaQBnAHUAbwB1AHMAIAByAHUAbgBzACAAaQBuACAAYQAgADEARAAgAGEAcgByAGEAeQAuAFwAbgAvAC8AIAAgACAARQBhAGMAaAAgAHIAdQBuACAAYwBvAHUAbgB0AHMAIABkAG8AdwBuACAAZgByAG8AbQAgAGkAdABzACAAbABlAG4AZwB0AGgAIAB0AG8AIAAxAC4AXABuAC8ALwBcAG4ALwAvACAAUABhAHIAYQBtAGUAdABlAHIAcwA6AFwAbgAvAC8AIAAgACAAYQByAHIAYQB5ACAAIAAgACAAIAAgACAAIAAgACAAIAAgACAALQAgADEARAAgAEEAcgByAGEAeQBcAG4ALwAvAFwAbgAvAC8AIABPAHAAdABpAG8AbgBhAGwAIABQAGEAcgBhAG0AZQB0AGUAcgBzADoAXABuAC8ALwAgACAAIABbAEgAbwByAGkAegBvAG4AdABhAGwAPwBdACAAIAAgACAAIAAtACAAQwBhAGwAYwB1AGwAYQB0AGUAIABjAG8AdQBuAHQAcwAgAGMAbwBsAHUAbQBuABEgdwBpAHMAZQAgAGkAbgBzAHQAZQBhAGQAIABvAGYAIAByAG8AdwARIHcAaQBzAGUALgBcAG4AXABuAEMAbwB1AG4AdABkAG8AdwBuALsDPQBcAG4ATABBAE0AQgBEAEEAKABcAG4AIAAgACAAIAB2AGUAYwB0AG8AcgAsAFwAbgAgACAAIAAgAFsASQBzAEgAbwByAGkAegBvAG4AdABhAGwAPwBdACwAXABuAEwARQBUACgAXABuACAAIAAgACAALwAvAEYAbABhAHQAdABlAG4AIAB2AGUAcgB0AGkAYwBhAGwAbAB5AFwAbgAgACAAIAAgAHYAZQBjAHQAbwByACwAIAAgACAAIAAgAFQATwBDAE8ATAAoAHYAZQBjAHQAbwByACkALABcAG4AXABuACAAIAAgACAALwAvAFYAZQByAHQAaQBjAGEAbAAgAHIAZQB0AHUAcgBuACAAaQBmACAAbwBwAHQAaQBvAG4AYQBsACAAcABhAHIAYQBtAGUAdABlAHIAIABzAGsAaQBwAHAAZQBkAFwAbgAgACAAIAAgAEkAcwBWAGUAcgB0AGkAYwBhAGwAPwAsAEkAUwBPAE0ASQBUAFQARQBEACgASQBzAEgAbwByAGkAegBvAG4AdABhAGwAPwApACwAXABuAFwAbgAgACAAIAAgAC8ALwBDAGgAYQBuAGcAZQAgAHAAbwBpAG4AdABzAFwAbgAgACAAIAAgAGMAaABlAGMAawAsACAAIAAgACAAIAAgAHYAZQBjAHQAbwByADwAPgBWAFMAVABBAEMASwAoADAALABEAFIATwBQACgAdgBlAGMAdABvAHIALAAtADEAKQApACwAXABuACAAIAAgACAAYwBoAGEAbgBnAGUALAAgACAAIAAgACAAUwBDAEEATgAoADAALAAtAC0AYwBoAGUAYwBrACwAUwBVAE0AKQAsAFwAbgAgACAAIAAgAGkALAAgACAAIAAgACAAIAAgACAAIAAgAFUATgBJAFEAVQBFACgAYwBoAGEAbgBnAGUAKQAsAFwAbgBcAG4AIAAgACAAIAAvAC8AQwBoAGEAbgBnAGUAIABwAG8AaQBuAHQAIAB0AG8AdABhAGwAcwBcAG4AIAAgACAAIABhAGcAZwAsACAAIAAgACAAIAAgACAAIABEAFIATwBQACgARwBSAE8AVQBQAEIAWQAoAGMAaABhAG4AZwBlACwAYwBoAGEAbgBnAGUALABDAE8AVQBOAFQAQQAsACwAMAApACwALAAxACkALABcAG4AIAAgACAAIABcAG4AIAAgACAAIABEAGUAcwBjAGUAbgBkALsDLAAgACAAIABMAEEATQBCAEQAQQAoAGEALAB2ACwAXABuACAAIAAgACAAIAAgACAAIAAgACAAIAAgACAAIAAgACAATABFAFQAKABcAG4AIAAgACAAIAAgACAAIAAgACAAIAAgACAAIAAgACAAIAAgACAAIAAgAGsALAAgACAAIAAgACAAIABAAEkATgBEAEUAWAAoAGEAZwBnACwAdgApACwAXABuACAAIAAgACAAIAAgACAAIAAgACAAIAAgACAAIAAgACAAIAAgACAAIABhAHIAcgAsACAAIAAgACAAUwBFAFEAVQBFAE4AQwBFACgAawAsACwAawAsAC0AMQApACwAXABuACAAIAAgACAAIAAgACAAIAAgACAAIAAgACAAIAAgACAAIAAgACAAIABzAHQAYQBjAGsALAAgACAAVgBTAFQAQQBDAEsAKABhACwAYQByAHIAKQAsAFwAbgAgACAAIAAgACAAIAAgACAAIAAgACAAIAAgACAAIAAgACAAIAAgACAAcwB0AGEAYwBrAFwAbgAgACAAIAAgACAAIAAgACAAIAAgACAAIAAgACAAIAAgACkAKQAsAFwAbgAgACAAIAAgAFwAbgAgACAAIAAgAGkAZAB4ACwAIAAgACAAIAAgACAAIAAgAEQAUgBPAFAAKABSAEUARABVAEMARQAoADAALABpACwARABlAHMAYwBlAG4AZAC7AykALAAxACkALABcAG4AIAAgACAAIABmAGkAbgBhAGwALAAgACAAIAAgACAAIABJAEYAKABJAHMAVgBlAHIAdABpAGMAYQBsAD8ALABpAGQAeAAsAFQAUgBBAE4AUwBQAE8AUwBFACgAaQBkAHgAKQApACwAXABuACAAIAAgACAAZgBpAG4AYQBsAFwAbgApACkAOwBcAG4AXABuAFwAbgAvAC8ALQAtAC0ALQAtAC0ALQAtAC0ALQAtAC0ALQAtAC0ALQAtAC0ALQAtAC0ALQAtAC0ALQAtAC0ALQAtAC0ALQAtAC0ALQAtAC0ALQAtAC0ALQAtAC0ALQAtAC0ALQAtAC0ALQAtAC0ALQAtAC0ALQAtAC0ALQAtAC0ALQAtAC0ALQAtAC0ALQAtAC0ALQAtAC0ALQAtAC0ALQAtAC0ALQAtAC0ALQAtAFwAbgAvAC8ALQAtAC0AIABTAHQAcgBlAGEAawC7AyAALQAtAC0AXABuAC8ALwAtAC0ALQAtAC0ALQAtAC0ALQAtAC0ALQAtAC0ALQAtAC0ALQAtAC0ALQAtAC0ALQAtAC0ALQAtAC0ALQAtAC0ALQAtAC0ALQAtAC0ALQAtAC0ALQAtAC0ALQAtAC0ALQAtAC0ALQAtAC0ALQAtAC0ALQAtAC0ALQAtAC0ALQAtAC0ALQAtAC0ALQAtAC0ALQAtAC0ALQAtAC0ALQAtAC0ALQAtAC0AXABuAFwAbgAvAC8AIABBAHUAdABoAG8AcgA6ACAAIABQAGEAdAByAGkAYwBrACAASABcAG4ALwAvACAARABhAHQAZQA6ACAAIAAgACAAMQAyAC8AMgAyAC8AMgA1AFwAbgAvAC8AIABSAGUAcABvADoAIAAgACAAIABoAHQAdABwAHMAOgAvAC8AZwBpAHQAaAB1AGIALgBjAG8AbQAvAFAAYQB0AHIAaQBjAGsAMgA3ADgAOAAvAEUAeABjAGUAbAAtAEwAYQBtAGIAZABhAC8AYgBsAG8AYgAvAG0AYQBpAG4ALwBQAGEAdAB0AGUAcgBuAHMAJQAyADAATQBvAGQAdQBsAGUALgB4AGwAcwB4AFwAbgAvAC8AIABEAGUAcwBjAHIAaQBwAHQAaQBvAG4AOgBcAG4ALwAvACAAIAAgAEMAYQBsAGMAdQBsAGEAdABlACAAcwB0AHIAZQBhAGsAcwAgAG8AZgAgAGMAbwBuAHMAZQBjAHUAdABpAHYAZQAgAHYAYQBsAHUAZQBzACAAdwBpAHQAaABpAG4AIAAxAEQAIABvAHIAIAAyAEQAIABhAHIAcgBhAHkAcwAuAFwAbgAvAC8AXABuAC8ALwAgAFAAYQByAGEAbQBlAHQAZQByAHMAOgBcAG4ALwAvACAAIAAgAGEAcgByAGEAeQAgACAAIAAgACAAIAAgACAAIAAgACAAIAAgAC0AIABBAHIAcgBhAHkAIAAoADEARAAgAG8AcgAgADIARAApAC4AXABuAC8ALwBcAG4ALwAvACAATwBwAHQAaQBvAG4AYQBsACAAUABhAHIAYQBtAGUAdABlAHIAcwA6AFwAbgAvAC8AIAAgACAAWwBIAG8AcgBpAHoAbwBuAHQAYQBsAD8AXQAgACAAIAAgACAALQAgAEYAbwByACAAMQBEACAAYQByAHIAYQB5AHMALAAgAGMAYQBsAGMAdQBsAGEAdABlACAAcwB0AHIAZQBhAGsAcwAgAGMAbwBsAHUAbQBuABEgdwBpAHMAZQAgAGkAbgBzAHQAZQBhAGQAIABvAGYAIAByAG8AdwARIHcAaQBzAGUALgBcAG4ALwAvACAAIAAgAFsASQBuAGMAbAB1AGQAZQBfAFMAeQBtAGIAbwBsAD8AXQAgAC0AIABUAFIAVQBFACAAdABvACAAaQBuAGMAbAB1AGQAZQAgAHQAaABlACAAcwB5AG0AYgBvAGwAIAB3AGkAdABoACAAcwB0AHIAZQBhAGsAIABjAG8AdQBuAHQAcwAgACgAZQAuAGcALgAsACAAVwC3ADEALAAgAFcAtwAyACwAIABMALcAMQApAC4AXABuAFwAbgBTAHQAcgBlAGEAawC7Az0AXABuAEwAQQBNAEIARABBACgAXABuACAAIAAgACAAYQByAHIAYQB5ACwAWwBIAG8AcgBpAHoAbwBuAHQAYQBsAD8AXQAsAFsASQBuAGMAbAB1AGQAZQBfAFMAeQBtAGIAbwBsAD8AXQAsAFwAbgBcAG4ALwAvACAASABhAG4AZABsAGUAIABzAGMAYQBsAGEAcgAgAGkAbgBwAHUAdABcAG4ASQBGACgAQQBOAEQAKABSAE8AVwBTACgAYQByAHIAYQB5ACkAPQAxACwAQwBPAEwAVQBNAE4AUwAoAGEAcgByAGEAeQApAD0AMQApACwAYQByAHIAYQB5ACwAXABuAEwARQBUACgAXABuACAAIAAgACAALwAvAEQAaQBtAGUAbgBzAGkAbwBuAHMAXABuACAAIAAgACAAaQAsACAAIAAgACAAIAAgAFIATwBXAFMAKABhAHIAcgBhAHkAKQAsACAAIAAgACAAIABqACwAQwBPAEwAVQBNAE4AUwAoAGEAcgByAGEAeQApACwAXABuACAAIAAgACAASQBzADIARAA/ACwAIAAgAEEATgBEACgAaQA+ADEALABqAD4AMQApACwAXABuAFwAbgAgACAAIAAgAC8ALwBGAGwAYQB0AHQAZQBuACAAaQBmACAAMgBEACAAYQByAHIAYQB5AFwAbgAgACAAIAAgAGEAcgByAGEAeQAsACAAIABJAEYAKABJAHMAMgBEAD8ALABUAE8AQwBPAEwAKABhAHIAcgBhAHkAKQAsAGEAcgByAGEAeQApACwAXABuAFwAbgAgACAAIAAgAC8ALwBEAGkAcgBlAGMAdABpAG8AbgAgAGYAbwByACAAcwB0AGEAYwBrAGkAbgBnAFwAbgAgACAAIAAgAE4AbwBEAGkAcgA/ACwAIABJAFMATwBNAEkAVABUAEUARAAoAEgAbwByAGkAegBvAG4AdABhAGwAPwApACwAXABuACAAIAAgACAAZgBuACwAIAAgACAAIAAgAEkARgAoAE4AbwBEAGkAcgA/ACwAVgBTAFQAQQBDAEsALABIAFMAVABBAEMASwApACwAXABuAFwAbgAgACAAIAAgAC8ALwBCAHUAaQBsAGQAIAB0AHIAdQBlAC8AZgBhAGwAcwBlACAAYQByAHIAYQB5ACAAZgBvAHIAIABzAHQAcgBlAGEAawAgAGQAZQB0AGUAYwB0AGkAbwBuAFwAbgAgACAAIAAgAGsAZQBwAHQALAAgACAAIABJAEYAKABOAG8ARABpAHIAPwAsAEQAUgBPAFAAKABhAHIAcgBhAHkALAAtADEAKQAsAEQAUgBPAFAAKABhAHIAcgBhAHkALAAsAC0AMQApACkALABcAG4AIAAgACAAIABiAG8AbwBsACwAIAAgACAAYQByAHIAYQB5AD0AZgBuACgAXAAiAG8AbQBpAHQAXAAiACwAawBlAHAAdAApACwAXABuAFwAbgAgACAAIAAgAC8ALwBBAGMAYwB1AG0AdQBsAGEAdABlACAAcwB0AHIAZQBhAGsAIABjAG8AdQBuAHQAcwBcAG4AIAAgACAAIABhAGMAYwAsACAAIAAgACAAUwBDAEEATgAoADAALABiAG8AbwBsACwATABBAE0AQgBEAEEAKABhACwAdgAsAEkARgAoAGEAPQAwACwAMQAsAEkARgAoAHYALABhACsAMQAsADEAKQApACkAKQAsAFwAbgBcAG4AIAAgACAAIAAvAC8ATwBwAHQAaQBvAG4AYQBsAGwAeQAgAGkAbgBjAGwAdQBkAGUAIABzAHkAbQBiAG8AbAAgAHcAaQB0AGgAIABzAHQAcgBlAGEAawAgAGMAbwB1AG4AdABzAFwAbgAgACAAIAAgAHIAZQBzAHUAbAB0ACwAIABJAEYAKABJAFMATwBNAEkAVABUAEUARAAoAEkAbgBjAGwAdQBkAGUAXwBTAHkAbQBiAG8AbAA/ACkALABhAGMAYwAsAFwAbgAgACAAIAAgACAAIAAgACAAIAAgACAAIAAgACAAIAAgACAAIAAgACAAIAAgACAAIAAgACAAIAAgACAAIAAgACAAIAAgACAAIAAgACAAIAAgACAAIABhAHIAcgBhAHkAJgBVAE4ASQBDAEgAQQBSACgAMQA4ADMAKQAmAGEAYwBjACkALABcAG4AIAAgACAAIABcAG4AIAAgACAAIAAvAC8AVwByAGEAcAAgAHIAZQBzAHUAbAB0ACAAYgBhAGMAawAgAHQAbwAgADIARAAgAGkAZgAgAG8AcgBpAGcAaQBuAGEAbAAgAGEAcgByAGEAeQAgAHcAYQBzACAAMgBEAFwAbgAgACAAIAAgAGQAZQBsAGkAdgBlAHIALABJAEYAKABJAHMAMgBEAD8ALABXAFIAQQBQAFIATwBXAFMAKAByAGUAcwB1AGwAdAAsAGoAKQAsAHIAZQBzAHUAbAB0ACkALABcAG4AXABuACAAIAAgACAAZABlAGwAaQB2AGUAcgBcAG4AKQApACkAOwBcAG4AXABuAFwAbgAvAC8ALQAtAC0AIABNAG8AZAB1AGwAZQAgAEUAbgBkAC0ALQAtAC0AXABuAFwAbgBcAG4AIgB9AF0ALAAiAHAAcgBvAGoAZQBjAHQATgBhAG0AZQBzACIAOgBbACIAUwBxAHUAZQBlAHoAZQC7AyIALAAiAEQAZQBsAGUAdABlAFcAaABlAHIAZQC7AyIALAAiAEQAZQBsAGUAdABlAFIAbwB3AHMAuwMiACwAIgBEAGUAbABlAHQAZQBDAG8AbABzALsDIgAsACIASwBlAGUAcABSAG8AdwBzALsDIgAsACIASwBlAGUAcABDAG8AbABzALsDIgAsACIAQwBvAHUAbgB0AGQAbwB3AG4AuwMiACwAIgBTAHQAcgBlAGEAawC7Ay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TQBE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==</AFEJSONBlob>
</file>

<file path=customXml/itemProps1.xml><?xml version="1.0" encoding="utf-8"?>
<ds:datastoreItem xmlns:ds="http://schemas.openxmlformats.org/officeDocument/2006/customXml" ds:itemID="{800F0461-B5BE-4C9A-9875-93573FEB42EF}">
  <ds:schemaRefs>
    <ds:schemaRef ds:uri="http://schemas.advancedformulaenvironment.officeapps.live.com/afejsonblob/1.0"/>
  </ds:schemaRefs>
</ds:datastoreItem>
</file>

<file path=docMetadata/LabelInfo.xml><?xml version="1.0" encoding="utf-8"?>
<clbl:labelList xmlns:clbl="http://schemas.microsoft.com/office/2020/mipLabelMetadata">
  <clbl:label id="{8d0d81ba-ed03-4c6f-9248-a3b3967ca35c}" enabled="0" method="" siteId="{8d0d81ba-ed03-4c6f-9248-a3b3967ca3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Introduction</vt:lpstr>
      <vt:lpstr>Rows</vt:lpstr>
      <vt:lpstr>Cols</vt:lpstr>
      <vt:lpstr>Squeeze</vt:lpstr>
      <vt:lpstr>Squeeze2</vt:lpstr>
      <vt:lpstr>DeleteWhere</vt:lpstr>
      <vt:lpstr>Countdown_Streak</vt:lpstr>
      <vt:lpstr>Errors</vt:lpstr>
      <vt:lpstr>Books</vt:lpstr>
      <vt:lpstr>Books2</vt:lpstr>
      <vt:lpstr>cities</vt:lpstr>
      <vt:lpstr>Grid</vt:lpstr>
      <vt:lpstr>Grid2</vt:lpstr>
      <vt:lpstr>region</vt:lpstr>
      <vt:lpstr>region_b</vt:lpstr>
      <vt:lpstr>RegionManagers</vt:lpstr>
      <vt:lpstr>RegionManagersB</vt:lpstr>
      <vt:lpstr>Staffing</vt:lpstr>
      <vt:lpstr>StaffingB</vt:lpstr>
      <vt:lpstr>Supervisor</vt:lpstr>
      <vt:lpstr>SupervisorB</vt:lpstr>
    </vt:vector>
  </TitlesOfParts>
  <Company>Alithya Canada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Hogan</dc:creator>
  <cp:lastModifiedBy>Patrick Hogan</cp:lastModifiedBy>
  <dcterms:created xsi:type="dcterms:W3CDTF">2025-12-28T21:34:09Z</dcterms:created>
  <dcterms:modified xsi:type="dcterms:W3CDTF">2026-01-19T16:28:31Z</dcterms:modified>
</cp:coreProperties>
</file>