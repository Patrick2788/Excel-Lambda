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edgewater-my.sharepoint.com/personal/pat_hogan_alithya_com/Documents/Documents/Custom Office Templates/"/>
    </mc:Choice>
  </mc:AlternateContent>
  <xr:revisionPtr revIDLastSave="0" documentId="13_ncr:3_{B2418998-8CE8-4E55-B301-095AAA2BEE2B}" xr6:coauthVersionLast="47" xr6:coauthVersionMax="47" xr10:uidLastSave="{00000000-0000-0000-0000-000000000000}"/>
  <bookViews>
    <workbookView xWindow="28680" yWindow="-120" windowWidth="29040" windowHeight="15720" xr2:uid="{0DDE8DA2-A148-4FB8-9A14-488A867425A4}"/>
  </bookViews>
  <sheets>
    <sheet name="Introduction" sheetId="5" r:id="rId1"/>
    <sheet name="Calculator" sheetId="1" r:id="rId2"/>
    <sheet name="Compare" sheetId="3" r:id="rId3"/>
  </sheets>
  <definedNames>
    <definedName name="MortgageCompareλ">_xlfn.LAMBDA(_xlpm.loan_amount_a,_xlpm.loan_amount_b,_xlpm.loan_term_a,_xlpm.loan_term_b,_xlpm.rate_a,_xlpm.rate_b,_xlpm.property_tax_a,_xlpm.property_tax_b,_xlop.PMI_insurance_a,_xlop.PMI_insurance_b,_xlop.other_cost_a,_xlop.other_cost_b, _xlfn.LET(_xlpm.scenario_labels, {"","Scenario A","Scenario B","Difference"}, _xlpm.summary_a, Validateλ(_xlpm.loan_amount_a, _xlpm.loan_term_a, _xlpm.rate_a, _xlpm.property_tax_a, Mortgageλ(_xlpm.loan_amount_a, _xlpm.loan_term_a, _xlpm.rate_a, _xlpm.property_tax_a, _xlpm.PMI_insurance_a, _xlpm.other_cost_a)), _xlpm.summary_b, Validateλ(_xlpm.loan_amount_b, _xlpm.loan_term_b, _xlpm.rate_b, _xlpm.property_tax_b, _xlfn.DROP(Mortgageλ(_xlpm.loan_amount_b, _xlpm.loan_term_b, _xlpm.rate_b, _xlpm.property_tax_b, _xlpm.PMI_insurance_b, _xlpm.other_cost_b), , 1)), _xlpm.difference, IFERROR(_xlpm.summary_b - _xlfn.DROP(_xlpm.summary_a, , 1), ""), _xlpm.delivery, _xlfn.VSTACK(_xlpm.scenario_labels, _xlfn.HSTACK(_xlpm.summary_a, _xlpm.summary_b, _xlpm.difference)), _xlpm.delivery))</definedName>
    <definedName name="Mortgageλ">_xlfn.LAMBDA(_xlpm.loan_amount,_xlpm.loan_term,_xlpm.rate,_xlpm.property_tax,_xlop.PMI_insurance,_xlop.other_cost, Validateλ(_xlpm.loan_amount, _xlpm.loan_term, _xlpm.rate, _xlpm.property_tax, _xlfn.LET(_xlpm.labels, {"Monthly Pay";"Monthly Property Tax";"Monthly PMI (Private Mortgage Insurance)";"Monthly Other Costs";"Monthly Total Out of Pocket";"Total of Monthly Payments";"Total Interest Paid"}, _xlpm.monthly_payment, ABS(PMT(_xlpm.rate / 12, _xlpm.loan_term * 12, _xlpm.loan_amount)), _xlpm.monthly_property_tax, _xlpm.property_tax / 12, _xlpm.monthly_PMI, IF(_xlfn.ISOMITTED(_xlpm.PMI_insurance), 0, _xlpm.PMI_insurance / 12), _xlpm.monthly_other, IF(_xlfn.ISOMITTED(_xlpm.other_cost), 0, _xlpm.other_cost / 12), _xlpm.monthly_total_OOP, SUM(_xlpm.monthly_payment, _xlpm.monthly_property_tax, _xlpm.monthly_PMI, _xlpm.monthly_other), _xlpm.Total_of_Monthly_Payments, _xlpm.loan_term * 12 * _xlpm.monthly_payment, _xlpm.Total_Interest_Paid, _xlpm.Total_of_Monthly_Payments - _xlpm.loan_amount, _xlpm.monthly_stack, TEXT(_xlfn.VSTACK(_xlpm.monthly_payment, _xlpm.monthly_property_tax, _xlpm.monthly_PMI, _xlpm.monthly_other, _xlpm.monthly_total_OOP, _xlpm.Total_of_Monthly_Payments, _xlpm.Total_Interest_Paid), "#,##0.00"), _xlpm.title, "Mortgage Summary for a $" &amp; TEXT(_xlpm.loan_amount, "#,##0") &amp; " Loan Over " &amp; _xlpm.loan_term &amp; " Years at " &amp; TEXT(_xlpm.rate * 100, "0.00") &amp; "%", _xlpm.delivery, _xlfn.VSTACK(_xlfn.HSTACK(_xlpm.title, "Amount"), _xlfn.HSTACK(_xlpm.labels, _xlpm.monthly_stack)), _xlpm.delivery)))</definedName>
    <definedName name="Validateλ">_xlfn.LAMBDA(_xlpm.loan_amount,_xlpm.loan_term,_xlpm.rate,_xlpm.property_tax,_xlpm.on_valid, IF(_xlpm.loan_amount &lt; 1, "#LOAN-AMOUNT!", IF(_xlpm.loan_term &lt; 1, "#LOAN-TERM!", IF((_xlpm.rate &lt;= 0) + (_xlpm.rate &gt; 1), "#RATE!", IF(_xlpm.property_tax &lt; 0, "#PROPERTY-TAX!", _xlpm.on_valid)))))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3" l="1" a="1"/>
  <c r="C15" i="3" s="1"/>
  <c r="C15" i="1" a="1"/>
  <c r="C1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<sst xmlns="http://schemas.openxmlformats.org/spreadsheetml/2006/main" count="44" uniqueCount="34">
  <si>
    <t>Loan Amount</t>
  </si>
  <si>
    <t>Loan Term</t>
  </si>
  <si>
    <t>Rate</t>
  </si>
  <si>
    <t>Property Tax</t>
  </si>
  <si>
    <t>Inputs</t>
  </si>
  <si>
    <t>A</t>
  </si>
  <si>
    <t>B</t>
  </si>
  <si>
    <t>Function Argument</t>
  </si>
  <si>
    <t>Description</t>
  </si>
  <si>
    <t>loan_amount</t>
  </si>
  <si>
    <t>loan_term</t>
  </si>
  <si>
    <t>rate</t>
  </si>
  <si>
    <t>property_tax</t>
  </si>
  <si>
    <t>[PMI_insurance]</t>
  </si>
  <si>
    <t>[other cost]</t>
  </si>
  <si>
    <t>Error</t>
  </si>
  <si>
    <t>#LOAN-TERM!</t>
  </si>
  <si>
    <t>#LOAN-AMOUNT!</t>
  </si>
  <si>
    <t>#RATE!</t>
  </si>
  <si>
    <t>#PROPERTY-TAX!</t>
  </si>
  <si>
    <t>Loan amount is less than 1.</t>
  </si>
  <si>
    <t>Loan term is less than 1 year.</t>
  </si>
  <si>
    <t>Rate is less than 0 or exceeds 1.</t>
  </si>
  <si>
    <t>Tax provided is less than 0.</t>
  </si>
  <si>
    <t>Function errors</t>
  </si>
  <si>
    <t>Length of term in years.</t>
  </si>
  <si>
    <t>Yearly cost of property tax.</t>
  </si>
  <si>
    <t>Total loan amount after down payment.</t>
  </si>
  <si>
    <t>Interest rate as a decimal (e.g., 0.06 for 6%)</t>
  </si>
  <si>
    <r>
      <rPr>
        <i/>
        <sz val="10.5"/>
        <color theme="1"/>
        <rFont val="Segoe UI"/>
        <family val="2"/>
      </rPr>
      <t>Optional:</t>
    </r>
    <r>
      <rPr>
        <sz val="10.5"/>
        <color theme="1"/>
        <rFont val="Segoe UI"/>
        <family val="2"/>
      </rPr>
      <t xml:space="preserve"> Yearly cost of PMI insurance.</t>
    </r>
  </si>
  <si>
    <r>
      <rPr>
        <i/>
        <sz val="10.5"/>
        <color theme="1"/>
        <rFont val="Segoe UI"/>
        <family val="2"/>
      </rPr>
      <t>Optional:</t>
    </r>
    <r>
      <rPr>
        <sz val="10.5"/>
        <color theme="1"/>
        <rFont val="Segoe UI"/>
        <family val="2"/>
      </rPr>
      <t xml:space="preserve"> Yearly miscellaneous costs.</t>
    </r>
  </si>
  <si>
    <t>Formula&gt;&gt;&gt;</t>
  </si>
  <si>
    <r>
      <rPr>
        <i/>
        <sz val="10"/>
        <color theme="1"/>
        <rFont val="Segoe UI"/>
        <family val="2"/>
      </rPr>
      <t>Optional:</t>
    </r>
    <r>
      <rPr>
        <sz val="11"/>
        <color theme="1"/>
        <rFont val="Segoe UI"/>
        <family val="2"/>
      </rPr>
      <t xml:space="preserve"> PMI Insurance</t>
    </r>
  </si>
  <si>
    <r>
      <rPr>
        <i/>
        <sz val="10"/>
        <color theme="1"/>
        <rFont val="Segoe UI"/>
        <family val="2"/>
      </rPr>
      <t>Optional:</t>
    </r>
    <r>
      <rPr>
        <sz val="11"/>
        <color theme="1"/>
        <rFont val="Segoe UI"/>
        <family val="2"/>
      </rPr>
      <t xml:space="preserve"> Other Cost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</si>
</sst>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1"/>
      <color theme="1"/>
      <name val="Aptos Mono"/>
      <family val="2"/>
    </font>
    <font>
      <sz val="11"/>
      <color theme="1"/>
      <name val="Aptos Mono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sz val="12"/>
      <color theme="1"/>
      <name val="Segoe UI Semibold"/>
      <family val="2"/>
    </font>
    <font>
      <sz val="14"/>
      <color theme="1"/>
      <name val="Segoe UI Semibold"/>
      <family val="2"/>
    </font>
    <font>
      <b/>
      <sz val="11"/>
      <color theme="1"/>
      <name val="Segoe UI"/>
      <family val="2"/>
    </font>
    <font>
      <sz val="11"/>
      <color theme="1"/>
      <name val="Segoe UI Semibold"/>
      <family val="2"/>
    </font>
    <font>
      <sz val="10.5"/>
      <color theme="1"/>
      <name val="Segoe UI"/>
      <family val="2"/>
    </font>
    <font>
      <i/>
      <sz val="10.5"/>
      <color theme="1"/>
      <name val="Segoe UI"/>
      <family val="2"/>
    </font>
    <font>
      <i/>
      <sz val="10"/>
      <color theme="1"/>
      <name val="Segoe UI"/>
      <family val="2"/>
    </font>
    <font>
      <i/>
      <sz val="11"/>
      <color rgb="FF00B050"/>
      <name val="Segoe UI"/>
      <family val="2"/>
    </font>
    <font>
      <sz val="12"/>
      <color rgb="FF00B050"/>
      <name val="Segoe UI Semibold"/>
      <family val="2"/>
    </font>
  </fonts>
  <fills count="11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4E5"/>
        <bgColor indexed="64"/>
      </patternFill>
    </fill>
    <fill>
      <patternFill patternType="solid">
        <fgColor rgb="FFEAE3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9" fontId="2" fillId="0" borderId="0" xfId="0" applyNumberFormat="1" applyFont="1"/>
    <xf numFmtId="0" fontId="2" fillId="0" borderId="0" xfId="0" quotePrefix="1" applyFont="1"/>
    <xf numFmtId="164" fontId="2" fillId="0" borderId="0" xfId="1" applyNumberFormat="1" applyFont="1"/>
    <xf numFmtId="0" fontId="2" fillId="0" borderId="0" xfId="0" applyFont="1" applyAlignment="1">
      <alignment wrapText="1"/>
    </xf>
    <xf numFmtId="0" fontId="2" fillId="0" borderId="0" xfId="0" quotePrefix="1" applyFont="1" applyAlignment="1">
      <alignment wrapText="1"/>
    </xf>
    <xf numFmtId="0" fontId="0" fillId="0" borderId="0" xfId="0" applyAlignment="1">
      <alignment wrapText="1"/>
    </xf>
    <xf numFmtId="0" fontId="4" fillId="0" borderId="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2" fillId="2" borderId="2" xfId="1" applyNumberFormat="1" applyFont="1" applyFill="1" applyBorder="1"/>
    <xf numFmtId="0" fontId="2" fillId="2" borderId="2" xfId="0" applyFont="1" applyFill="1" applyBorder="1"/>
    <xf numFmtId="9" fontId="2" fillId="2" borderId="2" xfId="0" applyNumberFormat="1" applyFont="1" applyFill="1" applyBorder="1"/>
    <xf numFmtId="164" fontId="2" fillId="3" borderId="2" xfId="1" applyNumberFormat="1" applyFont="1" applyFill="1" applyBorder="1"/>
    <xf numFmtId="164" fontId="2" fillId="3" borderId="3" xfId="1" applyNumberFormat="1" applyFont="1" applyFill="1" applyBorder="1"/>
    <xf numFmtId="3" fontId="2" fillId="4" borderId="0" xfId="1" applyNumberFormat="1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9" fontId="2" fillId="4" borderId="0" xfId="0" applyNumberFormat="1" applyFont="1" applyFill="1" applyAlignment="1">
      <alignment horizontal="center"/>
    </xf>
    <xf numFmtId="0" fontId="2" fillId="4" borderId="0" xfId="1" applyNumberFormat="1" applyFont="1" applyFill="1" applyBorder="1" applyAlignment="1">
      <alignment horizontal="center"/>
    </xf>
    <xf numFmtId="0" fontId="2" fillId="4" borderId="5" xfId="1" applyNumberFormat="1" applyFont="1" applyFill="1" applyBorder="1" applyAlignment="1">
      <alignment horizontal="center"/>
    </xf>
    <xf numFmtId="3" fontId="2" fillId="5" borderId="2" xfId="1" applyNumberFormat="1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9" fontId="2" fillId="5" borderId="2" xfId="0" applyNumberFormat="1" applyFont="1" applyFill="1" applyBorder="1" applyAlignment="1">
      <alignment horizontal="center"/>
    </xf>
    <xf numFmtId="0" fontId="2" fillId="5" borderId="2" xfId="1" applyNumberFormat="1" applyFont="1" applyFill="1" applyBorder="1" applyAlignment="1">
      <alignment horizontal="center"/>
    </xf>
    <xf numFmtId="0" fontId="2" fillId="5" borderId="3" xfId="1" applyNumberFormat="1" applyFont="1" applyFill="1" applyBorder="1" applyAlignment="1">
      <alignment horizontal="center"/>
    </xf>
    <xf numFmtId="0" fontId="7" fillId="0" borderId="0" xfId="0" applyFont="1"/>
    <xf numFmtId="0" fontId="8" fillId="0" borderId="6" xfId="0" applyFont="1" applyBorder="1" applyAlignment="1">
      <alignment vertical="center"/>
    </xf>
    <xf numFmtId="0" fontId="7" fillId="10" borderId="6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6" fillId="0" borderId="6" xfId="0" applyFont="1" applyBorder="1" applyAlignment="1">
      <alignment wrapText="1"/>
    </xf>
    <xf numFmtId="0" fontId="2" fillId="7" borderId="6" xfId="0" applyFont="1" applyFill="1" applyBorder="1" applyAlignment="1">
      <alignment horizontal="right"/>
    </xf>
    <xf numFmtId="0" fontId="2" fillId="8" borderId="6" xfId="0" applyFont="1" applyFill="1" applyBorder="1" applyAlignment="1">
      <alignment horizontal="right"/>
    </xf>
    <xf numFmtId="0" fontId="2" fillId="0" borderId="6" xfId="0" applyFont="1" applyBorder="1" applyAlignment="1">
      <alignment wrapText="1"/>
    </xf>
    <xf numFmtId="0" fontId="3" fillId="6" borderId="6" xfId="0" applyFont="1" applyFill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4" fillId="0" borderId="6" xfId="0" applyFont="1" applyBorder="1" applyAlignment="1">
      <alignment horizontal="center"/>
    </xf>
    <xf numFmtId="8" fontId="6" fillId="0" borderId="6" xfId="0" quotePrefix="1" applyNumberFormat="1" applyFont="1" applyBorder="1" applyAlignment="1">
      <alignment wrapText="1"/>
    </xf>
    <xf numFmtId="0" fontId="4" fillId="0" borderId="7" xfId="0" applyFont="1" applyBorder="1" applyAlignment="1">
      <alignment horizontal="right" wrapText="1"/>
    </xf>
    <xf numFmtId="0" fontId="2" fillId="0" borderId="8" xfId="0" applyFont="1" applyBorder="1" applyAlignment="1">
      <alignment horizontal="right" wrapText="1"/>
    </xf>
    <xf numFmtId="0" fontId="2" fillId="0" borderId="9" xfId="0" applyFont="1" applyBorder="1" applyAlignment="1">
      <alignment horizontal="right" wrapText="1"/>
    </xf>
    <xf numFmtId="0" fontId="8" fillId="0" borderId="6" xfId="0" applyFont="1" applyBorder="1" applyAlignment="1">
      <alignment horizontal="center" vertical="center"/>
    </xf>
    <xf numFmtId="0" fontId="11" fillId="0" borderId="0" xfId="0" applyFont="1"/>
    <xf numFmtId="0" fontId="12" fillId="0" borderId="5" xfId="0" applyFont="1" applyBorder="1" applyAlignment="1">
      <alignment horizontal="right" wrapText="1"/>
    </xf>
    <xf numFmtId="0" fontId="12" fillId="0" borderId="1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635F41E9-95D3-458F-B4AF-31CA40468807}"/>
  </tableStyles>
  <colors>
    <mruColors>
      <color rgb="FFFFCCFF"/>
      <color rgb="FFF2F2F2"/>
      <color rgb="FFEAE3F1"/>
      <color rgb="FFF9F4E5"/>
      <color rgb="FFFCE4D6"/>
      <color rgb="FFE2F0D9"/>
      <color rgb="FFFFF2CC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276224</xdr:colOff>
      <xdr:row>0</xdr:row>
      <xdr:rowOff>120650</xdr:rowOff>
    </xdr:from>
    <xdr:to>
      <xdr:col>11</xdr:col>
      <xdr:colOff>342900</xdr:colOff>
      <xdr:row>21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C8200F-58AA-6070-95B4-7ED0B3D8E679}"/>
            </a:ext>
          </a:extLst>
        </xdr:cNvPr>
        <xdr:cNvSpPr txBox="1"/>
      </xdr:nvSpPr>
      <xdr:spPr>
        <a:xfrm>
          <a:off x="1514474" y="120650"/>
          <a:ext cx="9782176" cy="4343400"/>
        </a:xfrm>
        <a:prstGeom prst="rect">
          <a:avLst/>
        </a:prstGeom>
        <a:solidFill>
          <a:srgbClr val="F2F2F2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0" b="0">
              <a:solidFill>
                <a:schemeClr val="accent3">
                  <a:lumMod val="75000"/>
                </a:schemeClr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Mortgage</a:t>
          </a:r>
          <a:r>
            <a:rPr lang="el-GR" sz="9000" b="0">
              <a:solidFill>
                <a:schemeClr val="accent3">
                  <a:lumMod val="75000"/>
                </a:schemeClr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λ</a:t>
          </a:r>
        </a:p>
        <a:p>
          <a:pPr algn="ctr"/>
          <a:r>
            <a:rPr lang="en-US" sz="1600" i="1">
              <a:latin typeface="Consolas" panose="020B0609020204030204" pitchFamily="49" charset="0"/>
            </a:rPr>
            <a:t>Plug-and-play mortgage summaries</a:t>
          </a:r>
        </a:p>
        <a:p>
          <a:pPr algn="ctr"/>
          <a:endParaRPr lang="en-US" sz="1600" i="1">
            <a:latin typeface="Consolas" panose="020B0609020204030204" pitchFamily="49" charset="0"/>
          </a:endParaRPr>
        </a:p>
        <a:p>
          <a:pPr algn="ctr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Mortgage</a:t>
          </a:r>
          <a:r>
            <a:rPr lang="el-GR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λ </a:t>
          </a:r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generates a labeled summary of:</a:t>
          </a:r>
        </a:p>
        <a:p>
          <a:pPr algn="l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			• Monthly Pay</a:t>
          </a:r>
        </a:p>
        <a:p>
          <a:pPr algn="l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			• Monthly Property Tax</a:t>
          </a:r>
        </a:p>
        <a:p>
          <a:pPr algn="l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			• Monthly PMI (Private Mortgage Insurance)</a:t>
          </a:r>
        </a:p>
        <a:p>
          <a:pPr algn="l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			• Monthly Other Costs</a:t>
          </a:r>
        </a:p>
        <a:p>
          <a:pPr algn="l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			• Monthly Total Out of Pocket</a:t>
          </a:r>
        </a:p>
        <a:p>
          <a:pPr algn="l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			• Total of Monthly Payments</a:t>
          </a:r>
        </a:p>
        <a:p>
          <a:pPr algn="l"/>
          <a:r>
            <a:rPr lang="en-US" sz="14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			• Total Interest Paid</a:t>
          </a:r>
        </a:p>
        <a:p>
          <a:pPr algn="l"/>
          <a:endParaRPr lang="en-US" sz="1600" b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700" b="0">
              <a:solidFill>
                <a:schemeClr val="accent3">
                  <a:lumMod val="75000"/>
                </a:schemeClr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=Mortgage</a:t>
          </a:r>
          <a:r>
            <a:rPr lang="el-GR" sz="1700" b="0">
              <a:solidFill>
                <a:schemeClr val="accent3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λ</a:t>
          </a:r>
          <a:r>
            <a:rPr lang="en-US" sz="1700" b="0">
              <a:solidFill>
                <a:schemeClr val="accent3">
                  <a:lumMod val="75000"/>
                </a:schemeClr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(loan_amount,loan_term,rate,property_tax,[PMI_insurance],[other_cost])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l-GR" sz="1100" b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endParaRPr lang="en-US" sz="1100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8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5930FB-E71C-443C-A10E-36BBFF496408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60C6B5ED-A049-4639-B0AF-2F9DEEC967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85030-B490-4B36-B21C-A1E4B871C931}">
  <sheetPr>
    <tabColor theme="0"/>
  </sheetPr>
  <dimension ref="E1:F50"/>
  <sheetViews>
    <sheetView showGridLines="0" showRowColHeaders="0" tabSelected="1" zoomScale="90" zoomScaleNormal="90" workbookViewId="0">
      <selection activeCell="E25" sqref="E25"/>
    </sheetView>
  </sheetViews>
  <sheetFormatPr defaultColWidth="0" defaultRowHeight="16.5" zeroHeight="1" x14ac:dyDescent="0.45"/>
  <cols>
    <col min="1" max="1" width="9.23046875" style="1" customWidth="1"/>
    <col min="2" max="2" width="5.765625" style="1" customWidth="1"/>
    <col min="3" max="4" width="9.23046875" style="1" customWidth="1"/>
    <col min="5" max="5" width="18.921875" style="1" bestFit="1" customWidth="1"/>
    <col min="6" max="6" width="34" style="1" bestFit="1" customWidth="1"/>
    <col min="7" max="14" width="9.23046875" style="1" customWidth="1"/>
    <col min="15" max="16384" width="9.23046875" style="1" hidden="1"/>
  </cols>
  <sheetData>
    <row r="1" x14ac:dyDescent="0.45"/>
    <row r="2" x14ac:dyDescent="0.45"/>
    <row r="3" x14ac:dyDescent="0.45"/>
    <row r="4" x14ac:dyDescent="0.45"/>
    <row r="5" x14ac:dyDescent="0.45"/>
    <row r="6" x14ac:dyDescent="0.45"/>
    <row r="7" x14ac:dyDescent="0.45"/>
    <row r="8" x14ac:dyDescent="0.45"/>
    <row r="9" x14ac:dyDescent="0.45"/>
    <row r="10" x14ac:dyDescent="0.45"/>
    <row r="11" x14ac:dyDescent="0.45"/>
    <row r="12" x14ac:dyDescent="0.45"/>
    <row r="13" x14ac:dyDescent="0.45"/>
    <row r="14" x14ac:dyDescent="0.45"/>
    <row r="15" x14ac:dyDescent="0.45"/>
    <row r="16" x14ac:dyDescent="0.45"/>
    <row r="17" spans="5:6" x14ac:dyDescent="0.45"/>
    <row r="18" spans="5:6" x14ac:dyDescent="0.45"/>
    <row r="19" spans="5:6" x14ac:dyDescent="0.45"/>
    <row r="20" spans="5:6" x14ac:dyDescent="0.45"/>
    <row r="21" spans="5:6" x14ac:dyDescent="0.45"/>
    <row r="22" spans="5:6" x14ac:dyDescent="0.45"/>
    <row r="23" spans="5:6" x14ac:dyDescent="0.45"/>
    <row r="24" spans="5:6" x14ac:dyDescent="0.45">
      <c r="E24" s="27" t="s">
        <v>7</v>
      </c>
      <c r="F24" s="27" t="s">
        <v>8</v>
      </c>
    </row>
    <row r="25" spans="5:6" ht="20" customHeight="1" x14ac:dyDescent="0.45">
      <c r="E25" s="41" t="s">
        <v>9</v>
      </c>
      <c r="F25" s="26" t="s">
        <v>27</v>
      </c>
    </row>
    <row r="26" spans="5:6" ht="20" customHeight="1" x14ac:dyDescent="0.45">
      <c r="E26" s="41" t="s">
        <v>10</v>
      </c>
      <c r="F26" s="26" t="s">
        <v>25</v>
      </c>
    </row>
    <row r="27" spans="5:6" ht="20" customHeight="1" x14ac:dyDescent="0.45">
      <c r="E27" s="41" t="s">
        <v>11</v>
      </c>
      <c r="F27" s="26" t="s">
        <v>28</v>
      </c>
    </row>
    <row r="28" spans="5:6" ht="20" customHeight="1" x14ac:dyDescent="0.45">
      <c r="E28" s="41" t="s">
        <v>12</v>
      </c>
      <c r="F28" s="26" t="s">
        <v>26</v>
      </c>
    </row>
    <row r="29" spans="5:6" ht="20" customHeight="1" x14ac:dyDescent="0.45">
      <c r="E29" s="41" t="s">
        <v>13</v>
      </c>
      <c r="F29" s="26" t="s">
        <v>29</v>
      </c>
    </row>
    <row r="30" spans="5:6" ht="20" customHeight="1" x14ac:dyDescent="0.45">
      <c r="E30" s="41" t="s">
        <v>14</v>
      </c>
      <c r="F30" s="26" t="s">
        <v>30</v>
      </c>
    </row>
    <row r="31" spans="5:6" x14ac:dyDescent="0.45"/>
    <row r="32" spans="5:6" x14ac:dyDescent="0.45">
      <c r="E32" s="25" t="s">
        <v>24</v>
      </c>
    </row>
    <row r="33" spans="5:6" x14ac:dyDescent="0.45">
      <c r="E33" s="28" t="s">
        <v>15</v>
      </c>
      <c r="F33" s="28" t="s">
        <v>8</v>
      </c>
    </row>
    <row r="34" spans="5:6" ht="20" customHeight="1" x14ac:dyDescent="0.45">
      <c r="E34" s="41" t="s">
        <v>17</v>
      </c>
      <c r="F34" s="26" t="s">
        <v>20</v>
      </c>
    </row>
    <row r="35" spans="5:6" ht="20" customHeight="1" x14ac:dyDescent="0.45">
      <c r="E35" s="41" t="s">
        <v>16</v>
      </c>
      <c r="F35" s="26" t="s">
        <v>21</v>
      </c>
    </row>
    <row r="36" spans="5:6" ht="20" customHeight="1" x14ac:dyDescent="0.45">
      <c r="E36" s="41" t="s">
        <v>18</v>
      </c>
      <c r="F36" s="26" t="s">
        <v>22</v>
      </c>
    </row>
    <row r="37" spans="5:6" ht="20" customHeight="1" x14ac:dyDescent="0.45">
      <c r="E37" s="41" t="s">
        <v>19</v>
      </c>
      <c r="F37" s="26" t="s">
        <v>23</v>
      </c>
    </row>
    <row r="38" spans="5:6" x14ac:dyDescent="0.45"/>
    <row r="39" spans="5:6" x14ac:dyDescent="0.45"/>
    <row r="40" spans="5:6" x14ac:dyDescent="0.45"/>
    <row r="41" spans="5:6" x14ac:dyDescent="0.45"/>
    <row r="42" spans="5:6" x14ac:dyDescent="0.45"/>
    <row r="43" spans="5:6" x14ac:dyDescent="0.45"/>
    <row r="44" spans="5:6" x14ac:dyDescent="0.45"/>
    <row r="45" spans="5:6" x14ac:dyDescent="0.45"/>
    <row r="46" spans="5:6" x14ac:dyDescent="0.45"/>
    <row r="47" spans="5:6" x14ac:dyDescent="0.45"/>
    <row r="48" spans="5:6" x14ac:dyDescent="0.45"/>
    <row r="49" x14ac:dyDescent="0.45"/>
    <row r="50" x14ac:dyDescent="0.4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F189E-085C-4E6E-B710-5EA42D78B036}">
  <sheetPr>
    <tabColor theme="6" tint="-0.249977111117893"/>
  </sheetPr>
  <dimension ref="B1:E100"/>
  <sheetViews>
    <sheetView workbookViewId="0">
      <selection activeCell="C15" sqref="C15"/>
    </sheetView>
  </sheetViews>
  <sheetFormatPr defaultColWidth="0" defaultRowHeight="16.5" zeroHeight="1" x14ac:dyDescent="0.45"/>
  <cols>
    <col min="1" max="1" width="9.23046875" style="1" customWidth="1"/>
    <col min="2" max="2" width="11.07421875" style="1" bestFit="1" customWidth="1"/>
    <col min="3" max="3" width="38.07421875" style="5" customWidth="1"/>
    <col min="4" max="4" width="9.765625" style="1" customWidth="1"/>
    <col min="5" max="5" width="7.84375" style="1" bestFit="1" customWidth="1"/>
    <col min="6" max="11" width="9.23046875" style="1" customWidth="1"/>
    <col min="12" max="16384" width="9.23046875" style="1" hidden="1"/>
  </cols>
  <sheetData>
    <row r="1" spans="2:5" x14ac:dyDescent="0.45"/>
    <row r="2" spans="2:5" x14ac:dyDescent="0.45"/>
    <row r="3" spans="2:5" x14ac:dyDescent="0.45"/>
    <row r="4" spans="2:5" ht="17.5" x14ac:dyDescent="0.45">
      <c r="C4" s="38"/>
      <c r="D4" s="44" t="s">
        <v>4</v>
      </c>
    </row>
    <row r="5" spans="2:5" x14ac:dyDescent="0.45">
      <c r="C5" s="39" t="s">
        <v>0</v>
      </c>
      <c r="D5" s="10">
        <v>300000</v>
      </c>
      <c r="E5" s="4"/>
    </row>
    <row r="6" spans="2:5" x14ac:dyDescent="0.45">
      <c r="C6" s="39" t="s">
        <v>1</v>
      </c>
      <c r="D6" s="11">
        <v>30</v>
      </c>
    </row>
    <row r="7" spans="2:5" x14ac:dyDescent="0.45">
      <c r="C7" s="39" t="s">
        <v>2</v>
      </c>
      <c r="D7" s="12">
        <v>0.06</v>
      </c>
      <c r="E7" s="2"/>
    </row>
    <row r="8" spans="2:5" x14ac:dyDescent="0.45">
      <c r="C8" s="39" t="s">
        <v>3</v>
      </c>
      <c r="D8" s="10">
        <v>1200</v>
      </c>
      <c r="E8" s="4"/>
    </row>
    <row r="9" spans="2:5" x14ac:dyDescent="0.45">
      <c r="C9" s="39" t="s">
        <v>32</v>
      </c>
      <c r="D9" s="13">
        <v>1200</v>
      </c>
      <c r="E9" s="4"/>
    </row>
    <row r="10" spans="2:5" x14ac:dyDescent="0.45">
      <c r="C10" s="40" t="s">
        <v>33</v>
      </c>
      <c r="D10" s="14">
        <v>1200</v>
      </c>
      <c r="E10" s="4"/>
    </row>
    <row r="11" spans="2:5" x14ac:dyDescent="0.45"/>
    <row r="12" spans="2:5" x14ac:dyDescent="0.45"/>
    <row r="13" spans="2:5" x14ac:dyDescent="0.45"/>
    <row r="14" spans="2:5" x14ac:dyDescent="0.45"/>
    <row r="15" spans="2:5" ht="42" x14ac:dyDescent="0.55000000000000004">
      <c r="B15" s="42" t="s">
        <v>31</v>
      </c>
      <c r="C15" s="33" t="str" cm="1">
        <f t="array" ref="C15:D22">Mortgageλ(D5,D6,D7,D8,D9,D10)</f>
        <v>Mortgage Summary for a $300,000 Loan Over 30 Years at 6.00%</v>
      </c>
      <c r="D15" s="36" t="str">
        <v>Amount</v>
      </c>
    </row>
    <row r="16" spans="2:5" x14ac:dyDescent="0.45">
      <c r="C16" s="29" t="str">
        <v>Monthly Pay</v>
      </c>
      <c r="D16" s="30" t="str">
        <v>1,798.65</v>
      </c>
    </row>
    <row r="17" spans="3:4" x14ac:dyDescent="0.45">
      <c r="C17" s="32" t="str">
        <v>Monthly Property Tax</v>
      </c>
      <c r="D17" s="30" t="str">
        <v>100.00</v>
      </c>
    </row>
    <row r="18" spans="3:4" x14ac:dyDescent="0.45">
      <c r="C18" s="32" t="str">
        <v>Monthly PMI (Private Mortgage Insurance)</v>
      </c>
      <c r="D18" s="30" t="str">
        <v>100.00</v>
      </c>
    </row>
    <row r="19" spans="3:4" x14ac:dyDescent="0.45">
      <c r="C19" s="32" t="str">
        <v>Monthly Other Costs</v>
      </c>
      <c r="D19" s="30" t="str">
        <v>100.00</v>
      </c>
    </row>
    <row r="20" spans="3:4" x14ac:dyDescent="0.45">
      <c r="C20" s="29" t="str">
        <v>Monthly Total Out of Pocket</v>
      </c>
      <c r="D20" s="30" t="str">
        <v>2,098.65</v>
      </c>
    </row>
    <row r="21" spans="3:4" x14ac:dyDescent="0.45">
      <c r="C21" s="32" t="str">
        <v>Total of Monthly Payments</v>
      </c>
      <c r="D21" s="30" t="str">
        <v>647,514.57</v>
      </c>
    </row>
    <row r="22" spans="3:4" x14ac:dyDescent="0.45">
      <c r="C22" s="37" t="str">
        <v>Total Interest Paid</v>
      </c>
      <c r="D22" s="30" t="str">
        <v>347,514.57</v>
      </c>
    </row>
    <row r="23" spans="3:4" x14ac:dyDescent="0.45"/>
    <row r="24" spans="3:4" x14ac:dyDescent="0.45"/>
    <row r="25" spans="3:4" x14ac:dyDescent="0.45">
      <c r="C25" s="6"/>
    </row>
    <row r="26" spans="3:4" x14ac:dyDescent="0.45"/>
    <row r="27" spans="3:4" x14ac:dyDescent="0.45"/>
    <row r="28" spans="3:4" x14ac:dyDescent="0.45"/>
    <row r="29" spans="3:4" x14ac:dyDescent="0.45"/>
    <row r="30" spans="3:4" x14ac:dyDescent="0.45"/>
    <row r="31" spans="3:4" x14ac:dyDescent="0.45">
      <c r="C31" s="7"/>
    </row>
    <row r="32" spans="3:4" x14ac:dyDescent="0.45">
      <c r="C32" s="7"/>
    </row>
    <row r="33" spans="3:4" x14ac:dyDescent="0.45">
      <c r="C33" s="7"/>
    </row>
    <row r="34" spans="3:4" x14ac:dyDescent="0.45">
      <c r="C34" s="7"/>
    </row>
    <row r="35" spans="3:4" x14ac:dyDescent="0.45">
      <c r="C35" s="7"/>
    </row>
    <row r="36" spans="3:4" x14ac:dyDescent="0.45">
      <c r="C36" s="7"/>
    </row>
    <row r="37" spans="3:4" x14ac:dyDescent="0.45"/>
    <row r="38" spans="3:4" x14ac:dyDescent="0.45"/>
    <row r="39" spans="3:4" x14ac:dyDescent="0.45"/>
    <row r="40" spans="3:4" x14ac:dyDescent="0.45"/>
    <row r="41" spans="3:4" x14ac:dyDescent="0.45"/>
    <row r="42" spans="3:4" x14ac:dyDescent="0.45">
      <c r="D42" s="3"/>
    </row>
    <row r="43" spans="3:4" x14ac:dyDescent="0.45">
      <c r="D43" s="3"/>
    </row>
    <row r="44" spans="3:4" x14ac:dyDescent="0.45">
      <c r="D44" s="3"/>
    </row>
    <row r="45" spans="3:4" x14ac:dyDescent="0.45"/>
    <row r="46" spans="3:4" x14ac:dyDescent="0.45"/>
    <row r="47" spans="3:4" x14ac:dyDescent="0.45"/>
    <row r="48" spans="3:4" x14ac:dyDescent="0.45"/>
    <row r="49" spans="4:4" x14ac:dyDescent="0.45">
      <c r="D49" s="3"/>
    </row>
    <row r="50" spans="4:4" x14ac:dyDescent="0.45">
      <c r="D50" s="3"/>
    </row>
    <row r="51" spans="4:4" x14ac:dyDescent="0.45">
      <c r="D51" s="3"/>
    </row>
    <row r="52" spans="4:4" x14ac:dyDescent="0.45">
      <c r="D52" s="3"/>
    </row>
    <row r="53" spans="4:4" x14ac:dyDescent="0.45">
      <c r="D53" s="3"/>
    </row>
    <row r="54" spans="4:4" x14ac:dyDescent="0.45"/>
    <row r="55" spans="4:4" x14ac:dyDescent="0.45"/>
    <row r="56" spans="4:4" x14ac:dyDescent="0.45"/>
    <row r="57" spans="4:4" x14ac:dyDescent="0.45"/>
    <row r="58" spans="4:4" x14ac:dyDescent="0.45"/>
    <row r="59" spans="4:4" x14ac:dyDescent="0.45"/>
    <row r="60" spans="4:4" x14ac:dyDescent="0.45"/>
    <row r="61" spans="4:4" x14ac:dyDescent="0.45"/>
    <row r="62" spans="4:4" x14ac:dyDescent="0.45"/>
    <row r="63" spans="4:4" x14ac:dyDescent="0.45"/>
    <row r="64" spans="4:4" x14ac:dyDescent="0.45"/>
    <row r="65" x14ac:dyDescent="0.45"/>
    <row r="66" x14ac:dyDescent="0.45"/>
    <row r="67" x14ac:dyDescent="0.45"/>
    <row r="68" x14ac:dyDescent="0.45"/>
    <row r="69" x14ac:dyDescent="0.45"/>
    <row r="70" x14ac:dyDescent="0.45"/>
    <row r="71" x14ac:dyDescent="0.45"/>
    <row r="72" x14ac:dyDescent="0.45"/>
    <row r="73" x14ac:dyDescent="0.45"/>
    <row r="74" x14ac:dyDescent="0.45"/>
    <row r="75" x14ac:dyDescent="0.45"/>
    <row r="76" x14ac:dyDescent="0.45"/>
    <row r="77" x14ac:dyDescent="0.45"/>
    <row r="78" x14ac:dyDescent="0.45"/>
    <row r="79" x14ac:dyDescent="0.45"/>
    <row r="80" x14ac:dyDescent="0.45"/>
    <row r="81" x14ac:dyDescent="0.45"/>
    <row r="82" x14ac:dyDescent="0.45"/>
    <row r="83" x14ac:dyDescent="0.45"/>
    <row r="84" x14ac:dyDescent="0.45"/>
    <row r="85" x14ac:dyDescent="0.45"/>
    <row r="86" x14ac:dyDescent="0.45"/>
    <row r="87" x14ac:dyDescent="0.45"/>
    <row r="88" x14ac:dyDescent="0.45"/>
    <row r="89" x14ac:dyDescent="0.45"/>
    <row r="90" x14ac:dyDescent="0.45"/>
    <row r="91" x14ac:dyDescent="0.45"/>
    <row r="92" x14ac:dyDescent="0.45"/>
    <row r="93" x14ac:dyDescent="0.45"/>
    <row r="94" x14ac:dyDescent="0.45"/>
    <row r="95" x14ac:dyDescent="0.45"/>
    <row r="96" x14ac:dyDescent="0.45"/>
    <row r="97" x14ac:dyDescent="0.45"/>
    <row r="98" x14ac:dyDescent="0.45"/>
    <row r="99" x14ac:dyDescent="0.45"/>
    <row r="100" x14ac:dyDescent="0.45"/>
  </sheetData>
  <dataValidations count="5">
    <dataValidation type="decimal" allowBlank="1" showInputMessage="1" showErrorMessage="1" sqref="D5" xr:uid="{F7D8A00B-8F07-42CF-A8BC-EECFAFE9D798}">
      <formula1>1</formula1>
      <formula2>999999999999999</formula2>
    </dataValidation>
    <dataValidation type="whole" operator="greaterThanOrEqual" allowBlank="1" showInputMessage="1" showErrorMessage="1" sqref="D6" xr:uid="{D4BD09B0-91CD-4180-84BF-19483DB3D24C}">
      <formula1>1</formula1>
    </dataValidation>
    <dataValidation type="decimal" allowBlank="1" showInputMessage="1" showErrorMessage="1" sqref="D7" xr:uid="{EF69EEED-F1F5-45C3-BE0A-38B4917A509A}">
      <formula1>0.01</formula1>
      <formula2>1</formula2>
    </dataValidation>
    <dataValidation type="decimal" operator="greaterThanOrEqual" allowBlank="1" showInputMessage="1" showErrorMessage="1" sqref="D8:D9" xr:uid="{B8D1A19F-E3AA-4C8D-AD4E-DC36B5CD7C24}">
      <formula1>0</formula1>
    </dataValidation>
    <dataValidation type="decimal" operator="greaterThanOrEqual" allowBlank="1" showInputMessage="1" showErrorMessage="1" sqref="D10" xr:uid="{9BDEE294-31C9-44CC-875D-7163B9668BFF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56C5E-EC44-4842-B0AF-06D60A248254}">
  <sheetPr>
    <tabColor theme="7" tint="-0.249977111117893"/>
  </sheetPr>
  <dimension ref="B1:F100"/>
  <sheetViews>
    <sheetView workbookViewId="0">
      <selection activeCell="C15" sqref="C15"/>
    </sheetView>
  </sheetViews>
  <sheetFormatPr defaultColWidth="0" defaultRowHeight="16.5" zeroHeight="1" x14ac:dyDescent="0.45"/>
  <cols>
    <col min="1" max="1" width="9.23046875" style="1" customWidth="1"/>
    <col min="2" max="2" width="11.921875" style="1" customWidth="1"/>
    <col min="3" max="3" width="37.84375" style="5" bestFit="1" customWidth="1"/>
    <col min="4" max="4" width="10" style="1" bestFit="1" customWidth="1"/>
    <col min="5" max="6" width="9.921875" style="1" bestFit="1" customWidth="1"/>
    <col min="7" max="12" width="9.23046875" style="1" customWidth="1"/>
    <col min="13" max="16384" width="9.23046875" style="1" hidden="1"/>
  </cols>
  <sheetData>
    <row r="1" spans="2:6" x14ac:dyDescent="0.45"/>
    <row r="2" spans="2:6" x14ac:dyDescent="0.45"/>
    <row r="3" spans="2:6" ht="17.5" x14ac:dyDescent="0.45">
      <c r="D3" s="43" t="s">
        <v>4</v>
      </c>
    </row>
    <row r="4" spans="2:6" ht="17.5" x14ac:dyDescent="0.45">
      <c r="C4" s="38" t="s">
        <v>4</v>
      </c>
      <c r="D4" s="8" t="s">
        <v>5</v>
      </c>
      <c r="E4" s="9" t="s">
        <v>6</v>
      </c>
    </row>
    <row r="5" spans="2:6" x14ac:dyDescent="0.45">
      <c r="C5" s="39" t="s">
        <v>0</v>
      </c>
      <c r="D5" s="15">
        <v>300000</v>
      </c>
      <c r="E5" s="20">
        <v>350000</v>
      </c>
    </row>
    <row r="6" spans="2:6" x14ac:dyDescent="0.45">
      <c r="C6" s="39" t="s">
        <v>1</v>
      </c>
      <c r="D6" s="16">
        <v>30</v>
      </c>
      <c r="E6" s="21">
        <v>20</v>
      </c>
    </row>
    <row r="7" spans="2:6" x14ac:dyDescent="0.45">
      <c r="C7" s="39" t="s">
        <v>2</v>
      </c>
      <c r="D7" s="17">
        <v>0.06</v>
      </c>
      <c r="E7" s="22">
        <v>7.0000000000000007E-2</v>
      </c>
    </row>
    <row r="8" spans="2:6" x14ac:dyDescent="0.45">
      <c r="C8" s="39" t="s">
        <v>3</v>
      </c>
      <c r="D8" s="18">
        <v>1200</v>
      </c>
      <c r="E8" s="23">
        <v>1800</v>
      </c>
    </row>
    <row r="9" spans="2:6" x14ac:dyDescent="0.45">
      <c r="C9" s="39" t="s">
        <v>32</v>
      </c>
      <c r="D9" s="18">
        <v>1200</v>
      </c>
      <c r="E9" s="23">
        <v>0</v>
      </c>
    </row>
    <row r="10" spans="2:6" x14ac:dyDescent="0.45">
      <c r="C10" s="40" t="s">
        <v>33</v>
      </c>
      <c r="D10" s="19">
        <v>1200</v>
      </c>
      <c r="E10" s="24">
        <v>1800</v>
      </c>
    </row>
    <row r="11" spans="2:6" x14ac:dyDescent="0.45"/>
    <row r="12" spans="2:6" x14ac:dyDescent="0.45"/>
    <row r="13" spans="2:6" x14ac:dyDescent="0.45"/>
    <row r="14" spans="2:6" x14ac:dyDescent="0.45"/>
    <row r="15" spans="2:6" ht="17.5" x14ac:dyDescent="0.45">
      <c r="B15" s="42" t="s">
        <v>31</v>
      </c>
      <c r="C15" s="5" t="str" cm="1">
        <f t="array" ref="C15:F23">MortgageCompareλ(D5,E5,D6,E6,D7,E7,D8,E8,D9,E9,D10,E10)</f>
        <v/>
      </c>
      <c r="D15" s="34" t="str">
        <v>Scenario A</v>
      </c>
      <c r="E15" s="34" t="str">
        <v>Scenario B</v>
      </c>
      <c r="F15" s="34" t="str">
        <v>Difference</v>
      </c>
    </row>
    <row r="16" spans="2:6" ht="42" x14ac:dyDescent="0.55000000000000004">
      <c r="C16" s="33" t="str">
        <v>Mortgage Summary for a $300,000 Loan Over 30 Years at 6.00%</v>
      </c>
      <c r="D16" s="34" t="str">
        <v>Amount</v>
      </c>
      <c r="E16" s="34" t="str">
        <v>Amount</v>
      </c>
      <c r="F16" s="35" t="str">
        <v/>
      </c>
    </row>
    <row r="17" spans="3:6" x14ac:dyDescent="0.45">
      <c r="C17" s="29" t="str">
        <v>Monthly Pay</v>
      </c>
      <c r="D17" s="30" t="str">
        <v>1,798.65</v>
      </c>
      <c r="E17" s="30" t="str">
        <v>2,713.55</v>
      </c>
      <c r="F17" s="31">
        <v>914.90000000000009</v>
      </c>
    </row>
    <row r="18" spans="3:6" x14ac:dyDescent="0.45">
      <c r="C18" s="32" t="str">
        <v>Monthly Property Tax</v>
      </c>
      <c r="D18" s="30" t="str">
        <v>100.00</v>
      </c>
      <c r="E18" s="30" t="str">
        <v>150.00</v>
      </c>
      <c r="F18" s="31">
        <v>50</v>
      </c>
    </row>
    <row r="19" spans="3:6" x14ac:dyDescent="0.45">
      <c r="C19" s="32" t="str">
        <v>Monthly PMI (Private Mortgage Insurance)</v>
      </c>
      <c r="D19" s="30" t="str">
        <v>100.00</v>
      </c>
      <c r="E19" s="30" t="str">
        <v>0.00</v>
      </c>
      <c r="F19" s="31">
        <v>-100</v>
      </c>
    </row>
    <row r="20" spans="3:6" x14ac:dyDescent="0.45">
      <c r="C20" s="32" t="str">
        <v>Monthly Other Costs</v>
      </c>
      <c r="D20" s="30" t="str">
        <v>100.00</v>
      </c>
      <c r="E20" s="30" t="str">
        <v>150.00</v>
      </c>
      <c r="F20" s="31">
        <v>50</v>
      </c>
    </row>
    <row r="21" spans="3:6" x14ac:dyDescent="0.45">
      <c r="C21" s="29" t="str">
        <v>Monthly Total Out of Pocket</v>
      </c>
      <c r="D21" s="30" t="str">
        <v>2,098.65</v>
      </c>
      <c r="E21" s="30" t="str">
        <v>3,013.55</v>
      </c>
      <c r="F21" s="31">
        <v>914.90000000000009</v>
      </c>
    </row>
    <row r="22" spans="3:6" x14ac:dyDescent="0.45">
      <c r="C22" s="32" t="str">
        <v>Total of Monthly Payments</v>
      </c>
      <c r="D22" s="30" t="str">
        <v>647,514.57</v>
      </c>
      <c r="E22" s="30" t="str">
        <v>651,251.11</v>
      </c>
      <c r="F22" s="31">
        <v>3736.5400000000373</v>
      </c>
    </row>
    <row r="23" spans="3:6" x14ac:dyDescent="0.45">
      <c r="C23" s="29" t="str">
        <v>Total Interest Paid</v>
      </c>
      <c r="D23" s="30" t="str">
        <v>347,514.57</v>
      </c>
      <c r="E23" s="30" t="str">
        <v>301,251.11</v>
      </c>
      <c r="F23" s="31">
        <v>-46263.460000000021</v>
      </c>
    </row>
    <row r="24" spans="3:6" x14ac:dyDescent="0.45"/>
    <row r="25" spans="3:6" x14ac:dyDescent="0.45"/>
    <row r="26" spans="3:6" x14ac:dyDescent="0.45"/>
    <row r="27" spans="3:6" x14ac:dyDescent="0.45"/>
    <row r="28" spans="3:6" x14ac:dyDescent="0.45"/>
    <row r="29" spans="3:6" x14ac:dyDescent="0.45"/>
    <row r="30" spans="3:6" x14ac:dyDescent="0.45"/>
    <row r="31" spans="3:6" x14ac:dyDescent="0.45"/>
    <row r="32" spans="3:6" x14ac:dyDescent="0.45"/>
    <row r="33" x14ac:dyDescent="0.45"/>
    <row r="34" x14ac:dyDescent="0.45"/>
    <row r="35" x14ac:dyDescent="0.45"/>
    <row r="36" x14ac:dyDescent="0.45"/>
    <row r="37" x14ac:dyDescent="0.45"/>
    <row r="38" x14ac:dyDescent="0.45"/>
    <row r="39" x14ac:dyDescent="0.45"/>
    <row r="40" x14ac:dyDescent="0.45"/>
    <row r="41" x14ac:dyDescent="0.45"/>
    <row r="42" x14ac:dyDescent="0.45"/>
    <row r="43" x14ac:dyDescent="0.45"/>
    <row r="44" x14ac:dyDescent="0.45"/>
    <row r="45" x14ac:dyDescent="0.45"/>
    <row r="46" x14ac:dyDescent="0.45"/>
    <row r="47" x14ac:dyDescent="0.45"/>
    <row r="48" x14ac:dyDescent="0.45"/>
    <row r="49" x14ac:dyDescent="0.45"/>
    <row r="50" x14ac:dyDescent="0.45"/>
    <row r="51" x14ac:dyDescent="0.45"/>
    <row r="52" x14ac:dyDescent="0.45"/>
    <row r="53" x14ac:dyDescent="0.45"/>
    <row r="54" x14ac:dyDescent="0.45"/>
    <row r="55" x14ac:dyDescent="0.45"/>
    <row r="56" x14ac:dyDescent="0.45"/>
    <row r="57" x14ac:dyDescent="0.45"/>
    <row r="58" x14ac:dyDescent="0.45"/>
    <row r="59" x14ac:dyDescent="0.45"/>
    <row r="60" x14ac:dyDescent="0.45"/>
    <row r="61" x14ac:dyDescent="0.45"/>
    <row r="62" x14ac:dyDescent="0.45"/>
    <row r="63" x14ac:dyDescent="0.45"/>
    <row r="64" x14ac:dyDescent="0.45"/>
    <row r="65" x14ac:dyDescent="0.45"/>
    <row r="66" x14ac:dyDescent="0.45"/>
    <row r="67" x14ac:dyDescent="0.45"/>
    <row r="68" x14ac:dyDescent="0.45"/>
    <row r="69" x14ac:dyDescent="0.45"/>
    <row r="70" x14ac:dyDescent="0.45"/>
    <row r="71" x14ac:dyDescent="0.45"/>
    <row r="72" x14ac:dyDescent="0.45"/>
    <row r="73" x14ac:dyDescent="0.45"/>
    <row r="74" x14ac:dyDescent="0.45"/>
    <row r="75" x14ac:dyDescent="0.45"/>
    <row r="76" x14ac:dyDescent="0.45"/>
    <row r="77" x14ac:dyDescent="0.45"/>
    <row r="78" x14ac:dyDescent="0.45"/>
    <row r="79" x14ac:dyDescent="0.45"/>
    <row r="80" x14ac:dyDescent="0.45"/>
    <row r="81" x14ac:dyDescent="0.45"/>
    <row r="82" x14ac:dyDescent="0.45"/>
    <row r="83" x14ac:dyDescent="0.45"/>
    <row r="84" x14ac:dyDescent="0.45"/>
    <row r="85" x14ac:dyDescent="0.45"/>
    <row r="86" x14ac:dyDescent="0.45"/>
    <row r="87" x14ac:dyDescent="0.45"/>
    <row r="88" x14ac:dyDescent="0.45"/>
    <row r="89" x14ac:dyDescent="0.45"/>
    <row r="90" x14ac:dyDescent="0.45"/>
    <row r="91" x14ac:dyDescent="0.45"/>
    <row r="92" x14ac:dyDescent="0.45"/>
    <row r="93" x14ac:dyDescent="0.45"/>
    <row r="94" x14ac:dyDescent="0.45"/>
    <row r="95" x14ac:dyDescent="0.45"/>
    <row r="96" x14ac:dyDescent="0.45"/>
    <row r="97" x14ac:dyDescent="0.45"/>
    <row r="98" x14ac:dyDescent="0.45"/>
    <row r="99" x14ac:dyDescent="0.45"/>
    <row r="100" x14ac:dyDescent="0.45"/>
  </sheetData>
  <dataValidations count="4">
    <dataValidation type="decimal" operator="greaterThanOrEqual" allowBlank="1" showInputMessage="1" showErrorMessage="1" sqref="D8:E10" xr:uid="{CD7C6D4D-B215-4B12-AA31-045B96DF21F2}">
      <formula1>0</formula1>
    </dataValidation>
    <dataValidation type="decimal" allowBlank="1" showInputMessage="1" showErrorMessage="1" sqref="D7:E7" xr:uid="{DA43E067-3F91-437D-A0F2-A04CF4BFE0BF}">
      <formula1>0.01</formula1>
      <formula2>1</formula2>
    </dataValidation>
    <dataValidation type="whole" operator="greaterThanOrEqual" allowBlank="1" showInputMessage="1" showErrorMessage="1" sqref="D6:E6" xr:uid="{6AC3FC3D-47A1-429A-98D1-193801D4292D}">
      <formula1>1</formula1>
    </dataValidation>
    <dataValidation type="decimal" allowBlank="1" showInputMessage="1" showErrorMessage="1" sqref="D5:E5" xr:uid="{8A1C4F3E-8D8B-4AE0-AE5A-086C6B49CB14}">
      <formula1>1</formula1>
      <formula2>999999999999999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BBAHUAdABoAG8AcgA6ACAAIAAgACAAIAAgAFAAYQB0AHIAaQBjAGsAIABIAC4AXABuAC8ALwAgAEYAdQBuAGMAdABpAG8AbgBzADoAIAAgACAATQBvAHIAdABnAGEAZwBlALsDLAAgAE0AbwByAHQAZwBhAGcAZQBDAG8AbQBwAGEAcgBlALsDXABuAC8ALwAgAFYAZQByAHMAaQBvAG4AOgAgACAAIAAgACAAMQAuADAAXABuAC8ALwAgAFAAdQBiAGwAaQBzAGgAZQBkADoAIAAgACAAMQAwAC8AMQAvADIAMAAyADUAXABuAC8ALwAgAFIAZQBwAG8AOgAgACAAIAAgACAAIAAgACAAXABuAC8ALwAgAEQAZQBzAGMAcgBpAHAAdABpAG8AbgA6ACAATQBvAHIAdABnAGEAZwBlALsDIABnAGUAbgBlAHIAYQB0AGUAcwAgAGEAIABzAHUAbQBtAGEAcgB5ACAAbwBmACAAbQBvAG4AdABoAGwAeQAgAHAAYQB5ACwAIABwAHIAbwBwAGUAcgB0AHkAIAB0AGEAeAAsAFwAbgAvAC8AIAAgACAAIAAgACAAIAAgACAAIAAgACAAIAAgAFAAcgBpAHYAYQB0AGUAIABNAG8AcgB0AGcAYQBnAGUAIABJAG4AcwB1AHIAYQBuAGMAZQAgACgAUABNAEkAKQAsACAATwB0AGgAZQByACAAYwBvAHMAdABzACwAIABUAG8AdABhAGwAIABPAHUAdAAgAG8AZgAgAFAAbwBjAGsAZQB0ACwAXABuAC8ALwAgACAAIAAgACAAIAAgACAAIAAgACAAIAAgACAAYQBuAGQAIABUAG8AdABhAGwAIABJAG4AdABlAHIAZQBzAHQAIABQAGEAaQBkAC4AIAAgAE0AbwByAHQAZwBhAGcAZQBDAG8AbQBwAGEAcgBlALsDIABjAGEAbABsAHMAIABNAG8AcgB0AGcAYQBnAGUAuwMgAHQAbwAgAHAAcgBvAHYAaQBkAGUAXABuAC8ALwAgACAAIAAgACAAIAAgACAAIAAgACAAIAAgACAAYQAgAGMAbwBtAHAAYQByAGkAcwBvAG4AIABvAGYAIAB0AHcAbwAgAG0AbwByAHQAZwBhAGcAZQAgAHMAYwBlAG4AYQByAGkAbwBzAC4AXABuAFwAbgBcAG4ATQBvAHIAdABnAGEAZwBlALsDIAA9AFwAbgBcAG4ATABBAE0AQgBEAEEAKABcAG4AXABuAGwAbwBhAG4AXwBhAG0AbwB1AG4AdAAsAFwAbgBsAG8AYQBuAF8AdABlAHIAbQAsAFwAbgByAGEAdABlACwAXABuAHAAcgBvAHAAZQByAHQAeQBfAHQAYQB4ACwAXABuAFsAUABNAEkAXwBpAG4AcwB1AHIAYQBuAGMAZQBdACwAXABuAFsAbwB0AGgAZQByAF8AYwBvAHMAdABdACwAXABuAFwAbgAvAC8ASQBuAHAAdQB0ACAAYwBoAGUAYwBrAHMAOgBcAG4AVgBhAGwAaQBkAGEAdABlALsDKABsAG8AYQBuAF8AYQBtAG8AdQBuAHQALABsAG8AYQBuAF8AdABlAHIAbQAsAHIAYQB0AGUALABwAHIAbwBwAGUAcgB0AHkAXwB0AGEAeAAsAFwAbgBcAG4ALwAvAE8AbgAgAHYAYQBsAGkAZABcAG4ATABFAFQAKABcAG4AIAAgACAAIABsAGEAYgBlAGwAcwAsAHsAXAAiAE0AbwBuAHQAaABsAHkAIABQAGEAeQBcACIAOwBcACIATQBvAG4AdABoAGwAeQAgAFAAcgBvAHAAZQByAHQAeQAgAFQAYQB4AFwAIgA7AFwAIgBNAG8AbgB0AGgAbAB5ACAAUABNAEkAIAAoAFAAcgBpAHYAYQB0AGUAIABNAG8AcgB0AGcAYQBnAGUAIABJAG4AcwB1AHIAYQBuAGMAZQApAFwAIgA7AFwAbgAgACAAIAAgACAAIAAgACAAIAAgACAAIABcACIATQBvAG4AdABoAGwAeQAgAE8AdABoAGUAcgAgAEMAbwBzAHQAcwBcACIAOwBcACIATQBvAG4AdABoAGwAeQAgAFQAbwB0AGEAbAAgAE8AdQB0ACAAbwBmACAAUABvAGMAawBlAHQAXAAiADsAXAAiAFQAbwB0AGEAbAAgAG8AZgAgAE0AbwBuAHQAaABsAHkAIABQAGEAeQBtAGUAbgB0AHMAXAAiADsAXABuACAAIAAgACAAIAAgACAAIAAgACAAIAAgAFwAIgBUAG8AdABhAGwAIABJAG4AdABlAHIAZQBzAHQAIABQAGEAaQBkAFwAIgB9ACwAXABuAFwAbgAgACAAIAAgAC8ALwBNAG8AbgB0AGgAbAB5ACAAZQB4AHAAZQBuAHMAZQBzADoAXABuACAAIAAgACAAbQBvAG4AdABoAGwAeQBfAHAAYQB5AG0AZQBuAHQALABBAEIAUwAoAFAATQBUACgAcgBhAHQAZQAvADEAMgAsAGwAbwBhAG4AXwB0AGUAcgBtACoAMQAyACwAbABvAGEAbgBfAGEAbQBvAHUAbgB0ACkAKQAsAFwAbgAgACAAIAAgAG0AbwBuAHQAaABsAHkAXwBwAHIAbwBwAGUAcgB0AHkAXwB0AGEAeAAsAHAAcgBvAHAAZQByAHQAeQBfAHQAYQB4AC8AMQAyACwAXABuACAAIAAgACAAbQBvAG4AdABoAGwAeQBfAFAATQBJACwAIABJAEYAKABJAFMATwBNAEkAVABUAEUARAAoAFAATQBJAF8AaQBuAHMAdQByAGEAbgBjAGUAKQAsACAAMAAsACAAUABNAEkAXwBpAG4AcwB1AHIAYQBuAGMAZQAvADEAMgApACwAXABuACAAIAAgACAAbQBvAG4AdABoAGwAeQBfAG8AdABoAGUAcgAsAEkARgAoAEkAUwBPAE0ASQBUAFQARQBEACgAbwB0AGgAZQByAF8AYwBvAHMAdAApACwAMAAsAG8AdABoAGUAcgBfAGMAbwBzAHQALwAxADIAKQAsAFwAbgAgACAAIAAgAFwAbgAgACAAIAAgAC8ALwBNAG8AbgB0AGgAbAB5ACAAdABvAHQAYQBsAHMAXABuACAAIAAgACAAbQBvAG4AdABoAGwAeQBfAHQAbwB0AGEAbABfAE8ATwBQACwAUwBVAE0AKABtAG8AbgB0AGgAbAB5AF8AcABhAHkAbQBlAG4AdAAsAG0AbwBuAHQAaABsAHkAXwBwAHIAbwBwAGUAcgB0AHkAXwB0AGEAeAAsAG0AbwBuAHQAaABsAHkAXwBQAE0ASQAsAG0AbwBuAHQAaABsAHkAXwBvAHQAaABlAHIAKQAsAFwAbgAgACAAIAAgAFQAbwB0AGEAbABfAG8AZgBfAE0AbwBuAHQAaABsAHkAXwBQAGEAeQBtAGUAbgB0AHMALABsAG8AYQBuAF8AdABlAHIAbQAgACoAIAAxADIAIAAqACAAbQBvAG4AdABoAGwAeQBfAHAAYQB5AG0AZQBuAHQALABcAG4AIAAgACAAIABUAG8AdABhAGwAXwBJAG4AdABlAHIAZQBzAHQAXwBQAGEAaQBkACwAVABvAHQAYQBsAF8AbwBmAF8ATQBvAG4AdABoAGwAeQBfAFAAYQB5AG0AZQBuAHQAcwAgAC0AIABsAG8AYQBuAF8AYQBtAG8AdQBuAHQALABcAG4AXABuACAAIAAgACAALwAvAFMAdABhAGMAawAgAG0AbwBuAHQAaABsAHkAIABlAHgAcABlAG4AcwBlAHMAXABuACAAIAAgACAAbQBvAG4AdABoAGwAeQBfAHMAdABhAGMAawAsAFQARQBYAFQAKABWAFMAVABBAEMASwAoAG0AbwBuAHQAaABsAHkAXwBwAGEAeQBtAGUAbgB0ACwAbQBvAG4AdABoAGwAeQBfAHAAcgBvAHAAZQByAHQAeQBfAHQAYQB4ACwAbQBvAG4AdABoAGwAeQBfAFAATQBJACwAXABuACAAIAAgACAAIAAgACAAIAAgACAAIAAgACAAIAAgACAAIAAgACAAIAAgACAAIAAgACAAbQBvAG4AdABoAGwAeQBfAG8AdABoAGUAcgAsAG0AbwBuAHQAaABsAHkAXwB0AG8AdABhAGwAXwBPAE8AUAAsAFQAbwB0AGEAbABfAG8AZgBfAE0AbwBuAHQAaABsAHkAXwBQAGEAeQBtAGUAbgB0AHMALABcAG4AIAAgACAAIAAgACAAIAAgACAAIAAgACAAIAAgACAAIAAgACAAIAAgACAAIAAgACAAIABUAG8AdABhAGwAXwBJAG4AdABlAHIAZQBzAHQAXwBQAGEAaQBkACkALABcACIAIwAsACMAIwAwAC4AMAAwAFwAIgApACwAXABuAFwAbgAgACAAIAAgAC8ALwBBAGQAZAAgAHQAaQB0AGwAZQAgAGEAbgBkACAAcAByAGUAcwBlAG4AdABcAG4AIAAgACAAIAB0AGkAdABsAGUALABcACIATQBvAHIAdABnAGEAZwBlACAAUwB1AG0AbQBhAHIAeQAgAGYAbwByACAAYQAgACQAXAAiACAAJgAgAFQARQBYAFQAKABsAG8AYQBuAF8AYQBtAG8AdQBuAHQALABcACIAIwAsACMAIwAwAFwAIgApACAAJgAgAFwAbgAgACAAIAAgACAAIAAgACAAIAAgAFwAIgAgAEwAbwBhAG4AIABPAHYAZQByACAAXAAiACAAJgAgAGwAbwBhAG4AXwB0AGUAcgBtACAAJgAgAFwAIgAgAFkAZQBhAHIAcwAgAGEAdAAgAFwAIgAgACYAIABUAEUAWABUACgAcgBhAHQAZQAqADEAMAAwACwAXAAiADAALgAwADAAXAAiACkAIAAmACAAXAAiACUAXAAiACwAXABuAFwAbgAgACAAIAAgAGQAZQBsAGkAdgBlAHIAeQAsAFYAUwBUAEEAQwBLACgASABTAFQAQQBDAEsAKAB0AGkAdABsAGUALABcACIAQQBtAG8AdQBuAHQAXAAiACkALABIAFMAVABBAEMASwAoAGwAYQBiAGUAbABzACwAbQBvAG4AdABoAGwAeQBfAHMAdABhAGMAawApACkALABcAG4AIAAgACAAIABcAG4AIAAgACAAIABkAGUAbABpAHYAZQByAHkAKQApACkAOwBcAG4AXABuAC8ALwBQAHIAbwB2AGkAZABlAHMAIABhACAAYwBvAG0AcABhAHIAaQBzAG8AbgAgAG8AZgAgAHQAdwBvACAAbQBvAHIAdABnAGEAZwBlACAAcwBjAGUAbgBhAHIAaQBvAHMALgAgAFAAbABlAGEAcwBlACAAcwBlAGUAIABNAG8AcgB0AGcAYQBnAGUAuwMgAGYAbwByACAAcABhAHIAYQBtAGUAdABlAHIAIABkAGUAcwBjAHIAaQBwAHQAaQBvAG4AcwBcAG4ATQBvAHIAdABnAGEAZwBlAEMAbwBtAHAAYQByAGUAuwMgAD0AXABuAEwAQQBNAEIARABBACgAXABuACAAIAAgACAAbABvAGEAbgBfAGEAbQBvAHUAbgB0AF8AYQAsACAAbABvAGEAbgBfAGEAbQBvAHUAbgB0AF8AYgAsAFwAbgAgACAAIAAgAGwAbwBhAG4AXwB0AGUAcgBtAF8AYQAsACAAbABvAGEAbgBfAHQAZQByAG0AXwBiACwAXABuACAAIAAgACAAcgBhAHQAZQBfAGEALAAgAHIAYQB0AGUAXwBiACwAXABuACAAIAAgACAAcAByAG8AcABlAHIAdAB5AF8AdABhAHgAXwBhACwAIABwAHIAbwBwAGUAcgB0AHkAXwB0AGEAeABfAGIALABcAG4AIAAgACAAIABbAFAATQBJAF8AaQBuAHMAdQByAGEAbgBjAGUAXwBhAF0ALAAgAFsAUABNAEkAXwBpAG4AcwB1AHIAYQBuAGMAZQBfAGIAXQAsAFwAbgAgACAAIAAgAFsAbwB0AGgAZQByAF8AYwBvAHMAdABfAGEAXQAsACAAWwBvAHQAaABlAHIAXwBjAG8AcwB0AF8AYgBdACwAXABuAFwAbgAgACAAIAAgAEwARQBUACgAIAAgACAAIABcAG4AIAAgACAAIAAvAC8ATABhAGIAZQBsAHMAXABuACAAIAAgACAAcwBjAGUAbgBhAHIAaQBvAF8AbABhAGIAZQBsAHMALAAgAHsAXAAiAFwAIgAsAFwAIgBTAGMAZQBuAGEAcgBpAG8AIABBAFwAIgAsAFwAIgBTAGMAZQBuAGEAcgBpAG8AIABCAFwAIgAsAFwAIgBEAGkAZgBmAGUAcgBlAG4AYwBlAFwAIgB9ACwAXABuAFwAbgAgACAAIAAgAC8ALwBWAGEAbABpAGQAYQB0AGUAIABpAG4AcAB1AHQAcwAgAHQAaABlAG4AIABjAGEAbABjAHUAbABhAHQAZQAgAHMAdQBtAG0AYQByAGkAZQBzAFwAbgAgACAAIAAgAHMAdQBtAG0AYQByAHkAXwBhACwAIABWAGEAbABpAGQAYQB0AGUAuwMoAGwAbwBhAG4AXwBhAG0AbwB1AG4AdABfAGEALABsAG8AYQBuAF8AdABlAHIAbQBfAGEALAByAGEAdABlAF8AYQAsAHAAcgBvAHAAZQByAHQAeQBfAHQAYQB4AF8AYQAsAFwAbgAgACAAIAAgACAAIAAgACAAIAAgACAAIAAgACAAIABNAG8AcgB0AGcAYQBnAGUAuwMoAGwAbwBhAG4AXwBhAG0AbwB1AG4AdABfAGEALAAgAGwAbwBhAG4AXwB0AGUAcgBtAF8AYQAsACAAcgBhAHQAZQBfAGEALAAgAHAAcgBvAHAAZQByAHQAeQBfAHQAYQB4AF8AYQAsAFwAbgAgACAAIAAgACAAIAAgACAAIAAgACAAIAAgACAAIAAgACAAIAAgACAAIAAgACAAIAAgAFAATQBJAF8AaQBuAHMAdQByAGEAbgBjAGUAXwBhACwAIABvAHQAaABlAHIAXwBjAG8AcwB0AF8AYQApACkALABcAG4AXABuACAAIAAgACAAcwB1AG0AbQBhAHIAeQBfAGIALAAgAFYAYQBsAGkAZABhAHQAZQC7AygAbABvAGEAbgBfAGEAbQBvAHUAbgB0AF8AYgAsAGwAbwBhAG4AXwB0AGUAcgBtAF8AYgAsAHIAYQB0AGUAXwBiACwAcAByAG8AcABlAHIAdAB5AF8AdABhAHgAXwBiACwAXABuACAAIAAgACAAIAAgACAAIAAgACAAIAAgACAAIAAgAEQAUgBPAFAAKABNAG8AcgB0AGcAYQBnAGUAuwMoAGwAbwBhAG4AXwBhAG0AbwB1AG4AdABfAGIALAAgAGwAbwBhAG4AXwB0AGUAcgBtAF8AYgAsACAAcgBhAHQAZQBfAGIALABcAG4AIAAgACAAIAAgACAAIAAgACAAIAAgACAAIAAgACAAcAByAG8AcABlAHIAdAB5AF8AdABhAHgAXwBiACwAIABQAE0ASQBfAGkAbgBzAHUAcgBhAG4AYwBlAF8AYgAsACAAbwB0AGgAZQByAF8AYwBvAHMAdABfAGIAKQAsACwAMQApACkALABcAG4AXABuACAAIAAgACAALwAvAEQAaQBmAGYAZQByAGUAbgBjAGUAIABpAG4AIABlAHgAcABlAG4AcwBlAHMAIABiAGUAdAB3AGUAZQBuACAAUwBjAGUAbgBhAHIAaQBvACAAQQAgAGEAbgBkACAAUwBjAGUAbgBhAHIAaQBvACAAQgBcAG4AIAAgACAAIABkAGkAZgBmAGUAcgBlAG4AYwBlACwASQBGAEUAUgBSAE8AUgAoAHMAdQBtAG0AYQByAHkAXwBiAC0ARABSAE8AUAAoAHMAdQBtAG0AYQByAHkAXwBhACwALAAxACkALABcACIAXAAiACkALABcAG4AXABuACAAIAAgACAAZABlAGwAaQB2AGUAcgB5ACwAIABWAFMAVABBAEMASwAoAHMAYwBlAG4AYQByAGkAbwBfAGwAYQBiAGUAbABzACwASABTAFQAQQBDAEsAKABzAHUAbQBtAGEAcgB5AF8AYQAsACAAcwB1AG0AbQBhAHIAeQBfAGIALABkAGkAZgBmAGUAcgBlAG4AYwBlACkAKQAsAFwAbgAgACAAIAAgAGQAZQBsAGkAdgBlAHIAeQApACkAOwBcAG4AXABuAFwAbgAvAC8AVgBhAGwAaQBkAGEAdABlACAATQBvAHIAdABnAGEAZwBlALsDIABpAG4AcAB1AHQAcwAuACAAIABQAGwAZQBhAHMAZQAgAHMAZQBlACAATQBvAHIAdABnAGEAZwBlALsDIABmAG8AcgAgAHAAYQByAGEAbQBlAHQAZQByACAAZABlAHMAYwByAGkAcAB0AGkAbwBuAHMALgBcAG4AVgBhAGwAaQBkAGEAdABlALsDPQBcAG4ATABBAE0AQgBEAEEAKABcAG4AbABvAGEAbgBfAGEAbQBvAHUAbgB0ACwAXABuAGwAbwBhAG4AXwB0AGUAcgBtACwAXABuAHIAYQB0AGUALABcAG4AcAByAG8AcABlAHIAdAB5AF8AdABhAHgALABcAG4AbwBuAF8AdgBhAGwAaQBkACwAIAAgACAAIAAgACAAIAAvAC8AUAByAG8AYwBlAGUAZAAgAGkAZgAgAGEAbABsACAAYwBoAGUAYwBrAHMAIABwAGEAcwBzAGUAZABcAG4AXABuACAAIAAgACAASQBGACgAbABvAGEAbgBfAGEAbQBvAHUAbgB0ADwAMQAsAFwAIgAjAEwATwBBAE4ALQBBAE0ATwBVAE4AVAAhAFwAIgAsAFwAbgAgACAAIAAgAEkARgAoAGwAbwBhAG4AXwB0AGUAcgBtADwAMQAsAFwAIgAjAEwATwBBAE4ALQBUAEUAUgBNACEAXAAiACwAXABuACAAIAAgACAASQBGACgAKAByAGEAdABlADwAPQAwACkAKwAoAHIAYQB0AGUAPgAxACkALABcACIAIwBSAEEAVABFACEAXAAiACwAXABuACAAIAAgACAASQBGACgAcAByAG8AcABlAHIAdAB5AF8AdABhAHgAPAAwACwAXAAiACMAUABSAE8AUABFAFIAVABZAC0AVABBAFgAIQBcACIALABvAG4AXwB2AGEAbABpAGQAKQApACkAKQApACIAfQBdACwAIgBwAHIAbwBqAGUAYwB0AE4AYQBtAGUAcwAiADoAWwAiAE0AbwByAHQAZwBhAGcAZQC7AyIALAAiAE0AbwByAHQAZwBhAGcAZQBDAG8AbQBwAGEAcgBlALsDIgAsACIAVgBhAGwAaQBkAGEAdABlALsD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60C6B5ED-A049-4639-B0AF-2F9DEEC967B1}">
  <ds:schemaRefs>
    <ds:schemaRef ds:uri="http://schemas.advancedformulaenvironment.officeapps.live.com/afejsonblob/1.0"/>
  </ds:schemaRefs>
</ds:datastoreItem>
</file>

<file path=docMetadata/LabelInfo.xml><?xml version="1.0" encoding="utf-8"?>
<clbl:labelList xmlns:clbl="http://schemas.microsoft.com/office/2020/mipLabelMetadata">
  <clbl:label id="{8d0d81ba-ed03-4c6f-9248-a3b3967ca35c}" enabled="0" method="" siteId="{8d0d81ba-ed03-4c6f-9248-a3b3967ca35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Calculator</vt:lpstr>
      <vt:lpstr>Compare</vt:lpstr>
    </vt:vector>
  </TitlesOfParts>
  <Company>Alithya Canada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Hogan</dc:creator>
  <cp:lastModifiedBy>Patrick Hogan</cp:lastModifiedBy>
  <dcterms:created xsi:type="dcterms:W3CDTF">2025-09-30T17:13:29Z</dcterms:created>
  <dcterms:modified xsi:type="dcterms:W3CDTF">2025-10-01T15:11:25Z</dcterms:modified>
</cp:coreProperties>
</file>