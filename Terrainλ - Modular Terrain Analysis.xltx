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dgewater-my.sharepoint.com/personal/pat_hogan_alithya_com/Documents/Documents/Custom Office Templates/"/>
    </mc:Choice>
  </mc:AlternateContent>
  <xr:revisionPtr revIDLastSave="0" documentId="8_{D4B8B904-E98A-44AE-9337-D710200894DD}" xr6:coauthVersionLast="47" xr6:coauthVersionMax="47" xr10:uidLastSave="{00000000-0000-0000-0000-000000000000}"/>
  <bookViews>
    <workbookView xWindow="28680" yWindow="-120" windowWidth="29040" windowHeight="15720" tabRatio="831" activeTab="3" xr2:uid="{E1986A02-1E46-43A7-A583-CE4DA02F35AC}"/>
  </bookViews>
  <sheets>
    <sheet name="Introduction" sheetId="44" r:id="rId1"/>
    <sheet name="QuickStart" sheetId="43" r:id="rId2"/>
    <sheet name="Input" sheetId="28" r:id="rId3"/>
    <sheet name="Analyze" sheetId="33" r:id="rId4"/>
    <sheet name="Export" sheetId="38" r:id="rId5"/>
    <sheet name="FAQ" sheetId="41" r:id="rId6"/>
    <sheet name="Glossary" sheetId="30" r:id="rId7"/>
    <sheet name="DEM-AmazonBasin" sheetId="32" state="hidden" r:id="rId8"/>
    <sheet name="DEM-DeathValley" sheetId="34" state="hidden" r:id="rId9"/>
  </sheets>
  <definedNames>
    <definedName name="cellsize_input">Analyze!$E$13</definedName>
    <definedName name="Clampλ">_xlfn.LAMBDA(_xlpm.param,_xlpm.min,_xlpm.max,_xlpm.fallback, IF(_xlfn.ISOMITTED(_xlpm.param), _xlpm.fallback, IF(AND(_xlpm.param &gt; _xlpm.min, _xlpm.param &lt;= _xlpm.max), _xlpm.param, _xlpm.fallback)))</definedName>
    <definedName name="Class_Types">{"Pit","Valley","Valley";"Footslope","Hollow","Hollow";"Flat","Slope","Slope";"Spur","Shoulder","Shoulder";"Peak","Ridge","Ridge"}</definedName>
    <definedName name="Coordinatesλ">_xlfn.LAMBDA(_xlpm.latitude,_xlpm.longitude,_xlpm.n,_xlop.shape, IF(OR(NOT(AND(_xlpm.latitude &gt;= -90, _xlpm.latitude &lt;= 90)), NOT(AND(_xlpm.longitude &gt;= -180, _xlpm.longitude &lt;= 190))), "#COORDINATES!", _xlfn.LET(_xlpm.x, _xlpm.latitude + _xlfn.SEQUENCE(_xlpm.n, , 0, 1) * 0.00027, _xlpm.y, _xlpm.longitude + _xlfn.SEQUENCE(, _xlpm.n, 0, 1) * 0.00033, _xlpm.deliver, IF(_xlfn.ISOMITTED(_xlpm.shape), _xlpm.y &amp; "," &amp; _xlpm.x, _xlfn.TOCOL(_xlpm.y &amp; "," &amp; _xlpm.x)), _xlpm.deliver)))</definedName>
    <definedName name="Deferλ">_xlfn.LAMBDA(_xlpm.x, _xlfn.LAMBDA(_xlpm.x))</definedName>
    <definedName name="DEM.AmazonBasin">'DEM-AmazonBasin'!$B$9:$DQ$128</definedName>
    <definedName name="DEM.Badlands">{806.64,809.1,809.16,809.89,810.67,810.72,811.22,809.25,809.5,810.53,809.36,809.52,808.96,810.22,812.13,813.23,812.73,812.84,812.84,813.2;808.67,809.36,808.95,808.77,809.86,810.19,809.58,809.04,809.21,809.27,809.76,809.36,809.27,810.52,810.98,811.9,812.81,812.76,813.1,813.15;805.98,806.52,807.41,808.29,810.35,810.57,808.89,809.02,808.94,809.28,809.44,808.07,809.29,812.85,811.2,813.7,814.23,813.42,812.8,813.63;805.96,806.18,806.28,806.67,808.45,810.88,808.97,808.83,808.71,808.76,809.3,809.11,809.11,814.81,812.15,815.75,817.97,814.82,815.96,816.36;806.18,806.24,806.52,806.87,806.56,809.34,810.04,809.27,808.75,808.75,808.84,808.91,813.37,815.07,813,815.21,816.54,816.53,819.18,820.12;807.47,806.34,806.66,806.96,807.16,807.18,808.37,808.62,808.68,807.97,807.48,816.29,816.23,815.34,814.23,814.49,815.18,816.86,818.67,818.95;807.04,806.62,806.83,807,807.25,806.44,807.6,808.12,808.34,808.15,807.05,817.8,817.71,818.87,815.77,814.52,815.07,817.71,817.29,818.85;808.16,806.59,807.17,807.12,808.07,807.54,807.61,807.51,808.08,807.9,820.39,817.81,817.57,817.09,815.24,814.96,815.39,816.41,817.87,818.87;811.46,806.61,806.88,807.32,810.22,807.85,808.4,812.82,816.71,817.37,817.83,817.93,817.41,816.44,815.56,815.54,816.02,817.48,817.32,816.4;813.16,813.48,810.75,811.05,816.49,816.72,816.55,816.85,817.21,817.51,817.87,817.69,817.26,817,815.87,816.15,816.81,817.26,816.94,816.54;813.84,814.02,814.86,815.91,817.05,817.36,817.46,817.68,818.14,818.2,817.99,817.89,817.49,816.87,816.57,817.85,817.55,817.28,816.89,816.52;813.53,814.89,815.79,816.55,817.35,817.83,818.1,818.21,818.61,818.27,818.18,817.5,817.02,816.88,817.14,817.5,818.03,817.81,816.95,815.89;814.36,815.26,815.15,816.16,817.27,817.84,818.42,818.61,818.58,818.31,818.09,817.64,817.13,817.14,817.51,817.9,818.16,817.86,816.67,815.95;813.4,814.15,815.37,816.29,817.02,818.12,818.26,818.64,818.95,818.79,818.45,817.75,817.47,817.46,817.81,818.04,817.96,816.98,816.09,815.51;812.56,814.16,814.97,815.77,816.59,817.09,817.19,817.46,817.72,818.5,818.09,817.79,818.16,817.85,817.89,818.21,817.49,816.73,816,815.63;813.19,813.55,814.13,815.1,815.62,816.33,816.62,816.85,817.53,817.93,818.34,818.07,818.6,818.43,818.2,818.13,817.2,816.98,816,815.43;813.71,814.35,814.6,815.05,815.68,816.31,816.49,816.63,817.02,817.55,817.79,818.32,818.68,818.71,818.61,817.81,816.67,816.14,815.93,816.03;815.03,815.28,815.18,815.47,817,816.18,816.16,816.63,817.32,817.26,817.49,817.69,818.22,818.33,818.16,817.56,816.95,816.89,816.08,815.96;814.93,815.87,815.77,816.04,816.17,815.93,816.45,816.41,816.75,817.12,817.39,817.7,817.91,818.16,818.08,817.66,816.9,816.48,816.32,816.27;814.76,815.75,815.12,815.11,815.6,816.13,817.1,817.11,817.38,817.41,817.54,817.74,818.07,818.32,818.42,817.72,817,816.65,816.48,816.47}</definedName>
    <definedName name="DEM.CoronaNewMexico">_xlfn.VSTACK(Extra.NM_1, Extra.NM_2)</definedName>
    <definedName name="DEM.DeathValley">'DEM-DeathValley'!$B$4:$AY$53</definedName>
    <definedName name="DEM.Everglades">{-1.5,0.42,-1.5,-0.34,0.1,0.12,0.14,0.01,-1.34,0.14,0.26,-0.8,-0.8,-0.8,-0.8,-0.06,0.1,-0.81,-0.81,-0.03;-1.5,0.17,-1.5,-1.5,-1.5,-1.5,0.17,0.11,-1.02,-0.43,0.31,0.07,0,-0.8,-0.8,0.12,-0.81,-0.81,-0.81,-0.81;0.13,0.19,-1.5,-1.5,-1.5,-1.5,-1.5,-1.5,0.18,0.02,-0.03,0.24,-0.04,0,-0.08,-0.02,-0.81,-0.81,-0.81,-0.81;0.09,0.01,0.22,-0.6,-1.5,0.19,-1.5,-1.5,-1.5,-1.5,-1.5,-1.5,-1.5,-0.07,0.23,-0.42,0.22,-0.05,-0.81,-0.81;0.07,-0.1,0.12,-1.5,-1.5,0.15,0.1,-1.5,-1.5,-1.5,-1.5,-1.5,-1.5,-0.72,-0.1,-0.02,0.39,-0.06,0.06,0;0,0.06,-1.5,0.05,0.14,0.11,-0.66,-1.5,-1.5,-1.5,-1.5,-1.5,-1.5,-1.5,0.36,-1.5,-1.5,-1.5,-1.5,-0.18;-1.5,0.28,-1.5,-1.5,-1.5,-1.5,-0.02,-1.5,-1.5,-1.5,-1.5,-1.5,-1.5,-1.5,-1.5,-1.5,-1.5,-1.5,-1.5,-1.5;-1.48,-1.5,-1.5,-1.46,-1.5,-1.5,0.15,-1.5,-1.5,-1.5,-1.5,-1.5,-1.5,-1.5,-1.5,-1.5,-1.5,-1.5,-1.5,-1.5;0.36,-1.48,0.08,0.07,-1.5,-1.5,0.19,-1.5,-1.5,-1.5,-1.5,-1.5,-1.5,-1.5,-1.5,-1.5,-1.5,-1.5,-1.5,-1.5;-1.4,-0.42,0.16,0.05,0.03,-1.5,0.08,-1.5,-1.5,-1.5,-1.5,-1.5,-1.5,-1.5,-1.5,-1.5,-1.5,-1.5,-1.5,-1.5;-1.5,-1.5,0.02,0.17,0.17,0,0.12,0.13,-1.5,-1.5,-1.5,-1.5,-1.5,-1.5,-1.5,-1.5,-1.5,-1.5,-1.5,-1.5;0.23,0.02,0.3,0.13,0.14,0.1,0.22,0.11,-1.5,-1.5,-1.5,-1.5,-1.5,-1.5,-1.5,-1.5,-1.5,-1.5,-1.5,0.08;0.29,0.19,0.24,0.02,0.23,0.19,-0.01,0.04,0.25,-1.1,0.24,-1.5,-1.5,-1.5,-1.5,-1.5,-0.06,0.41,-0.08,0.08;0.13,0.12,0.31,0.02,0.01,0.14,0.14,-0.37,-0.04,0.39,-1.5,0.17,-1.5,-1.5,-0.2,0.28,0.01,-0.01,0.1,0.32;-0.41,-0.35,-0.41,0.06,-0.03,-0.05,0.17,-0.37,-0.37,-0.08,-1.5,0.08,-1.5,-1.5,-1.5,-1.5,-1.5,0.34,-0.64,0;-0.41,-0.41,-0.41,0.05,-0.11,0.27,0.16,-0.37,-0.37,-0.03,-1.5,-1.5,-1.5,-1.5,-1.5,-1.5,-1.5,-1.5,-1.48,-0.09;0.07,-0.41,-0.41,-0.41,-0.41,0.11,-0.37,-0.37,-0.37,0.03,-1.5,-1.5,-1.5,-1.5,-1.5,-1.5,-1.5,0.04,-0.08,-1.5;-0.41,-0.39,-0.41,-0.41,-0.41,-0.02,0.17,-0.35,0.25,0.14,-1.5,-1.5,-1.5,-1.5,-1.5,0.37,-1.5,0.22,0.42,0.09;-0.41,-0.41,-0.41,-0.41,-0.02,0.11,0.16,0.25,0.15,-0.09,-1.5,-1.5,-1.5,-1.5,-1.5,0.5,0.16,0.06,-0.08,-0.07;-0.41,-0.41,-0.07,0.34,-0.09,0.16,0.38,0.23,-0.11,0.02,0.32,0.51,-1.5,-1.5,0.45,0.02,-0.02,0.09,-0.17,-0.76}</definedName>
    <definedName name="DEM.GlacierNationalPark">{1653.82,1654.18,1656.82,1659.48,1667.13,1664.38,1667.14,1673.6,1680.26,1690.92,1684.44,1683.79,1681.06,1675.46,1662.1,1659.32,1669.48,1685.49,1695.25,1704.99,1715.82,1724.43,1730.01,1735.61,1742.11,1746.29,1752.46,1759.93,1767.97,1775.6;1675.34,1676.7,1678.26,1678.56,1680.37,1686.4,1686.19,1687.89,1700.3,1701.9,1701.39,1696.45,1691.72,1688.09,1686.58,1673.44,1665.7,1674.71,1685.67,1697.54,1705.87,1714.22,1722.09,1729.21,1736.9,1740.91,1745.14,1751.15,1759.6,1767.78;1700.39,1702.54,1706.24,1706.77,1702.24,1703.13,1706.57,1706,1713.29,1719.38,1714.11,1709.26,1705.02,1700.15,1696.12,1691.08,1679.17,1669.91,1674.84,1681.79,1697.25,1707.29,1713.38,1721.83,1729.21,1736.22,1739.6,1742.66,1751.62,1760.76;1720.32,1721.54,1723.59,1728.05,1728.81,1728.35,1729.44,1729.88,1728.59,1735.08,1725.15,1726.07,1720.3,1713.02,1706.52,1701.94,1697.21,1687.45,1681.96,1677.66,1685,1694.64,1705.48,1715.09,1721.54,1727.86,1734.78,1739.89,1746.69,1754.75;1737.58,1739.9,1740.66,1746.98,1748.09,1748.18,1747.18,1746.73,1747.27,1742.62,1741.27,1742.27,1733.59,1728.21,1719.62,1714.11,1707.78,1704.11,1699.35,1692.96,1687.9,1687.25,1697.98,1707.29,1715.73,1720.6,1728.29,1735.62,1743.08,1749.77;1748.28,1755.23,1757.67,1762.71,1766.86,1768.38,1768.41,1765.6,1763.38,1756.3,1760.44,1753.6,1751.48,1743.17,1734.24,1726.27,1722.16,1716.04,1711.62,1705.96,1701.68,1696.7,1690.08,1699.97,1710.26,1717.57,1725.3,1731.54,1735.05,1742.46;1756.86,1764.73,1771.56,1775.91,1781.06,1785.56,1788.91,1785.38,1779.89,1774.59,1776.94,1771.98,1766.78,1758.49,1749.49,1742.55,1736.53,1729.08,1723.08,1715.65,1712.97,1708.73,1704.24,1700.63,1702.46,1712.54,1720.5,1727.19,1733.51,1738.61;1767.42,1774.08,1779.42,1787.22,1789.97,1795.78,1800.54,1803.21,1796.57,1792.83,1789.24,1788.46,1783.27,1774.26,1766.33,1757,1749.79,1743.13,1733.46,1729.42,1724.21,1718.67,1714.66,1711.82,1705.98,1705.3,1711.6,1722.34,1729.68,1735.03;1777.22,1784.49,1790.26,1796.3,1800.54,1804.38,1809.74,1812.47,1813.95,1810.53,1806.6,1804.9,1798.7,1790.61,1781.02,1774.53,1763.92,1754.65,1750.48,1742.94,1735.27,1730.79,1725.66,1722.95,1719.24,1715.77,1709.96,1715.39,1725.73,1732.74;1785.38,1793.03,1798.98,1805.4,1809.34,1813.87,1816.75,1822.32,1827.18,1825.96,1824.43,1819.8,1813.56,1804.03,1799.4,1789.88,1780.92,1772.46,1764.6,1757.9,1750.38,1744.16,1740.02,1734.97,1730.26,1727.5,1723.49,1718.1,1721.52,1731.57;1795.29,1800.41,1806.49,1812.02,1816.57,1822.81,1825.34,1831.67,1837.04,1841.84,1847.11,1847.06,1829.62,1821.22,1815.63,1804.37,1794.81,1787.13,1781.47,1774.43,1764.55,1757.88,1752.68,1746.96,1741.89,1736.47,1736.19,1728.49,1724.33,1720.05;1800.93,1808.2,1813.63,1820.12,1825.39,1830.58,1835.05,1842.85,1851.44,1859.25,1867.34,1866.59,1859.41,1839.78,1826.42,1818.1,1811.89,1804.17,1799.02,1786.6,1780.16,1772.17,1765.99,1758.6,1753.99,1750.5,1744.33,1741.52,1735.98,1729.31;1806.23,1814.31,1820.61,1827.16,1834.26,1840.39,1846.93,1856.59,1864.58,1869.87,1873.27,1874.88,1876.06,1874.67,1847.05,1836.71,1829.5,1821.36,1809.16,1802.24,1796,1788.74,1781.83,1773.26,1765.19,1760.82,1756.14,1751.47,1748.97,1742.7;1815.04,1822.01,1826.68,1832.93,1839.77,1845.94,1854.3,1861.58,1867.73,1873.61,1876.9,1877.78,1880.19,1880.61,1876.09,1878.09,1849.43,1837.18,1828.45,1820.51,1812.64,1805.51,1797.97,1787.05,1778.83,1771.82,1768,1763.72,1760.21,1753.41;1825.01,1830.46,1834.81,1839.94,1845.9,1852.59,1858.75,1863.91,1870.9,1877.05,1881.4,1881.89,1883.71,1883.39,1878.12,1880,1878.25,1862.73,1851.01,1840.73,1830.23,1821.4,1806.33,1800.35,1793.82,1786.26,1781.2,1777.05,1769.82,1764.63;1830.92,1837.33,1843.12,1848.59,1853.83,1859.38,1864.89,1872.01,1876.3,1879.36,1885.15,1887.47,1886.5,1886.23,1880.61,1879.31,1880.62,1880.8,1878.18,1872.55,1852.45,1834.14,1823.73,1816.9,1805.84,1802.6,1796.25,1788.89,1782.15,1767.12;1837.11,1842.69,1848.68,1853.26,1858.36,1863.02,1870.35,1876.07,1880.98,1884.88,1887.43,1891.78,1890.02,1889.18,1883.97,1880.05,1881,1881.72,1879.92,1878.99,1859.75,1851.82,1841.66,1830.05,1822.56,1819.19,1810.49,1799.52,1782.59,1781.62;1841.73,1845.86,1850.29,1856.21,1861.82,1866.45,1868.55,1873.82,1879.9,1885.77,1889.7,1896.03,1895.7,1893.13,1887.26,1882.5,1881.68,1882,1881.34,1881.65,1882.03,1874.47,1859.76,1849.14,1841.6,1832.13,1818.4,1810.08,1799.91,1800.52;1841.23,1847.46,1852.71,1857.71,1862.27,1866.21,1866.78,1871.9,1878.98,1884.63,1888.52,1892.74,1894.76,1894.42,1891.63,1885.58,1884.5,1884.24,1884.85,1887.1,1888.59,1892.29,1881.06,1868.09,1856.54,1846.57,1832.93,1825.74,1816.91,1817.95;1844.37,1849.39,1854.37,1858.54,1862.81,1865.77,1866.03,1869.35,1875.22,1881.13,1886.66,1890.9,1893.36,1894.71,1893.57,1889.03,1887.42,1889.13,1886.83,1889.1,1890.12,1895.08,1898.29,1894.3,1876,1864.82,1855.27,1837.68,1828.71,1830.95;1844.78,1849.18,1851.64,1857.82,1861.9,1865.11,1867.39,1869.79,1875.02,1881.36,1886.38,1890.75,1894.09,1896.73,1896.53,1893.01,1892.05,1892.26,1890.25,1892.85,1892.94,1896.53,1900.57,1902.62,1901.5,1885.19,1874.87,1863.18,1844.61,1845.41;1846.05,1850.36,1855.31,1859.91,1863.84,1866.49,1868.13,1870.07,1876.22,1882.6,1887.88,1892.23,1896.62,1900.06,1901.02,1897.81,1897.19,1896.09,1897.16,1894.63,1896.59,1898.91,1903.24,1906.3,1908.33,1905.11,1899.07,1889.39,1875.16,1863.43;1847.49,1852.44,1857.25,1861.77,1866.15,1869.19,1870.16,1872.48,1877.44,1884.42,1889.24,1894.38,1899.07,1903,1904.84,1903.61,1901.37,1902.22,1901.38,1899.8,1900.7,1901.91,1905.41,1908.31,1911.26,1910.49,1908.64,1908.32,1900,1890.19;1849.62,1854.49,1860.06,1864.79,1869.64,1871.79,1873.84,1874.48,1878.46,1883.3,1889.69,1895.15,1901.22,1905.58,1908.71,1909.97,1908.54,1905.85,1905.48,1905.06,1904.5,1905.19,1907.93,1911.15,1913.19,1914.56,1910.33,1912.63,1911.29,1907.64;1850.6,1855.71,1861.47,1867.68,1872.2,1875.83,1878.14,1879.35,1881.09,1886.43,1892.17,1897.01,1903.07,1907.8,1911.84,1915.31,1915.54,1913.2,1912.35,1911.52,1909.28,1909.88,1910.49,1914.67,1916.68,1918.09,1916.73,1913.79,1915.3,1916.28;1851.4,1857.19,1862.14,1867.71,1874.1,1879.69,1883.13,1883.87,1884.68,1890.05,1895.28,1900.87,1905.76,1909.61,1913.62,1917.94,1920.83,1920.34,1918.3,1919.1,1915.43,1914.44,1914.22,1916.31,1919.11,1920.61,1919.9,1916.71,1917.07,1916.64;1851.52,1856.6,1862.07,1866.58,1873.13,1879.51,1885.4,1888.78,1889.58,1891.85,1898.34,1903.81,1908.99,1913.56,1915.99,1920.36,1924.66,1927.15,1926.64,1924.89,1922.12,1920.82,1919.89,1920.19,1921.83,1924.39,1923.04,1922.62,1920.06,1920.82;1854.16,1858.13,1863.27,1868.14,1872.92,1878.57,1885.78,1891.72,1895.52,1895.52,1901.67,1906.62,1912.71,1916.08,1919.33,1921.62,1925.78,1930,1932.9,1936.18,1931.17,1929.29,1926.81,1925.2,1925.29,1927.73,1928.85,1926.4,1924.97,1926.11;1856.07,1860.26,1864.81,1869.08,1874.16,1879.08,1886.1,1892.23,1898.22,1902.67,1904.94,1909.83,1913.43,1916.73,1918.94,1921.02,1924.58,1928.97,1933.39,1936.86,1941.47,1939.09,1937.01,1933.15,1931.07,1930.82,1933.89,1931.79,1932.14,1931.13;1858.84,1862.94,1867.89,1871.33,1876.14,1880.63,1885.33,1890.38,1897.25,1904.3,1905.89,1907.81,1911.38,1915.18,1918.69,1922.55,1926.37,1931.34,1935.71,1940.42,1942.91,1946.44,1948.34,1943.59,1939.43,1936.13,1937.72,1938.23,1935.48,1936.29}</definedName>
    <definedName name="DEM.GrandCanyon">{2097.95,2098.41,2098.94,2098.58,2098.37,2098.77,2100.75,2103.2,2105.86,2107.85,2109.86,2111.4,2112.62,2113.4,2113.87,2113.86,2113.7,2114.25,2115.13,2115.62;2096.34,2097.05,2097.03,2097.16,2096.88,2097.84,2099.79,2103.13,2105.24,2107.3,2109.13,2110.22,2111,2111.18,2110.81,2110.44,2110.77,2111.44,2112.12,2114.26;2094.7,2095.54,2095.63,2095.69,2095.88,2097.36,2099.72,2102.8,2105.15,2106.87,2108.22,2109.34,2109.01,2108.05,2107.72,2108.22,2108.58,2109.34,2110.09,2111.71;2093.47,2094.13,2094.32,2094.58,2095.53,2097.28,2099.1,2101.59,2104.22,2105.86,2106.9,2107.16,2105.57,2105.61,2106.03,2106.01,2106.9,2107.62,2108.81,2109.85;2091.6,2093.16,2093.14,2093.51,2094.35,2096.04,2097.87,2099.47,2101.25,2103.53,2103.86,2103.38,2103.46,2103.94,2103.91,2104.51,2105.33,2106.62,2107.42,2108.11;2089.25,2090.46,2090.35,2091.42,2093.38,2094.92,2096.37,2097.8,2099.28,2100.73,2101.39,2101.55,2100.71,2101.82,2102.4,2102.84,2103.75,2104.77,2105.78,2105.98;2089.97,2090.59,2091.07,2091.38,2092.07,2092.49,2095.06,2096.59,2098.12,2099.2,2098.97,2099.47,2099.38,2099.42,2099.86,2100.29,2100.94,2101.74,2102.54,2102.64;2095.31,2095.54,2096,2092.99,2092.08,2092.69,2093.43,2093.48,2095.01,2094.58,2097,2097.45,2097.03,2097.51,2097.96,2097.65,2098.09,2098.62,2098.47,2099;2099.18,2099.72,2098.95,2099.8,2097.05,2095.32,2093.48,2093.64,2094.26,2094.6,2095,2095.84,2097,2097.37,2097.57,2097.79,2098.01,2098.24,2098.77,2099.13;2099.97,2101.15,2101.8,2102.57,2102.08,2100.57,2097.17,2094.87,2094.8,2095.61,2096.87,2097.51,2098.87,2100.77,2102.88,2104.75,2107.58,2107.65,2107.32,2107.58;2089.73,2101.69,2102.96,2103.88,2104.26,2104.41,2102.94,2101.73,2100.88,2099.46,2101.8,2103.7,2106.06,2108.81,2111.09,2113.23,2113.95,2113.97,2113.61,2113.63;2056.43,2067.28,2098.17,2104.64,2105.48,2105.95,2106.31,2107.11,2106.83,2107.23,2108.01,2110.37,2111.82,2113.6,2114.42,2115.25,2115.87,2116.21,2115.82,2115.94;2028.22,2048.4,2072.36,2104.71,2106.06,2107.49,2107.85,2108.32,2109.04,2109.93,2111.02,2112.4,2113.8,2115.07,2116.9,2119.2,2120.25,2120.05,2119.44,2110.35;2004.69,2025.42,2075.22,2085.73,2092.53,2107.39,2108.51,2109.12,2109.99,2111.16,2112.28,2113.11,2112.53,2116.3,2110.1,2092.16,2093.59,2097.15,2115.36,2110.63;1990.37,2010.52,2030.71,2053.29,2074.37,2099.1,2084.11,2089.48,2110.49,2104.91,2091.15,2072.29,2077.78,2106.66,2055.25,2042.47,2042.47,2055.73,2064.54,2051.9;1977.84,1994.35,2014.09,2030.27,2051.54,2067.26,2034.48,2040.52,2091.21,2030.62,2024.61,2027.89,2029.73,2051.85,2026.86,2016.92,2016.46,2019.92,2011.38,2011.09;1966.41,1981.53,1998.53,2014.02,2024,2009.29,2007.89,2019.05,2028.16,2007.15,1999.55,2004.08,2006.11,2012.55,2007.53,1993.97,1993.84,2001.57,1989.97,1987.93;1951.32,1968.62,1983.6,1990.18,1992.65,1984.41,1985.85,2001.01,2011.12,1990.07,1976.64,1985.81,1982.69,1992.93,1995.52,1975.77,1974.33,1984.29,1974.43,1971.17;1933.09,1954.54,1949.68,1965.77,1971.28,1964.6,1967.68,1984.24,1991.89,1980.74,1956.27,1976.82,1958.63,1981.69,1981.3,1955.77,1949.58,1957.17,1940.1,1902.56;1870.28,1919.37,1909.2,1934.08,1928.7,1934.74,1966.76,1976.39,1972.49,1950.44,1930.71,1914.65,1940.31,1942.05,1953.63,1842.15,1816.89,1928.67,1811.65,1802.06}</definedName>
    <definedName name="DEM.GreatSmokyMt">{1582.2,1560.76,1551.36,1547.69,1564.03,1579.4,1578.95,1586.41,1598.04,1614.67,1633.3,1649.21,1662.95,1661.82,1652.18,1643.75,1638.09,1633.61,1630.46,1624.98,1616.62,1603.8,1592.65,1588.11,1591.12,1597.4,1605.29,1611.83,1620.3,1627.97;1566.74,1550.3,1535.1,1529.58,1546.96,1557.77,1560.02,1570.03,1586.56,1606.72,1627.42,1638.58,1649.44,1650.75,1642.71,1634.1,1627.6,1622.26,1617.75,1614.19,1608.25,1598.16,1584.22,1578.77,1580.16,1585.69,1594.31,1604.08,1614.38,1620.94;1554.28,1536.22,1519.71,1515,1531.03,1534.71,1544.06,1559.21,1580.83,1601.75,1612.64,1623.62,1636.55,1638.01,1631.97,1623.21,1616.85,1610.16,1604.94,1601.3,1597.72,1591.27,1575.72,1567.96,1568.88,1576.51,1585.45,1596.65,1606.61,1611.26;1534.77,1519.14,1506.94,1499.83,1509.17,1519.52,1536.19,1554.04,1578.48,1583.88,1596.75,1611.5,1624.19,1625.42,1621.83,1613.58,1606.45,1599.96,1594.58,1588.88,1583.62,1579.65,1569.72,1558.01,1558.22,1565.92,1577.24,1591.03,1598.65,1598.49;1523.32,1506.44,1493.82,1482.76,1496.6,1508.89,1528.94,1548.25,1558.99,1569.41,1582.95,1601.66,1606.91,1612.01,1612.51,1607.2,1598.82,1592.4,1586.18,1579.57,1572.27,1565.71,1558.83,1548.84,1548.99,1558.08,1571.74,1584.14,1586.03,1584.77;1509.68,1494.73,1482.55,1470.11,1489.24,1507.91,1525.61,1533.23,1545.83,1556.55,1574.3,1588.43,1588.62,1595.48,1603.96,1601.95,1594.94,1586.94,1580.99,1574.29,1565.59,1557.66,1548.09,1539.88,1538.78,1551.67,1566.43,1575.81,1572.01,1569.16;1501.76,1482.25,1467.01,1464.44,1485.52,1503.58,1508.52,1520.34,1533.01,1548.69,1568.27,1567.69,1571.28,1579.83,1590.93,1591.58,1590.07,1590.11,1583.32,1575.63,1566.28,1553.8,1541.03,1530.18,1527.78,1540.74,1553.1,1560.62,1555.34,1554.77;1489.54,1473.68,1454.48,1461.86,1478.8,1486.33,1494.41,1506.48,1521.96,1543,1552.02,1550.11,1555.63,1566.69,1577.4,1575.8,1575.01,1579.79,1582.94,1586.17,1572.41,1553.17,1537.38,1522.74,1516.1,1523.96,1532.43,1539.41,1534.41,1540.62;1477.66,1462.81,1442.45,1453.48,1464.85,1473.49,1485.59,1503.12,1521.97,1535.82,1529.3,1533.01,1539.03,1553.14,1563.06,1559.55,1560.24,1565.47,1570.14,1577.01,1573.82,1555.36,1536.54,1519.65,1503.2,1509.5,1513.83,1518.34,1519.84,1525.44;1469.46,1454.43,1434.71,1444.37,1453.81,1469.47,1485.97,1504.95,1523.31,1517.98,1512.17,1516.35,1524.09,1539.5,1547.53,1541.85,1543.95,1547.61,1553.64,1565.18,1574.47,1555.76,1539.03,1521.24,1504.98,1497.61,1499.25,1501.14,1505,1511.59;1456.51,1445.62,1427.04,1438.38,1454.5,1470.39,1489.43,1506.85,1514.12,1502.15,1496.04,1501.95,1512.91,1528.74,1527.59,1526.57,1526.1,1532.82,1542.17,1555.18,1563.12,1558.7,1542.34,1526.29,1512.51,1491.97,1481.97,1488.81,1491.4,1494.85;1444.48,1432.19,1417.6,1435.28,1455.92,1474.08,1494.13,1510.69,1499.94,1487.77,1482.32,1489.98,1504.73,1521.7,1513.5,1509.13,1512.29,1520.12,1534.16,1547.83,1550.8,1549.52,1548.3,1534.23,1519.92,1506.44,1489.32,1473.71,1474.27,1475.03;1429.27,1418.16,1414.22,1434.53,1452.32,1475.55,1495.03,1503.07,1486.48,1474.37,1469.89,1477.63,1495.25,1510.84,1499.96,1493.08,1499.34,1506.68,1522.25,1536.93,1533.6,1534.63,1542.94,1546.19,1532.8,1516.85,1501.02,1486.05,1470.17,1458.31;1414.02,1403.92,1411.42,1432.11,1450.5,1472.21,1494.79,1494.71,1478.64,1465.14,1458.56,1465.2,1480.52,1498.15,1485.11,1478.62,1485.27,1496.85,1512.12,1520.94,1516.93,1519.69,1529.86,1534.14,1535.79,1527.59,1513.79,1500.06,1487.56,1479.4;1400.59,1393.03,1412.73,1430.96,1452.26,1474.52,1482.53,1477.67,1470.2,1454.4,1447.87,1456.35,1468.68,1484.64,1473.82,1464.71,1472.58,1485.44,1502.38,1505.91,1502.52,1505.14,1514.07,1520.04,1526.78,1533.45,1527.37,1516.1,1504.52,1498.31;1386.72,1394.21,1414.6,1436.33,1456.34,1474.15,1470.03,1461.86,1458.67,1445.83,1435.86,1447.41,1460.35,1469.35,1463.94,1452.92,1459.96,1474.36,1486.19,1489.07,1485.89,1491.22,1498.74,1506.81,1517.98,1530.5,1540.42,1535.04,1524.8,1516.75;1378.34,1402.22,1420.02,1438.99,1457.39,1464.86,1456.56,1446.14,1442.85,1437.26,1423.3,1435.36,1449.06,1454.05,1454.39,1437.3,1448.5,1460.59,1467.63,1470.48,1467.38,1477.93,1488.35,1499.26,1512.89,1525.54,1538.21,1548.71,1542.36,1526.05;1386.26,1405.51,1423.32,1438.82,1446.86,1450.8,1447.34,1435.02,1430.64,1429.13,1416.81,1425.66,1436.32,1438.48,1437.37,1429.07,1433.87,1442.7,1449.69,1453.96,1450.58,1464.5,1480.7,1494.55,1508.1,1521.77,1534.9,1547.76,1551.81,1534.46;1387.27,1405.28,1420.94,1429.21,1431.73,1436.63,1435.93,1423.91,1417.89,1419.74,1407.84,1418.16,1421.56,1420.81,1419.34,1419.74,1419.81,1426.69,1431.19,1436.35,1455.86,1468.95,1483.39,1495.09,1509.19,1521.45,1535.72,1549.57,1556.46,1538.35;1386.16,1404.42,1416.26,1415.71,1414.33,1420.66,1423.14,1413.39,1402.77,1407.38,1398.27,1407.05,1407.23,1401.68,1406.3,1414.62,1423.39,1431.5,1438.46,1446.91,1462.46,1477.58,1492.24,1505.4,1516.83,1527.24,1539.91,1555.35,1563.42,1545.42;1387.64,1398.41,1400.35,1398.79,1394.67,1400.71,1403.59,1400.54,1391.88,1396.17,1390.72,1395.47,1394.02,1402.96,1412.74,1424.13,1435.46,1445.93,1452.22,1452.16,1466.66,1482.68,1498.47,1515.16,1528.34,1538.62,1548.87,1562.26,1569.36,1560.73;1381.05,1381.1,1379.63,1378.97,1374.1,1379.1,1382.09,1383.44,1382.58,1385.65,1382.58,1383.81,1398.37,1410.49,1422.58,1434.57,1444.28,1454.37,1464.72,1466.1,1469.85,1484.08,1498.56,1516,1534.12,1547.27,1559.49,1568.47,1576.93,1577.38;1362.09,1362.68,1361.48,1360.71,1351.42,1352.41,1354.13,1359.6,1376.25,1373.19,1379.27,1395.45,1409.23,1422.2,1434.65,1448.01,1458.73,1466.34,1473.31,1479.95,1482.96,1488.27,1500.35,1516.93,1533.33,1551.36,1565.89,1575.65,1583.02,1587.43;1343.85,1344.71,1343.28,1339.88,1344.91,1355.99,1361.66,1365.01,1369.57,1380.47,1390.93,1406.2,1421.44,1434.69,1447.57,1459,1470.33,1480.08,1488.08,1494.12,1496.26,1501.04,1509.19,1522.19,1536.4,1551.43,1569.6,1582.43,1591.76,1595.73;1324.07,1327.8,1335.79,1339.32,1347.53,1357.12,1365.07,1371.1,1377.59,1389.85,1401.96,1414.87,1431.54,1445.2,1457.09,1469.32,1481.08,1492.16,1501.43,1509.45,1513.18,1515.44,1521.3,1529.91,1543.01,1555.21,1571.79,1586.62,1598.44,1603.47;1330.67,1336.85,1344.47,1351.59,1354.27,1354.3,1363.38,1371.4,1383.2,1392.94,1406.04,1417.44,1430.59,1442.18,1453.86,1466.69,1480.48,1496.17,1510.92,1522.31,1529.98,1532.34,1535.94,1542.52,1552.9,1564.14,1577.24,1591.37,1604.15,1611.09;1334.8,1344.13,1351.89,1360.17,1367.96,1368.07,1364.13,1365.52,1374.56,1383.32,1394.68,1405.53,1416.33,1426.58,1438.76,1453,1468.66,1483.62,1497.88,1512.61,1530.09,1548.53,1552.9,1559.38,1567.41,1576.7,1587.48,1599.47,1610.04,1618.05;1341.56,1355.4,1365.34,1370.55,1384.08,1387.46,1384.54,1382.44,1383.05,1382.57,1385.73,1389.47,1399.21,1415.89,1428.88,1440.13,1453.81,1469.56,1484.28,1500.79,1523.69,1542.35,1557.88,1575.13,1580.58,1588.59,1599.34,1608.83,1618.64,1620.69;1352.14,1364.69,1377.17,1388.12,1396.06,1404.2,1403.35,1400.2,1399.28,1401.18,1402.88,1407.77,1413.75,1418.93,1425.08,1432.12,1447.54,1461.89,1478.81,1492.44,1507.52,1525.31,1545.72,1563.27,1580.7,1597.07,1610.53,1618.55,1628.3,1621.37;1365.07,1376.67,1387.37,1400.21,1411.33,1419.3,1420.98,1417.59,1413.78,1419.09,1417.12,1424.71,1428.32,1430.79,1437.66,1443.59,1451.52,1461.07,1475.11,1489.87,1502.71,1519.37,1536.61,1552.22,1574.78,1597.95,1615.84,1628.61,1632.07,1628.1}</definedName>
    <definedName name="DEM.Leadville">{3095.4,3096.31,3097.36,3098.25,3099.11,3099.79,3101.07,3102.12,3103.34,3104.51,3105.38,3106.9,3107.75,3109.57,3109.87,3111.72,3112.5,3113.59,3114.66,3115.81,3116.78,3117.82,3119.11,3119.58,3119.34,3119.58,3120.16,3120.5,3122.6,3125.67;3096.77,3097.04,3098.16,3099.02,3100.26,3100.96,3102.28,3102.88,3103.86,3104.72,3105.75,3107.26,3108.14,3109.49,3111.16,3112.02,3113.37,3114.64,3115.47,3116.5,3117.4,3118.18,3118.79,3119.04,3119.25,3119.44,3119.22,3119.57,3122.62,3126.28;3098.4,3097.42,3098.48,3099.55,3100.81,3102.16,3102.77,3104.63,3105.11,3106.03,3106.88,3107.63,3108.75,3109.6,3111.99,3112.89,3113.89,3114.86,3116.19,3117.34,3118.2,3119.1,3119.3,3119.92,3120.26,3120.17,3120.55,3121.75,3123.67,3126.17;3103.99,3103.51,3099.67,3100.21,3101.31,3102.45,3103.71,3104.94,3105.91,3106.74,3107.61,3108.38,3110.02,3110.95,3112.29,3113.61,3114.29,3115.14,3115.83,3117.53,3118.41,3119.28,3120.43,3121.14,3121.69,3122.04,3123.4,3125.65,3124.7,3126.77;3106.97,3106.19,3103.23,3101.28,3102.37,3103.23,3104.94,3105.75,3106.51,3107.6,3108.47,3109.56,3110.98,3112.43,3113.14,3114.39,3115.02,3116.35,3117.31,3118.42,3118.77,3119.93,3120.79,3121.84,3123.64,3133.33,3124.38,3126.77,3126.94,3127.89;3106.49,3106.44,3105.63,3103.7,3103.44,3104.12,3105.42,3106.68,3108.14,3108.89,3109.89,3110.75,3111.43,3113.05,3113.92,3114.71,3116.33,3117.51,3118.37,3119.14,3120.29,3120.88,3121.6,3122.39,3123.13,3123.91,3124.97,3125.85,3127.66,3128.68;3104.8,3106.01,3105.88,3105.64,3104.38,3104.87,3105.51,3106.92,3108.37,3109.69,3110.53,3111.35,3112.97,3113.86,3115.38,3115.5,3116.93,3118.18,3119.3,3120.36,3121.43,3124.85,3123.87,3123.78,3124.43,3125.06,3125.54,3126.44,3127.72,3128.71;3101.21,3102.57,3103.89,3104.76,3104.55,3105.21,3106.21,3107.32,3108.43,3109.81,3111.08,3111.78,3113.58,3114.23,3115.73,3116.7,3117.99,3119.07,3120.45,3121.29,3122.05,3124.4,3127.84,3128.63,3128.21,3128.07,3127.92,3127.91,3128.82,3130.18;3099.05,3100.14,3101.25,3103.13,3104.28,3104.95,3106.82,3108.15,3109.18,3110.65,3111.58,3113.3,3114.23,3114.94,3116.36,3117.87,3118.76,3120.31,3120.96,3122.24,3123.28,3124.28,3126.89,3129.56,3131.61,3132.96,3135.4,3136.14,3136.99,3132.33;3099.31,3100.65,3101.83,3102.93,3104.66,3105.09,3106.52,3107.91,3109.36,3110.85,3112.15,3113.4,3114.88,3115.75,3116.74,3117.7,3119,3120.01,3121.82,3122.7,3124.16,3125.05,3125.78,3128.34,3130.32,3133.27,3134.83,3136.3,3137.44,3137.15;3099.85,3101.36,3102.14,3103.3,3104.5,3105.83,3106.14,3108.28,3109.34,3110.73,3112.64,3113.66,3115.04,3116.36,3117.02,3118.59,3119.67,3120.73,3122.19,3123.16,3124.28,3125.44,3127.12,3127.5,3131.47,3133.15,3135.06,3136.53,3138.95,3140.83;3099.73,3101.41,3102.13,3103.6,3104.99,3106.13,3107.77,3108.48,3109.57,3111.59,3112.42,3114.02,3115.24,3116.2,3117.3,3118.92,3120.09,3121.58,3122.79,3124.11,3125.27,3126.36,3127.34,3128.24,3128.82,3130.44,3131.43,3135.21,3136.28,3140.53;3100.25,3101.25,3102.92,3104.31,3104.89,3106.3,3107.73,3108.88,3110,3111.75,3112.7,3114.62,3115.21,3116.47,3117.82,3118.48,3119.99,3121.51,3122.89,3124.19,3125.68,3126.71,3128.02,3129.37,3130.48,3130.82,3131.6,3132.49,3133.88,3136.25;3100.68,3102.2,3102.96,3104.64,3105.24,3106.72,3107.98,3109.24,3110.28,3111.99,3113,3114.77,3116.16,3117.04,3118.01,3119.47,3120.8,3122.04,3123.09,3124.25,3125.48,3127.66,3128.26,3129.52,3130.87,3131.83,3132.7,3134.24,3134.74,3136.34;3100.97,3102.41,3103.81,3104.61,3104.24,3106.97,3108.41,3110.12,3110.82,3112.2,3113.25,3114.98,3116.04,3117.32,3118.13,3119.29,3121.51,3122.61,3123.94,3124.88,3126.21,3127.35,3128.68,3129.85,3131.13,3132.49,3133.54,3135.48,3135.83,3137.05;3101.51,3103.49,3104.57,3104.81,3106.64,3108.07,3109.36,3110.12,3111.3,3112.2,3113.5,3114.94,3116.51,3117.69,3118.87,3119.96,3121.44,3122.75,3124.08,3125.45,3127.04,3127.56,3128.86,3130.2,3131.16,3132.7,3133.92,3134.61,3136.38,3137.5;3101.8,3103.85,3104.91,3105.31,3107.02,3108.73,3108.75,3109.67,3111.37,3112.36,3114.02,3115.02,3116.21,3117.46,3119.08,3120.43,3122.34,3123.17,3123.87,3125.08,3125.87,3127.65,3128.69,3130.22,3131.55,3132.9,3134.83,3135.16,3136.66,3137.6;3101.64,3103.88,3104.76,3105.22,3106.21,3108.61,3108.2,3112.17,3111.42,3112.65,3114,3115.33,3116.21,3117.78,3118.88,3120.23,3122.02,3122.74,3124.43,3125.38,3126.78,3128.86,3128.89,3130.46,3131.89,3133.13,3134.19,3135.26,3136.77,3138.07;3103.41,3103.78,3104.29,3105.33,3106.32,3108.51,3108.58,3110.11,3111.45,3112.89,3114.42,3115.54,3116.58,3117.67,3118.92,3120.32,3121.69,3123.26,3124.66,3125.85,3127.23,3128.22,3130.01,3130.76,3132.21,3133.21,3134.08,3135.48,3136.71,3137.91;3102.02,3103.92,3104.57,3105.02,3105.65,3108.03,3109.22,3110.16,3111.68,3113.41,3114.48,3115.93,3116.89,3118.17,3119.22,3120.4,3122.22,3123.2,3124.33,3126.62,3127.32,3128.63,3130.15,3130.98,3132.38,3133.66,3135.17,3136.1,3137.62,3138.56;3101.67,3103.13,3104.04,3105.15,3106.48,3107.57,3109.02,3110.35,3111.64,3113.27,3114.63,3116.19,3117.26,3118.61,3119.69,3120.96,3122.16,3123.56,3124.85,3126.18,3127.55,3128.82,3129.81,3131.12,3132.33,3133.78,3134.85,3136.18,3137.45,3139.2;3101.98,3102.12,3103.97,3105.41,3106.22,3107.48,3108.98,3110.33,3111.95,3113.76,3114.6,3116.22,3117.27,3118.78,3119.87,3121.18,3122.92,3123.89,3125.2,3126.03,3127.52,3129.07,3130.15,3131.25,3132.69,3133.76,3135.09,3136.17,3137.42,3138.75;3101.79,3102.52,3103.88,3105.35,3106.39,3107.7,3108.7,3110.29,3111.88,3113.34,3114.65,3115.87,3117.02,3118.69,3119.82,3121.12,3122.08,3123.22,3125.28,3126.5,3127.73,3128.61,3130.13,3131.45,3132.8,3134,3135.21,3136.48,3137.7,3138.92;3101.48,3102.76,3103.18,3105.47,3106.18,3107.76,3109.07,3110.24,3112.53,3113.12,3114.51,3115.68,3116.8,3117.95,3119.48,3120.63,3122.35,3123.57,3124.96,3125.99,3127.47,3128.91,3130.11,3131.49,3132.52,3134.03,3135.16,3137.8,3139.41,3139.11;3101.47,3103,3105.09,3105.62,3106.24,3107.59,3108.78,3110.25,3112.92,3113.1,3114.26,3115.52,3116.67,3118.19,3119.53,3120.93,3122.27,3123.65,3125.21,3126.43,3128.25,3129.26,3130.22,3131.5,3132.92,3134.1,3135.45,3136.59,3138.07,3139.46;3100.97,3103.07,3104.98,3106.02,3106.43,3107.43,3108.8,3109.76,3113.17,3114.25,3114.25,3116.04,3116.91,3118.72,3119.81,3120.95,3122.08,3123.48,3124.76,3126.29,3127.37,3128.81,3130.31,3131.79,3133.04,3134.4,3135.68,3136.65,3137.94,3139.48;3101.49,3102.84,3104.84,3106.1,3106.58,3108.38,3110.25,3110.09,3111.75,3113.07,3113.97,3115.74,3117.03,3118.41,3119.81,3121.09,3122.33,3123.48,3124.77,3126.27,3127.6,3128.83,3130.23,3131.67,3132.97,3134.25,3135.41,3137.03,3138.17,3139.31;3100.9,3102.58,3104.03,3106.59,3106.6,3107.73,3110.48,3110.36,3111.77,3113.09,3115.02,3116.25,3117.09,3118.38,3119.95,3121.06,3122.54,3123.81,3125.08,3126.54,3127.72,3129.16,3130.67,3131.91,3133.15,3134.52,3135.82,3137.32,3138.73,3139.9;3100,3102.25,3103.66,3105.98,3106.55,3107.88,3109.78,3110.83,3112,3113.21,3114.54,3116.02,3117.2,3118.69,3120.03,3121.46,3122.44,3123.86,3124.89,3126.39,3128.13,3129.47,3130.7,3132.01,3133.29,3134.6,3135.8,3137.5,3139.26,3140.15;3100.39,3101.63,3103.53,3105.97,3105.66,3107.89,3108.88,3110.34,3111.81,3113.24,3114.4,3116.03,3117.3,3118.6,3119.63,3121.09,3122.38,3123.82,3125.16,3126.74,3127.9,3129.22,3130.55,3131.63,3132.91,3134.13,3135.71,3136.84,3138.45,3139.81}</definedName>
    <definedName name="DEM.MonumentValley">{1609.08,1608.58,1607.94,1607.41,1606.45,1605.25,1602.95,1601.53,1600.87,1599.49,1598.47,1596.67,1595.76,1594.72,1593.79,1593.05,1592.15,1591.04,1588.84,1587.27,1585.93,1585.6,1585.28,1584.72,1584.34,1584.52,1584.93,1586.01,1585.86,1587.9;1609.52,1609.09,1608.47,1608.21,1607.49,1606.25,1604.72,1602.98,1601.85,1600.23,1598.68,1596.8,1595.67,1593.99,1592.18,1591.16,1590.38,1589.95,1588.57,1586.45,1585.89,1585.9,1585.94,1584.4,1583.96,1583.6,1583.71,1585.13,1585.52,1585.96;1610.18,1610.17,1609.83,1609.57,1608.75,1608.29,1605.98,1603.34,1601.55,1600.03,1599.24,1598.48,1597.99,1593.77,1590.9,1590.14,1589.14,1588.69,1588.33,1587.37,1586.79,1586.8,1586.04,1585.46,1584,1582.9,1582.73,1583.13,1584.06,1584.72;1610.9,1610.45,1610.63,1610.83,1610.79,1610.57,1605.94,1601.96,1600.47,1599.27,1598.14,1597.7,1596.43,1591.09,1588.74,1587.92,1587.66,1587.43,1587.29,1586.91,1585.91,1585.92,1586.14,1585.56,1584.28,1582.6,1581.93,1581.75,1582.24,1583.4;1607.71,1606.62,1607.28,1608.02,1607.68,1605.76,1602.51,1600.23,1598.92,1597.64,1595.5,1593,1590.23,1586.91,1586.09,1586.13,1586.31,1585.91,1585.79,1585.79,1585.57,1585.1,1584.54,1584.23,1583.73,1582.69,1581.73,1580.79,1580.92,1582.1;1601.75,1602.46,1602.52,1602.84,1601.82,1599.94,1597.83,1597.13,1596.32,1594.1,1592.14,1589.1,1586.81,1585.27,1585.23,1585.19,1585.19,1584.99,1584.87,1584.81,1584.51,1584.48,1583.84,1583.07,1582.91,1582.09,1580.81,1579.87,1579.96,1580.38;1598.91,1598.8,1598.38,1600.04,1597.88,1597.32,1595.13,1593.21,1592.24,1590.54,1589.26,1587,1585.25,1585.39,1585.35,1585.03,1584.65,1584.71,1584.37,1584.29,1584.09,1583.68,1583.2,1582.67,1582.07,1580.89,1580.21,1578.89,1578.36,1578.7;1596.64,1596.33,1597.05,1597.94,1596.38,1594.62,1592.67,1590.77,1589.18,1587.34,1585.68,1585.4,1585.67,1587.03,1586.84,1585.64,1585.04,1584.72,1584.82,1584.55,1584.81,1584.48,1583.66,1582.59,1581.79,1580.59,1579.55,1578.19,1577.56,1577.44;1595.96,1595.95,1595.63,1595.82,1594.58,1593.3,1591.37,1589.09,1586.82,1585.54,1586.08,1586.34,1587.59,1588.27,1587.36,1585.72,1586.18,1585.6,1586.02,1585.43,1585.95,1585.76,1584.76,1583.69,1582.41,1580.69,1579.47,1577.57,1576.56,1576.2;1596.89,1596.28,1596.04,1595.66,1594.38,1593.42,1591.22,1589.48,1587.78,1587.98,1588.69,1589.09,1589.7,1589.7,1587.21,1586.95,1588.33,1587.46,1587.36,1586.46,1586.22,1586.17,1585.79,1585.54,1583.6,1581.64,1579.8,1577.22,1575.72,1575.24;1598.33,1597.98,1597.88,1597,1595,1593.96,1592.3,1590.98,1590.84,1591.28,1591.95,1592.43,1592.6,1592.26,1591.09,1591.11,1590.93,1590.72,1589.34,1587.72,1587.3,1587.07,1585.85,1584.52,1583.74,1581.98,1580.2,1577.5,1575.24,1573.66;1601.35,1600.8,1598.72,1597.32,1595.4,1594.64,1593.36,1592.54,1592.56,1593.12,1593.97,1594.81,1595.14,1594.02,1593.57,1593.63,1593.49,1593.08,1591.02,1589.5,1587.78,1586.29,1584.97,1584.36,1583.74,1582.12,1580.7,1578.3,1576.02,1574.1;1606.17,1602.07,1597.67,1596.86,1595.74,1595.34,1595.34,1595.2,1595.42,1595.98,1597.04,1597.8,1597.79,1595.83,1596.15,1596.53,1596.91,1597.26,1593.86,1591.14,1588,1585.59,1585.35,1585.45,1584.33,1583.57,1582.66,1581.1,1579.46,1577.3;1609.59,1601.23,1597.69,1597.14,1596.26,1596.1,1597.86,1597.38,1597.62,1598.44,1599.18,1598.62,1598.11,1596.73,1597.65,1599.01,1598.11,1597,1594.66,1593.08,1590.57,1586.59,1586.05,1586.13,1585.89,1586.03,1585.46,1584.6,1582.5,1580.14;1608.61,1603.45,1599.13,1597.92,1596.82,1596.76,1598.06,1598.78,1599.64,1600.44,1599.2,1598.1,1597.63,1597.37,1600.47,1598.97,1597.39,1596.72,1596.36,1596.56,1593.08,1589.49,1588.53,1587.29,1587.25,1587.05,1586.34,1585.46,1584.42,1582.12;1601.45,1599.96,1598.5,1597.62,1596.84,1597.4,1598.51,1600.37,1601.65,1601.73,1598.84,1599.84,1602.29,1604.33,1607.08,1604.56,1605.32,1606.23,1606.43,1605.02,1595.98,1594.09,1589.62,1587.58,1586.94,1586.78,1586.35,1585.91,1585.33,1583.73;1596.85,1596.84,1596.86,1596.86,1597.06,1597.68,1601.17,1603.03,1604.39,1604.21,1603.54,1605.92,1609.87,1611.33,1612.4,1608.04,1616.12,1620.13,1609.15,1600.68,1595.96,1593.6,1589.46,1585.86,1585.46,1585.66,1585.89,1585.77,1585.91,1586.01;1597.09,1596.78,1597.86,1597.76,1598.06,1600.62,1603.75,1608.23,1608.79,1607.71,1608.16,1612.28,1615.65,1619.35,1618.54,1613.64,1623.1,1622.31,1607.25,1599.22,1596.66,1594.92,1591.1,1587.4,1585.78,1585.2,1584.97,1584.83,1584.57,1584.11;1598.5,1597.99,1597.91,1599.58,1599.52,1602.44,1607.39,1610.37,1610.59,1611.85,1615.54,1620.7,1626.22,1631.1,1631.51,1632.87,1638.71,1637.94,1626.08,1618.24,1613.2,1596.92,1593.34,1589.18,1586.02,1585.22,1585.11,1584.71,1584.19,1583.19;1600.38,1600.49,1599.67,1601.12,1604.12,1605.96,1608.47,1612.55,1615.19,1619.35,1624.62,1632.58,1635.46,1641.3,1646.53,1651.33,1656.11,1651.52,1640.6,1636.1,1625.76,1614.46,1596.4,1592.24,1588.54,1586.52,1586.11,1585.43,1584.27,1583.71;1601.94,1602.86,1603.66,1604.87,1608.69,1609.41,1611.28,1618.16,1620.38,1626.56,1631.66,1639.64,1647.09,1653.61,1662,1667.8,1669.9,1664.17,1657.39,1648.88,1637.3,1629.1,1610.28,1595.63,1591.09,1585.73,1585.51,1585.77,1586.07,1584.69;1606.1,1606.14,1606.4,1608.39,1608.77,1611.97,1615.78,1622.72,1628.1,1633.56,1638.16,1647.32,1657.77,1671.43,1675.98,1685.22,1687.16,1682.83,1672.67,1659.24,1645.9,1634.88,1617.08,1597.37,1593.57,1590.01,1588.81,1585.85,1587.05,1585.89;1610,1608.1,1608.16,1610.05,1612.57,1616.13,1619.54,1633.8,1637.72,1645.36,1649.94,1656.92,1667.45,1679.61,1690.62,1697.2,1724.42,1741.17,1680.65,1664.82,1646.68,1633.6,1623.4,1600.69,1595.97,1595.35,1592.99,1590.19,1588.39,1585.81;1610.56,1609.24,1609.8,1610.46,1614.82,1619.74,1623.18,1637.88,1645.31,1652.83,1658.88,1665,1673.16,1686.96,1695.69,1725.97,1801.93,1777.1,1686.64,1670.82,1650.54,1635.28,1622.04,1600.4,1599.84,1597.88,1595.27,1591.37,1586.98,1585.7;1613.18,1613.66,1616.24,1617.34,1617.9,1621.22,1632.92,1645.62,1655.05,1666.45,1673.44,1682.64,1688.58,1698.62,1795.67,1836.29,1782.21,1716.94,1680.14,1664.92,1646.42,1634.02,1623.74,1616.62,1608.58,1598.98,1597.05,1592.83,1588.78,1586.78;1615.52,1618.82,1622.56,1623.34,1620.54,1624.44,1642.14,1658.22,1665.53,1678.41,1687.86,1696.26,1738.82,1823,1867.87,1861.73,1733.79,1698.7,1676.66,1663.6,1647.06,1636.9,1623.04,1608.24,1603.14,1597.76,1597.31,1592.89,1587.78,1585.72;1618.35,1620.52,1622.58,1625.19,1631.01,1639.03,1653.71,1665.83,1674.76,1689.3,1700.43,1802.25,1824.23,1864.15,1881.58,1725.74,1701,1686.55,1667.39,1656.64,1644.08,1635.1,1617.98,1606.85,1601.79,1599.87,1598.62,1593.68,1588.24,1585.88;1621.09,1622.84,1621.9,1623.59,1633.75,1647.25,1661.55,1670.73,1681.7,1701.64,1795.09,1840.55,1884.31,1733.63,1703.8,1699.26,1683.98,1673.17,1660.21,1649.84,1632.88,1621.12,1612.7,1606.65,1600.87,1598.29,1597.12,1594.18,1590.04,1587.64;1621.99,1620.98,1620.76,1623.45,1632.55,1637.87,1659.01,1668.47,1678.5,1696.48,1709.39,1707.69,1702.51,1695.89,1683.14,1679.94,1673.52,1661.13,1652.49,1639.12,1626.88,1619.32,1611.92,1609.87,1605.41,1597.95,1598.94,1594.66,1589.94,1585.86;1620.24,1617.87,1618.23,1619.88,1623.28,1629.52,1645.76,1662.76,1671.1,1679.48,1686.63,1683.15,1678.64,1673.86,1669.05,1664.93,1660.61,1650.09,1642.79,1634.43,1621.93,1612.58,1611.64,1607.95,1602.89,1599.35,1596.51,1593.79,1590.38,1587.62}</definedName>
    <definedName name="DEM.MtRainier">{4387.06,4375.14,4368.07,4360.46,4351.59,4343.67,4337.65,4332.15,4327.52,4323.53,4319.82,4316.23,4314.27,4312.58,4312.06,4313.63,4317.85,4319.73,4304.98,4289.02;4387.23,4374.38,4365.35,4359.37,4351.6,4343.45,4337.53,4331.38,4326.99,4323.08,4319.48,4316.83,4315.13,4313.93,4313.83,4315,4320.39,4312.63,4299.63,4286.53;4387.83,4374.37,4364.4,4359.14,4351.2,4343.18,4337.2,4331.4,4326.75,4323.04,4319.5,4317.19,4316.4,4316.17,4316.76,4318.15,4319.44,4306.02,4291.96,4279.78;4386.91,4382.83,4368.54,4357.55,4350.63,4343.3,4337.51,4331.64,4326.95,4323.05,4319.67,4317.97,4318.62,4319.73,4323.33,4329.13,4315.79,4299.44,4284.79,4271.51;4375.55,4384.19,4377.57,4361.71,4350.6,4343.46,4337.86,4332.2,4327.93,4324.42,4322.08,4321.13,4321.99,4325.86,4330.61,4318.67,4307.46,4292.65,4277.81,4264.59;4368.07,4374.07,4377.25,4367.77,4355.33,4346.16,4339.72,4334.17,4330.1,4327.97,4326.85,4328.53,4334.76,4326.31,4317.69,4308.56,4297.44,4283.76,4270.92,4258.04;4359.15,4362.34,4365.13,4366.08,4363.6,4356.97,4347.54,4338.88,4335.47,4336.6,4339.92,4335.8,4322.95,4315.94,4306.77,4296.19,4285.52,4273.15,4260.78,4247.58;4351.33,4350.22,4350.25,4349.99,4349.13,4346.79,4344.34,4341.09,4337.67,4333.66,4326.73,4320.35,4310.23,4302.24,4292.58,4281.95,4271.53,4259.28,4247.24,4234.52;4341.85,4340.64,4339.13,4337.42,4334.5,4331.42,4328.7,4324.8,4320.29,4315.84,4310.56,4304.76,4297.09,4288.77,4278.38,4268.27,4258.66,4247.5,4235.4,4223.8;4329.64,4329.09,4327.76,4326.04,4323.79,4320.79,4318.23,4314.91,4310.02,4304.75,4298.11,4290.87,4283.74,4276.34,4267.07,4257.33,4248.45,4237.79,4226.74,4215.46;4315.39,4316.23,4315.59,4314.2,4312.62,4310.38,4307.94,4305.09,4301.43,4297.03,4290.28,4283.05,4275.61,4268,4259.34,4250.64,4242.09,4231.99,4220.6,4209;4296.4,4295.5,4298.72,4298.28,4297.19,4296.03,4294.21,4291.71,4289.2,4285.63,4280.75,4274.92,4267.51,4260.22,4252.1,4243.21,4234.73,4224.8,4213.69,4201.73;4282.88,4281.5,4280.76,4279.59,4279.14,4278.43,4277.29,4275.63,4273.22,4270.84,4267.52,4263.09,4257.13,4251.31,4243.11,4234.27,4226.68,4216.13,4205,4192.92;4264.6,4263.76,4261.6,4261,4259.48,4258.34,4257.21,4256.33,4254.72,4252.76,4249.91,4246.55,4242.03,4236.89,4229.63,4222.63,4213.92,4204.05,4192.65,4176.08;4248.53,4248.45,4245.98,4241.54,4241.98,4237.97,4235.61,4232.6,4224.96,4225.59,4232.69,4222.77,4217.44,4212.86,4205.82,4205.59,4197.49,4185.92,4176.91,4166.38;4232.02,4231.75,4226.94,4223.37,4218.81,4220.45,4219.23,4215.83,4212.35,4207.34,4202.19,4200.61,4198.24,4194.5,4190.24,4184.87,4179,4171.33,4162.28,4153.09;4218.14,4216.32,4212.85,4208.87,4203.84,4200.11,4201.39,4198.84,4195.2,4192.03,4188.2,4181.64,4179.2,4176.49,4171.7,4166.36,4160.44,4153.02,4144.2,4135.76;4205.65,4203.77,4200.43,4196.68,4191.71,4188.07,4185.39,4182.5,4178.26,4173.76,4169.03,4163.84,4159.41,4155.6,4150.78,4145.52,4138.86,4129.97,4123.01,4115.33;4195.9,4194.04,4190.15,4187.23,4182.6,4178.12,4173.73,4168.32,4142.64,4127.97,4134.56,4137.24,4128.9,4115.84,4128.87,4124.45,4119.57,4112.89,4105.92,4099.41;4185.32,4183.78,4179.72,4174.61,4168.5,4162.2,4151.51,4140.99,4140.54,4130.53,4119.84,4112.29,4105.69,4098.94,4092.4,4090.8,4090.56,4088.33,4085.09,4080.11}</definedName>
    <definedName name="DEM.OlympicPeninsula">{1317.6,1327.15,1338.53,1367.78,1389.82,1414.02,1428,1435.88,1448.54,1463.34,1482.58,1490.76,1485.12,1473.2,1471.02,1473.44,1478.84,1492,1501.12,1502.54;1311.39,1321.03,1333.05,1359.06,1386.5,1410.76,1425.46,1438.08,1449.35,1470.02,1485.72,1480.94,1466.2,1464.48,1468.82,1472.52,1476,1490.04,1491.5,1495.92;1301.78,1309.29,1322.35,1342.66,1370.84,1405.4,1423.84,1434.4,1451.2,1467.7,1459.5,1451.8,1454.52,1459.54,1465.18,1468.8,1472.16,1476.54,1484.32,1487.56;1297.99,1305.51,1317.85,1334.63,1354.17,1388.13,1404.49,1415.05,1425.7,1424.8,1427.45,1426.67,1433.19,1445.89,1454.18,1464.3,1468.76,1475.79,1475.37,1481.62;1296.91,1305.65,1314.79,1326.23,1336.89,1351.19,1371.43,1382.13,1389.16,1391.5,1395.11,1399.93,1411.45,1418.53,1436.96,1454.84,1461.02,1466.63,1474.33,1480.92;1293.23,1302.81,1310.21,1319.71,1326.95,1336.75,1348.81,1356.61,1360.76,1362.64,1372.61,1383.83,1397.89,1409.61,1430.62,1444.94,1455,1467.05,1473.21,1478.16;1289.21,1296.09,1303.47,1312.08,1319.12,1328.68,1335.52,1342.28,1358.64,1372.18,1395.17,1405.15,1423.99,1439.45,1462.01,1476.17,1476.13,1479.23,1483.29,1485.61;1290.99,1302.67,1308.57,1319.32,1325.76,1332.6,1349.12,1362.2,1376.76,1395.4,1412.53,1425.53,1453.09,1462.03,1480.41,1495.37,1497.59,1499.07,1503.51,1500.19;1300.81,1312.47,1319.97,1333.64,1343.74,1349.64,1370.18,1382.28,1397.18,1406.44,1425.23,1441.09,1463.21,1475.81,1489.63,1505.71,1507.05,1505.37,1511.45,1510.85;1312.84,1325.58,1338.36,1357.7,1371.12,1383.02,1403.48,1413.96,1426.98,1436.42,1445.66,1460.24,1480.97,1495.09,1511.64,1521.8,1520.66,1514.05,1521.45,1528.63;1323.98,1344.64,1359.76,1380.54,1394.42,1408.2,1421.04,1438.12,1453.42,1461.86,1472.68,1476.24,1494.71,1506.95,1520,1528.7,1528.64,1526.55,1534.65,1546.15;1342.29,1358.48,1375.46,1396.44,1410,1428.5,1445.16,1457.32,1473.14,1489.74,1499.29,1503.59,1506.95,1513.63,1527.48,1537.52,1540.28,1544.04,1549.46,1560;1357.75,1376.64,1390.94,1411.78,1424.66,1442.02,1461.74,1475.68,1487.16,1499.8,1518.11,1527.87,1528.55,1527.73,1538,1548.32,1556.76,1563.64,1568.44,1572.28;1365.63,1388.8,1404.66,1423.28,1440.3,1458.8,1477.02,1490.96,1501.34,1509.46,1527.27,1538.49,1545.51,1547.09,1552.44,1561.52,1569.48,1578.28,1584.9,1587.48;1377.39,1397.93,1412.11,1435.88,1455.52,1477.29,1491.81,1500.13,1509.69,1520.45,1539.33,1551.53,1554.94,1557.22,1563.98,1573.92,1578.12,1584.22,1590.26,1594.61;1390.49,1412.63,1424.35,1442.96,1464.04,1488.65,1497.89,1505.43,1517.33,1528.29,1542.55,1553.27,1563.12,1566.3,1573.26,1579.42,1583.5,1593.64,1599.84,1604.17;1402.77,1422.61,1434.71,1454.94,1471.68,1491.97,1501.57,1508.41,1520.59,1532.37,1546.35,1559.25,1571.78,1578.44,1585.06,1589.56,1593.68,1604.86,1612.56,1618.19;1406.37,1428.7,1440.12,1456.07,1474.09,1496.34,1505.1,1511.48,1527.13,1540.15,1558.17,1570.93,1585.1,1591,1595.13,1598.33,1604.83,1615.3,1623.56,1632.15;1412.01,1429.78,1442.26,1461.23,1479.53,1494.64,1503.64,1510.42,1531.21,1546.57,1568.55,1580.63,1595.32,1600.54,1603.15,1609.29,1614.83,1625.3,1630.64,1643.99;1415.99,1433.12,1443.06,1460.28,1475.64,1489.96,1500.82,1513.05,1533.5,1545.5,1564.26,1577.38,1596.64,1603.76,1605.22,1606.1,1607.68,1612.82,1623.66,1639.47}</definedName>
    <definedName name="DEM.Pittsburgh">{233.28,234.36,235.78,236.54,237.68,239.4,241.2,242.11,236.67,234.84,244.38,246.13,246.15,245.81,246.42,247.96,249.63,251.25,253.18,254.66,256.05,256.92,258.07,259.21,260.94,263.04,265.33,267.5,269.21,269.89;232.8,232.85,233.11,234.16,237.76,238.2,239.57,240.66,238.35,235.52,233.69,247.29,246.98,246.43,247.34,249.18,250.84,252.41,253.82,255.58,257.02,257.95,258.93,259.73,261.92,263.79,267.02,270.12,270.38,271.87;232.25,231.94,232.91,233.56,233.4,239.07,239.38,240.12,239.81,235.41,233.67,243.4,247,246.73,248.32,250.29,251.46,252.79,255.47,256.54,258.14,258.68,260.33,261.47,263.26,266.8,270.71,271.09,271.85,273.31;231.22,231.25,232.07,233.3,233.32,239.61,238.09,237.68,239.17,235.45,232.21,241.18,246.63,247.96,249.49,251.25,252.57,256.27,257.74,257.39,258.76,259.94,260.59,262.99,264.54,269.83,271.3,271.8,273.39,275.45;229.61,230.82,230.85,232.33,233.13,233.64,234.81,235.05,234.65,230.56,237.06,234.13,246.84,249.04,251.33,251.76,253.31,257.1,257.67,258.56,259.7,260.96,261.68,264.33,269.93,271.25,271.99,273.23,275.31,276.49;229.09,231.05,230.79,230.84,231.99,233.39,234.93,235.22,238.64,238.98,238.63,236.34,247.99,250.17,252.62,254.22,255.4,257.24,258.2,258.99,260.77,261.15,264.13,265.66,271.77,272.19,273,275.3,277.69,279.35;227.34,228.93,229.59,230.4,231.42,228.48,236.29,240.45,238.9,241.14,240.69,238.5,234.81,251.56,253.88,256.29,258.36,258.49,259.11,259.76,262.79,264.08,263.76,266.97,272.9,273.46,274.74,278.92,280,281.91;226.89,227.55,228.72,230.13,229.84,228.59,227.96,238.06,238.89,243.79,243,238.92,236.69,249.83,256.03,257.76,259.47,259.75,259.9,265,265.2,265.07,270.1,273.83,272.56,275.94,277.24,279.46,282.82,283.62;226.68,226.46,227.64,228.91,229.09,228.69,228.12,231.87,238.87,245.19,247.54,243.53,238.92,236.46,255.76,259.81,261.05,261.65,266.61,267.01,264.9,266.38,273.66,275.78,275.94,277.08,280.29,281.52,284.89,285.83;226.05,226.11,226.71,228.98,229.02,228.25,229.65,231.99,231.38,239.39,239.04,245.15,240.19,237.86,247.53,264.08,263.62,266.43,269.99,270.58,266.29,272.94,277.14,277.82,278.04,279.84,281.98,285.98,286.27,288.15;225.51,225.68,225.69,226.83,227.6,227.6,228.02,229.4,228.67,229.59,232.9,237.25,241.27,239.19,236.79,245.99,264.62,266.57,271.07,274.06,272.46,276.01,279.88,280.11,280.69,282.86,283.93,286.21,287.97,289.42;225.16,225.35,225.38,226.12,226.78,227.66,226.88,227.48,228.4,229.12,229.82,230.37,237.55,240.78,239.32,242.53,264.15,264.42,267.73,276.45,278.56,281.61,282.45,282.81,286.22,288.95,291.95,287.87,289.99,291.66;224.96,225.19,225.22,225.46,225.86,225.99,226.33,227.04,228.5,228.26,230.58,230.3,230.39,234.71,239.4,238.38,243.51,264.67,271.86,280.36,280.45,283.24,286.13,288.97,289.02,291.64,291.61,293.71,292.64,293.81;225.42,224.93,225.14,225.87,225.89,225.85,226,225.51,225.36,225.63,227.48,229.31,230.38,230.58,234.23,240.08,240.42,255.52,278.84,281,281.96,284.33,288.02,290.23,291.03,293.37,294.57,295.93,295.54,298.73;224.74,224.63,225.78,225.68,225.77,225.83,225.77,225.44,224.98,226.2,225.62,226.4,228.43,230.46,230.64,232.59,239.45,241.21,276.44,282.48,283.44,287.27,290.7,292.71,292.43,294.81,296.93,298.24,300.89,301.07;224.59,224.63,225.06,225.11,225.65,225.85,225.79,225.59,225.33,225.08,225.25,225.04,226.15,228.85,230.77,230.67,230.97,238.15,250.61,281.76,284.01,289.29,294.63,296.33,296.31,298.35,299.58,300.49,302.42,303.4;223.08,223.02,224.13,224.75,225.73,225.35,225.38,225.62,225.49,225.34,225.3,225.19,225.3,227.72,229.55,230.89,231.08,231.21,249.7,254.14,283.04,291.11,298.28,300.24,301.34,301.67,304.59,305.45,305.97,305.97;222.4,222.84,223.5,224.95,226.38,225.39,225.17,225.94,225.92,225.68,225.38,225.23,224.89,225.79,227.62,229.42,231.22,231.32,231.33,240.9,254.81,279.72,289.42,300.37,301.83,303.46,304.49,306.01,306.91,308.81;221.47,222.51,222.83,224.92,226.98,233.44,225.01,225.81,225.87,225.78,225.66,225.32,225.26,225.34,225.41,227.14,228.96,230.55,231.51,231.36,231.29,256.88,260.2,285.46,296.01,303.93,304.32,305.44,306.68,309.95;221.02,222.06,222.88,222.79,234.05,224.52,224.96,225.51,225.39,225.65,225.34,225.25,225.37,225.44,225.53,225.79,226.81,228.56,230.14,231.28,231.16,231.13,258.86,259.83,280.64,296.16,304.76,305.31,306.02,306.42;220.63,221.65,222.71,230.77,223.93,223.21,225.06,225.08,225.21,225.01,224.79,225.09,224.87,225.15,225.39,225.81,226.08,226.55,228.11,229.74,231.09,230.89,234.31,260.01,261.98,281.61,291.44,298.59,303.13,305.6;220.22,221.25,222.68,234.46,226.98,222.29,223.96,224.51,224.53,224.55,224.93,225.16,225.12,224.74,224.86,225.31,225.55,226.18,226.16,227.61,229.04,230.69,230.8,235.54,256.31,264.05,275.31,281.97,295.04,303;219.39,221.42,227,227.29,221.28,222.04,222.95,223.69,223.81,224.63,224.51,224.82,224.73,224.51,224.44,224.75,225.18,225.36,225.56,225.73,226.65,228.31,230.01,230.57,237.85,253.87,266.05,273.51,279.44,291.93;218.16,220.52,221.63,221.44,222.41,222.49,222.57,222.69,223.04,223.69,223.91,224.41,224.4,224.02,224.39,224.78,224.78,225.07,225.34,225.51,225.46,226.09,227.87,229.49,230.64,236.21,245.55,268.28,274.59,282.43;216.23,216.23,222.17,222.38,222.76,222.81,222.89,223.13,222.77,223.51,224.19,224.29,223.94,224.03,224.47,224.93,224.87,224.56,224.78,224.98,225.35,225.62,226.01,228.91,230.95,230.78,230.82,245.76,264.53,271.23;216.23,216.23,216.24,221.06,223.09,223.06,223.08,222.95,223.4,223.17,223.67,223.72,223.41,223.95,224.38,224.81,224.76,224.5,224.22,224.76,225.35,225.84,225.95,226.27,230.64,230.55,230.62,231.08,245.99,261.44;216.23,216.23,216.24,216.24,219.94,223.34,223.25,223.23,223.26,222.93,223.23,223.03,222.96,223.12,223.98,224.22,224.33,223.99,224.41,224.57,224.71,225.41,225.71,226.24,226.43,230.64,231.15,230.8,231.35,239.35;216.24,216.24,216.24,216.24,216.24,219.09,223.5,223.35,223.29,223.55,222.96,223.39,223.17,223.2,222.97,223.53,223.66,223.5,224.12,224.37,225.19,224.9,225.65,226.03,226.45,226.67,229.73,230.83,230.87,231.47;216.24,216.24,216.24,216.24,216.24,216.24,216.24,222.2,223.48,223.21,223.26,223.08,223.58,223.21,223.08,223.16,223.14,223.29,223.48,224.43,224.87,224.98,225.16,225.74,226.19,226.52,227.17,227.51,230.96,231.18;216.24,216.24,216.24,216.24,216.24,216.24,216.25,216.25,221.24,223.29,223.18,223.15,223.11,223.11,222.98,223.09,222.77,222.71,222.99,222.85,223.53,224.98,225.25,225.4,225.52,226.35,226.43,227.04,227.71,230.89}</definedName>
    <definedName name="DEM.RachelNevada">{1470.26,1470.65,1470.87,1471.17,1471.65,1471.95,1472.31,1472.65,1472.96,1473.42,1473.58,1473.76,1474.06,1474.39,1474.65,1474.88,1475.2,"-9999 Invalid",1475.9,1476.17,1476.49,1476.85,1477.34,1477.8,1478.27,1478.63,1479.05,1479.47,1479.71,1480.25;1469.96,1470.21,1470.67,1470.93,1471.27,1471.63,1472.05,1472.41,1472.72,1473.02,1473.24,1473.44,1473.68,1474.05,1474.17,1474.56,1474.96,1475.14,1475.56,1475.79,1476.29,1476.79,1477.18,1477.54,1477.85,1478.21,1478.53,1479.03,1479.61,1480.27;1469.68,1470.07,1470.33,1470.63,1471.15,1471.39,1471.81,1472.07,1472.38,1472.56,1472.8,1473.12,1473.42,1473.59,1473.85,1474.3,1474.66,1474.86,1475.22,1475.57,1476.15,1476.41,1476.64,1477.04,1477.37,1477.89,1478.43,1479.19,1479.61,1479.99;1469.42,1469.68,1470.1,"-9999 Invalid",1470.75,1471.09,1471.5,1471.7,1471.92,1472.22,1472.46,1472.78,1472.94,1473.3,1473.62,1474,1474.3,1474.59,1475.15,1475.49,1475.65,1475.89,1476.36,1477,1477.47,1477.85,1478.31,1478.81,1479.21,1479.35;1469.18,1469.5,1469.88,1470.14,1470.61,1470.87,1471.16,1471.36,1471.58,1471.9,1472.08,1472.42,1472.68,1473.08,1473.38,1473.64,1474.06,1474.49,1474.83,1474.95,1475.35,1475.61,1476.22,1476.6,1477.01,1477.51,1477.83,1478.43,1478.67,1478.81;1468.92,1469.3,1469.7,1470.06,1470.29,1470.53,1470.78,1471.04,1471.3,1471.54,1471.8,1472.1,1472.42,1472.88,1473.02,1473.38,1473.98,1474.15,1474.29,1474.55,1475.09,1475.45,1475.82,1476.2,1476.51,1476.89,1477.29,1477.95,1477.97,1478.63;1468.76,1469.11,1469.49,1469.73,1470.04,1470.24,1470.43,1470.71,1470.88,1471.3,1471.46,1471.86,1472.32,1472.45,1472.71,1473.14,1473.48,1473.6,1474,1474.44,1474.72,1475.02,1475.44,1475.88,1476.01,1476.43,1476.86,1477.22,1477.72,1478.32;1468.68,1469.03,1469.31,1469.51,1469.76,1469.94,1470.19,1470.43,1470.72,1471,1471.22,1471.66,1471.8,1472.21,1472.45,1472.72,1473,1473.28,1473.82,1473.96,1474.36,1474.58,1475.06,1475.3,1475.61,1476.13,1476.38,1476.96,1477.36,1477.96;1468.53,1468.74,1469.22,1469.22,1469.34,1469.64,1469.8,1470.18,1470.4,1470.76,1470.97,1471.27,1471.71,1471.85,1472.07,1472.41,1472.61,1473.04,1473.4,1473.58,1473.9,1474.26,1474.58,1474.92,1475.21,1476.09,1476.18,1476.58,1476.92,1477.28;1468.11,1468.46,1468.72,1468.78,1469.22,1469.3,1469.62,1469.86,1470.1,1470.38,1470.63,1471.15,1471.23,1471.55,1471.69,1471.93,1472.43,1472.72,1472.9,1473.18,1473.54,1473.76,1474.22,1474.56,1474.89,1475.41,1475.66,1476.14,1476.36,1476.78;1467.85,1468.14,1468.26,1468.6,1468.78,1469.08,1469.32,1469.56,1469.84,1470.16,1470.59,1470.73,1470.85,1471.21,1471.33,1471.63,1472.07,1472.38,1472.58,1472.84,1473.16,1473.42,1473.82,1474.28,1474.61,1474.97,1475.42,1475.72,1476.1,1476.9;1467.52,1467.75,1468.17,1468.37,1468.61,1468.79,1469.11,1469.27,1469.56,1469.94,1470.1,1470.34,1470.56,1470.77,1470.93,1471.34,1471.68,1471.83,1472.29,1472.62,1472.82,1473.1,1473.53,1473.95,1474.33,1474.67,1475.01,1475.67,1476.24,1476.96;1467.36,1467.69,1468.07,1467.97,1468.41,1468.61,1468.83,1469.05,1469.48,1469.64,1469.86,1470.12,1470.4,1470.51,1470.71,1471.18,1471.38,1471.65,1472.11,1472.28,1472.62,1472.92,1473.35,1473.85,1474.13,1474.49,1475.07,1475.79,1476.24,1476.86;1467.32,1467.53,1467.49,1467.79,1468.15,1468.37,1468.53,1468.83,1469.14,1469.42,1469.74,1469.78,1469.94,1470.23,1470.57,1470.84,1471.14,1471.43,1471.75,1472,1472.4,1472.76,1473.13,1473.49,1473.87,1474.45,1474.95,1475.55,1475.88,1476.34;1467.11,1467.2,1467.42,1467.6,1467.91,1467.95,1468.3,1468.54,1468.74,1469.4,1469.38,1469.42,1469.6,1470.05,1470.29,1470.51,1470.85,1471.07,1471.41,1471.74,1472.14,1472.38,1472.78,1473.28,1473.61,1474.21,1474.53,1474.89,1475.31,1475.81;1466.75,1466.82,1467.2,1467.38,1467.47,1467.77,1468.02,1468.26,1468.7,1469.2,1468.86,1469.38,1469.58,1469.79,1470.03,1470.19,1470.57,1470.79,1471.19,1471.44,1471.88,1472.18,1472.58,1473.08,1473.23,1473.69,1474.03,1474.55,1474.75,1475.33;1466.41,1466.66,1466.94,1467,1467.31,1467.47,1467.76,1468.08,1468.46,1468.46,1468.64,1469.04,1469.24,1469.55,1469.55,1470.01,1470.23,"-9999 Invalid",1470.93,1471.26,1471.58,1471.94,1472.3,1472.68,1473.01,1473.43,1473.69,1474.09,1474.39,1474.79;1466.22,1466.46,1466.6,1466.84,1467.02,1467.24,1467.69,1467.73,1468,1468.16,1468.47,1468.79,1469.03,1469.1,1469.3,1469.64,1470,1470.3,1470.68,1470.94,1471.42,1471.68,1471.99,1472.45,1472.77,1473.15,1473.45,1473.73,1473.94,1474.28;1466.06,1466.24,1466.44,1466.52,1466.84,1467,1467.35,1467.47,1467.64,1468.02,1468.27,1468.45,1468.61,1468.82,1469.02,1469.4,1469.82,1470.14,1470.36,1470.82,1471.04,1471.34,1471.75,1472.25,1472.39,1472.93,1473.09,1473.35,1473.58,1473.9;1465.87,1465.92,1466.14,1466.52,1466.55,1466.89,1467.07,1467.27,1467.56,1467.9,1468.05,1468.13,1468.27,1468.51,1468.81,1469.19,1469.47,1469.95,1470.29,1470.53,1470.71,1471.13,1471.49,1471.85,1472.28,1472.46,1472.67,1473.01,1473.24,1473.58;1465.53,1465.76,1466.02,1466.1,1466.31,1466.67,1466.71,1467.09,1467.28,1467.62,1467.63,1467.83,1467.95,1468.27,1468.53,1468.91,1469.21,1469.59,1469.85,1470.05,1470.57,1470.77,1471.17,1471.61,1471.9,1472.18,1472.47,1472.75,1472.98,1473.2;1465.37,1465.48,1465.74,1465.86,1466.27,1466.27,1466.51,1466.77,1467.08,1467.24,1467.29,1467.47,1467.67,1468.03,1468.23,1468.57,1469.07,1469.29,1469.55,1469.85,1470.23,1470.49,1470.89,1471.31,1471.5,1471.88,1472.03,1472.37,1472.56,1472.86;1465.04,1465.29,1465.49,1465.71,1466.03,1466.05,1466.22,1466.54,1466.85,1466.91,1467.01,1467.23,1467.45,1467.73,1467.95,1468.44,1468.74,1468.9,1469.24,1469.54,1469.92,1470.2,1470.59,1470.93,1471.17,1471.55,1471.7,1471.98,1472.23,1472.45;1464.78,1465.09,1465.29,1465.55,1465.73,1465.69,1466.08,1466.38,1466.59,1466.61,1466.75,1466.97,1467.15,1467.47,1467.79,1468.12,1468.36,1468.6,1468.98,1469.24,1469.62,1469.88,1470.25,1470.63,1470.85,1471.11,1471.36,1471.68,1471.87,1472.19;1464.7,1464.91,1465.17,1465.39,1465.47,1465.53,1465.92,1466.3,1466.39,1466.31,1466.45,1467.45,1466.25,1467.35,1467.57,1467.88,1468.18,1468.48,1469.3,1469.04,1469.4,1469.7,1470.09,1470.39,1470.61,1470.93,1471.18,1471.46,1471.71,1472.03;1464.54,1464.87,1464.93,1465.09,1465.07,1465.39,1465.78,1465.98,1465.9,1465.96,1466.03,1466.47,1466.75,1467.09,1467.31,1467.57,1467.95,1468.21,1468.53,1468.78,1469.22,1469.68,1469.74,1470.16,1470.31,1470.63,1470.83,1471.13,1471.42,1471.76;1464.26,1464.41,1464.61,1464.67,1464.81,1465.11,1465.46,1465.52,1466.1,1465.76,1465.97,1466.23,1466.53,1466.79,1467.03,1467.37,1467.79,1467.97,1468.31,1468.66,1468.98,1469.12,1469.54,1469.92,1470.05,1470.31,1470.55,1471.07,1471.18,1471.42;1464.16,1464.27,1464.43,1464.37,1464.67,1464.91,1465.14,1465.24,1465.4,1465.6,1465.75,1466.03,1466.27,1466.57,1466.81,1467.27,1467.51,1467.73,1468.19,1468.28,1468.68,1469,1469.24,1469.52,1469.85,1470.11,1470.33,1470.67,1470.8,1471.2;1463.92,1463.99,1464.09,1463.71,1464.38,1464.66,1464.76,1465.02,1465.12,1465.36,1465.55,1465.85,1466.09,1466.47,1466.65,1466.93,1467.29,1467.56,1467.98,1468.28,1468.48,1468.66,1468.98,1469.42,1469.46,1470.14,1470.12,1470.46,1470.54,1470.62;1463.66,1463.67,1463.75,1463.61,1464.22,1464.32,1464.54,1464.76,1464.92,1465.14,1465.37,1465.71,1465.91,1466.27,1466.43,1466.73,1467.07,1467.34,1467.68,1467.86,1468.16,1468.36,1468.78,1468.94,1469.32,1469.58,1469.72,1470.16,1469.74,1470.92}</definedName>
    <definedName name="DEM.SaltForkStatePark">_xlfn.VSTACK(Extra.SFSP_1, Extra.SFSP_2)</definedName>
    <definedName name="DEM.SanAntonio">{197.11,196.57,196.42,196.47,196.2,197.09,196.72,195.96,194.36,193.23,197.94,198.72,199.29,199.82,200.26,200.38,200.39,200.24,198.75,195.56,194.93,197.13,199.38,200.19,200.2,200.04,200.54,200.83,204.94,209.35;197.16,196.91,196.76,192.44,196.58,196.89,196.83,196.98,193.11,194.74,198.07,199.05,199.72,199.91,200.29,200.8,200.54,200.43,200.13,198.37,198.16,198.92,200.17,199.99,200.02,200.13,200.23,200.63,205.56,209.08;197.22,197.08,196.84,196.67,196.78,196.7,196.77,197.06,192.84,196.06,198.53,199.79,199.95,200.46,200.15,200.35,200.58,200.09,199.85,199.86,199.86,200.14,200.31,200.41,200.76,200.28,201.15,200.98,205.28,207.51;192.57,192.57,192.95,193.56,192.9,193.8,197.02,197.38,193.21,198.62,198.85,199.37,199.62,200.28,200.14,199.97,200.59,200.02,200.19,200.25,200.76,200.68,200.46,200.6,201.11,200.55,201.42,201.53,200.41,200.77;196.94,195.85,195.78,195.75,196.48,196.62,193.13,197.79,193.03,197.27,199.15,199.1,199.23,200.74,200.4,200.78,200.77,200.74,199.98,200.73,200.95,200.93,200.82,201.09,200.84,200.94,200.99,200.51,201.09,201.54;196.72,196.2,196.04,195.89,196.24,196.28,194.3,192.98,194.37,197.44,199.21,199.23,200.32,200.4,200.72,201.18,200.99,200.89,200.97,200.07,200.84,200.83,200.86,200.98,200.85,200.83,201.54,201.16,201.45,201.79;196.53,196.26,195.91,195.92,196.15,196.57,196.88,197.29,198.19,198.97,199.35,200.21,200.61,200.43,200.77,201.33,201.29,201.32,201.24,200.92,200.43,200.54,200.65,200.92,200.98,201.35,201.2,201.37,201.66,201.91;196.79,196.61,196.63,196.62,196.82,197.25,197.63,197.76,198.25,198.94,199.4,200.18,200.38,200.46,200.76,201.24,201.16,201.03,200.96,200.57,200.71,200.91,201.15,201.32,200.95,201.23,201.53,201.88,201.76,201.9;196.6,196.65,196.7,196.93,197.24,197.56,197.82,198.01,198.01,198.62,199.2,199.62,200.2,200.48,200.64,200.77,200.91,201.38,201.06,200.71,201.24,201.06,201.23,201.37,200.98,202.3,202.22,201.99,201.84,201.99;196.78,197.11,197.26,197.31,197.42,197.81,198.08,198.32,198.31,198.89,199.53,199.74,200.16,200.52,200.58,200.13,200.61,201.22,200.9,201.51,201.59,201.15,201.3,201.39,201.51,201.71,202.14,202.27,201.97,202.21;196.88,197.05,197.29,197.39,197.75,197.89,198.18,198.3,198.36,198.66,199.26,199.43,199.97,200.29,197.81,197.87,197.85,200.53,200.56,201.09,201.18,201.62,201.41,201.46,201.51,201.75,202.09,201.85,202.39,202.43;196.43,196.71,197.19,197.56,197.73,197.94,198.12,198.24,198.33,198.94,199.22,199.44,199.53,200.11,197.88,197.84,200.33,200.36,200.31,200.6,200.64,201.74,201.82,201.24,201.57,201.51,202.07,202.36,202.49,202.56;196.13,196.53,196.88,197.29,197.51,197.78,198.01,198.17,198.46,198.78,199.21,199.24,199.42,199.79,199.86,200.02,200.47,200.13,200.23,200.41,201.79,201.35,201.82,201.3,201.81,201.78,201.88,202.01,202.21,202.28;196.23,197.08,197.95,198.15,197.75,198.81,199.22,199.21,198.57,199.29,199.37,199.41,199.9,200.01,199.66,199.86,199.95,200.01,200.3,200.54,201.2,201.27,201.05,201.61,201.75,202.2,202.32,202.22,201.94,202.12;196,196.59,197.76,198.13,197.85,198.96,199.83,199.35,198.66,199.31,199.61,199.29,199.57,199.75,199.8,199.6,199.87,200.01,200.29,200.6,200.63,200.71,201.22,201.34,201.73,201.98,202,202.32,201.88,202.29;196.05,196.54,197.69,198.11,198.01,198.95,199.23,199.42,198.78,199.71,199.38,199.62,199.39,199.67,199.59,199.47,199.76,200,200.29,200.57,200.57,200.78,200.92,201.29,201.71,201.77,202.02,202.32,202.1,202.41;195.99,196.56,197.11,197.58,197.98,198.24,198.38,198.69,198.96,199.01,199.04,199.25,199.28,199.43,199.2,200.04,200.24,199.97,200.33,200.37,201.11,201.06,201.03,201.13,201.58,201.7,202.07,202.27,201.97,202.53;196.22,196.72,197.5,198.01,197.81,198.62,199.36,199.62,198.73,199.17,199.39,199.5,199.95,199.26,199.49,199.7,199.93,200.09,200.26,200.91,200.84,200.3,200.98,201.31,201.52,201.72,201.95,201.94,202.36,202.57;196.27,196.63,197.03,197.39,197.68,197.8,198.06,198.29,198.55,198.57,198.72,198.97,199.07,199.29,199.38,199.79,199.92,200.05,200.44,200.42,200.87,201.02,201.01,201.36,201.52,201.75,202.1,201.86,202.38,202.57;196.5,196.85,197.29,197.34,197.78,197.99,198.14,199.53,198.34,198.88,199.46,198.82,198.99,199.48,199.43,199.48,199.86,200.35,200.67,200.62,200.53,200.64,200.92,201.36,201.55,201.75,201.79,202.14,202.47,202.51;196.65,197.07,197.47,196.44,197.55,198.08,198.19,198.54,198.07,198.64,199.04,198.69,199.12,199.32,199.62,199.68,199.68,200.67,200.56,200.52,200.47,200.61,201.01,201.26,201.66,201.68,201.75,202.15,202.65,202.56;197.62,197.96,197.24,197.08,197.01,197.84,198.28,198.87,198.48,198.19,198.96,198.55,199,199.2,199.44,200.03,199.95,199.82,200.61,200.27,200.88,200.95,200.76,201.43,201.53,201.58,201.85,202.14,202.51,202.75;197.53,198.05,197.14,197.31,197.28,197.99,199.33,200.58,199.83,198.24,198.37,198.37,199.13,198.92,199.7,200.14,200.67,200.11,199.97,200.52,200.72,201.05,201.19,201.08,201.4,202.11,202.07,202.25,202.33,202.45;197.57,197.8,196.94,197.51,197.52,198.08,198.8,198.87,199.99,198.51,198.54,198.21,198.37,199.06,199.65,199.91,200.51,200.16,200.27,200.37,200.62,200.97,201.06,200.97,201.29,201.83,202.13,202.5,202.3,202.84;193.82,192.54,193.88,192.46,196.86,197.76,197.5,197.63,199.13,197.76,198.21,198.08,198.34,198.64,199.37,200.12,200.07,200.1,200.48,200.2,200.54,200.81,200.65,201.54,201.35,201.58,201.92,202,202.73,202.86;197.85,195.87,197.49,198.04,192.46,198.45,193.96,197.01,197.03,196.51,197.95,198.29,198.27,198.79,199.48,199.47,200.08,200.27,200.42,200.64,200.39,200.41,201.06,201.43,201.74,201.71,201.67,202.39,202.61,203.17;198.3,197.63,197.97,198.28,198.24,195.44,195.83,197.86,192.46,197.83,198.23,198.15,198.37,198.41,198.84,199.4,199.5,200.18,200.12,199.92,200.05,200.59,200.98,201.35,201.59,201.36,201.76,202.15,202.55,203.02;198.36,198.08,197.99,198.06,198.42,198.57,198.35,197.74,197.96,193,197.46,198.2,198.4,198.2,198.69,199,199.1,199.05,199.1,199.35,200.04,200.92,200.86,201.2,201.19,201.49,201.93,202.21,202.54,202.76;198.27,198.84,198.1,197.88,198.08,198.36,198.09,197.89,198.14,197.36,193.64,197.95,198.11,197.96,198.44,198.51,198.72,199.09,198.86,199.03,199.43,200.39,201.11,201.14,201.44,201.75,201.95,202.31,202.37,203.15;199.09,199,198.26,198.83,198.32,198,197.93,198.26,198.01,197.55,197.78,192.46,197.93,197.85,198.13,198.38,198.44,198.46,198.96,198.84,199.25,200.17,200.28,200.95,201.39,201.87,202.12,202.02,202.75,202.57}</definedName>
    <definedName name="DEM.SantaMonica">{43.75,43.8,43.82,43.6,43.71,44.26,44.71,44.22,43.66,43.01,42.97,42.88,42.31,42.14,41.98,41.74,41.51,41.72,41.82,42.39,41.8,41.12,41.36,40.99,41.43,40.27,41.44,40.86,41.97,41;44.16,44.4,44.15,44.2,44.16,44.44,44.78,45.04,44.92,43.83,43.85,43.62,43.16,42.78,42.36,42.09,42.09,42.11,42.25,42.22,41.78,41.87,42.15,42.02,41.84,42.34,41.6,41.02,41.78,41.38;44.79,45.28,44.91,45.29,46.08,44.9,45.08,45.33,44.64,44.98,44.47,44,43.64,43.38,42.97,42.73,42.64,42.96,42.89,42.38,42.26,42.52,42.33,41.97,43.5,42.27,42.76,42.51,42.19,42.14;45.84,45.42,45.4,44.11,46.09,46.46,45.52,45.43,45.72,44,44.84,44.24,44.22,43.82,43.93,43.55,43.11,43.17,43.03,43.2,43.35,42.78,43.55,43.11,42.85,44.09,42.81,43.18,42.91,42.54;46.13,45.99,46.57,46.53,46.74,46.44,45.88,45.72,45.8,45.91,45.82,45.13,44.7,44.84,44.84,44.25,42.14,43.55,43.48,43.94,43.49,44.07,43.8,43.45,43.27,44.39,44.19,43.3,43.23,43.13;46.55,47.07,47.06,46.96,47.1,46.5,46.42,46.74,45.97,46.12,45.49,45.45,45.87,45.65,45.69,44.73,44.25,44.19,44.02,44.12,44.25,44.83,44.11,43.97,43.95,44.8,44.51,43.96,43.66,43.81;47.27,47.99,47.67,47.53,47.15,47.45,47.52,47.38,47.38,46.49,46.26,46.76,46.36,46.3,46.35,45.07,44.98,44.92,44.84,44.66,44.77,44.85,45.46,45.55,45.56,45.55,44.95,44.69,44.65,44.32;47.9,47.87,48.35,47.73,46.88,47.48,48.14,47.95,47.44,46.78,46.7,46.73,47.26,46.78,46.23,45.4,45.51,45.44,45.19,45.39,45.38,45.45,46.17,46.56,46.34,45.93,45.56,45.43,45.44,45.64;49.57,48.51,48.37,48.71,48.39,48.77,48.6,48.31,47.61,47.08,48.14,47.13,47.09,46.98,46.74,47.12,46.3,46.02,45.95,45.7,46.04,46.22,46.57,47.16,46.91,46.36,46.45,46.09,46.11,45.98;50.17,48.83,49.25,49.03,49.26,49.86,49.27,48.43,48.91,48.43,48.59,48.4,47.42,47.47,46.72,47.23,46.94,46.49,46.16,46.57,46.62,47.13,47.29,47.39,47.2,46.97,46.78,46.84,46.79,46.36;49.41,50.27,50.27,49.5,49.62,50.11,49.29,49.07,50.05,49.37,49.29,48.28,47.93,47.76,47.5,47.55,47.12,46.73,47.02,47.46,47.65,47.91,47.91,47.84,47.77,47.68,47.41,47.3,47.04,47.65;50.89,51.38,50.68,50.95,50.33,50.09,50.62,49.79,50.25,49.93,49.12,48.78,49.14,48.96,47.91,47.72,47.37,47.17,47.87,47.9,48.15,48.31,48.13,48.3,48.22,48.07,48.1,47.71,47.96,48.35;50.38,51.43,51.5,51.21,50.61,50.87,50.52,50.83,51.23,50,49.64,50.08,50.15,48.91,49.19,47.97,47.95,46.64,48.16,48.61,48.58,48.46,49.14,48.76,48.61,48.42,48.4,48.24,48.75,48.67;51.91,52.24,52.17,51.27,51.52,51.44,51,50.94,50.96,50.42,50.85,50.53,49.22,51.13,48.76,49.32,48.51,48.35,48.96,49.6,48.73,49.81,49.47,49.16,49,48.87,48.7,48.68,48.57,48.78;53.02,52.8,52,51.8,51.98,51.95,52.53,51.83,51.13,51.71,51.44,49.7,50.31,49.82,49.88,49.86,49.46,48.86,49.13,49.01,50.15,50.15,50.13,50.1,49.48,49.4,49.79,49.16,49.18,48.59;53.22,52.65,52.75,52.12,52.5,52.82,52.59,51.78,51.79,51.5,51.93,51.62,50.53,50.75,50.27,50.07,49.17,49.83,49.34,49.52,51.15,51.05,50.95,50.19,50.08,50.17,50.29,50.02,49.47,49.53;53.36,54.08,53.99,53.4,53.6,53.08,52.4,53.32,53.03,52.23,51.89,51.63,51.87,51.72,51.01,50.88,50.45,50.01,50.39,50.2,50.47,50.67,50.86,50.63,51.42,50.77,50.65,50.36,49.92,49.75;54.1,53.65,54.16,54.72,53.7,53.17,53.02,53.46,53.44,53.71,52.5,52.17,52.4,52,51.56,50.96,50.79,52.11,51.07,51.18,51.01,51.24,51.34,52.12,51.61,51.18,51.06,50.41,50.94,50.16;55.9,54.49,54.1,54.83,53.85,54.41,53.93,54.22,54.06,53.33,52.8,52.82,52.45,52.82,52.15,51.6,51.96,52.5,52.44,52.29,52.47,51.83,51.61,52.09,51.8,51.56,50.92,51.1,51.3,50.83;55.58,55.77,54.94,54.53,54.71,54.4,54.96,54.69,54.25,53.89,54.66,54.09,53.06,52.75,52.39,52.43,54,53.89,52.98,52.87,52.72,52.65,52,51.76,52.02,51.42,52,51.66,51.48,51.34;56.33,56.39,55.15,55.73,55.19,55.81,55.53,55.12,54.77,55.45,55.05,54.48,53.95,52.98,52.91,54.02,54.35,54.2,53.95,53.32,52.83,52.75,52.46,52.14,51.84,52.31,52.63,51.96,52.09,51.71;57.15,55.91,57.13,56.78,56.3,55.87,56.1,55.76,55.42,55.81,55.79,54.47,54.09,54.09,53.66,53.7,54.23,54.52,54.36,54.08,53.18,53.15,52.9,52.52,52.44,52.14,52.63,53.27,52.16,51.45;56.7,57.51,57.59,57.3,57.34,57.01,56.24,57.08,57.08,55.53,56.62,55.32,54.79,54.81,54.37,54.84,54.43,54.42,54.69,54.52,54.84,53.76,53.34,53.42,53.71,52.61,52.62,53.13,52.16,51.03;57.8,58.35,58.11,58.25,57.73,57.08,58.14,57.09,57.51,56.9,56.48,56.29,55.92,55.6,56.04,55.11,55.1,55.18,54.51,54.81,55.36,54.53,54.27,54.81,53.91,54.09,52.89,52.87,53.14,52.77;59.31,58.68,58.95,58.86,58.25,57.63,58.77,58.51,57.77,57.74,58.01,57.75,56.89,57.05,56.94,56.11,56.92,56.67,56.08,56.7,55.87,55.39,55.22,54.68,54.71,54.63,53.65,53.84,53.3,53.28;59.44,59.14,59.61,59.02,57.9,59.59,59.54,59.09,58.87,58.56,59.42,58.77,57.71,56.58,57.24,58.05,58.28,57.87,57.21,57,56.86,56.58,56.13,55.67,55.52,54.87,54.91,54.63,53.86,53.57;60.13,60.54,60.1,60.12,60.72,60.72,60.77,59.98,60.05,60.3,59.77,60.21,60.15,58.49,59.77,60.25,59.04,59.43,58.45,57.8,57.69,57.81,57.03,56.86,56.13,56.09,55.74,55.01,55.02,54.53;61.41,61,61.06,59.04,62.1,62.16,61.37,61.68,61.93,61.91,62.47,60.97,60.77,61.84,61.18,60.87,60.78,60.18,59.41,60.22,59.19,58.42,58.64,57.65,56.78,57.31,56.54,56.16,55.36,54.97;61.93,62.27,62.26,62.85,63.19,62.73,62.6,63.12,63.43,63.63,62.99,61.87,61.83,62.7,62.66,62.44,61.83,61.39,61.74,60.42,60.96,60.04,59.21,59.31,58.84,58.13,58.31,57.19,56.63,56.79;63.8,63.85,63.64,63.67,64.01,63.68,64.78,64.75,64.91,63.86,63.89,64.6,64.86,63.35,64.6,63.95,62.91,63.74,63.2,62.89,62.25,60.61,61.1,60.09,60.04,59.96,59.63,58.7,59.22,58.85}</definedName>
    <definedName name="DEM.Sawtooth">{2169.03,2165.2,2158.47,2157.95,2157.75,2157.3,2161.66,2173.78,2185.8,2192.3,2185.76,2182.65,2168.41,2152.69,2137.43,2128.67,2124.67,2119.96,2117.39,2113.79,2103.45,2088.55,2072.64,2058.07,2044.22,2031.58,2027.28,2015.34,2004.2,1999.73;2164.12,2162.04,2158.42,2158.07,2157.64,2157.37,2159.14,2171.11,2183.19,2186.89,2182.37,2185.58,2174.63,2159.41,2142.07,2130.71,2127.16,2121.97,2117.81,2115.9,2108.65,2095.67,2079.31,2064.42,2051.01,2036.88,2028.86,2023.17,2013.25,2003.39;2159.26,2158.78,2158.2,2157.72,2157.64,2157.25,2158.77,2169.12,2180.93,2185.12,2180.88,2181.53,2179.94,2164.79,2148.7,2135.75,2129.35,2126.85,2119.02,2113.44,2110.11,2096.74,2081.79,2067.96,2058.01,2047.35,2033.61,2025.64,2018,2008.22;2158.96,2158.55,2158.45,2158.15,2157.2,2157.21,2157.9,2166.58,2179.02,2186.31,2180.65,2179.16,2180.23,2170.09,2156.16,2143.18,2138.27,2133.85,2122.69,2115.84,2111.22,2103.03,2088.71,2072.91,2063.19,2056.7,2041.66,2029,2023.63,2017.01;2159,2158.47,2157.87,2157.85,2157.74,2157.31,2156.64,2163.4,2175.43,2185.62,2183.49,2177.13,2177.09,2174.07,2165.72,2156.84,2149.28,2140.91,2129.05,2118.12,2114.94,2108.75,2094.71,2080.61,2067.03,2064.24,2049.41,2035.71,2025.59,2022.86;2161.07,2159.07,2158.01,2157.47,2157.17,2156.78,2156.57,2160.46,2171.56,2181.67,2176.5,2169.17,2172.28,2176.66,2174.7,2170.28,2165.96,2153.22,2138.24,2124.61,2116.74,2115.11,2106.44,2090.84,2076.8,2069.58,2056.6,2044.71,2034.49,2023.59;2165.48,2163.17,2160.72,2158.14,2157.36,2156.82,2156.45,2158.75,2169.1,2177.97,2174.15,2167.15,2163.29,2169.94,2176.43,2181.13,2177.35,2163.5,2148.47,2133.79,2119.66,2116.1,2116.44,2103.55,2090.02,2077.24,2064.37,2054.79,2044.92,2031.34;2174.59,2171.33,2167.87,2165.28,2161.11,2157.27,2156.41,2156.46,2165.3,2171.39,2169.28,2162.97,2157.11,2159.25,2164.05,2169.76,2175.54,2165.9,2152.52,2138.04,2123.81,2116.28,2116.41,2115.45,2102.95,2090.02,2076.6,2064.84,2054.31,2041.19;2185.72,2181.97,2176.13,2172,2167.85,2161.02,2157.86,2155.79,2158.57,2165.45,2160.76,2156.41,2153.53,2152.41,2152.36,2159.6,2168.1,2165.93,2158.19,2144.91,2129.61,2117.72,2115.56,2121.3,2115.29,2103.28,2090.93,2076.75,2063.45,2051.91;2198.57,2194.1,2186.65,2180.24,2173.21,2166.38,2161.97,2158.34,2155.45,2157.08,2154.92,2151.65,2149.55,2148.45,2147.09,2151.67,2161.81,2168.29,2166.26,2152.48,2138.73,2126.04,2117.79,2117.81,2121.7,2115.67,2105.21,2090.1,2076.04,2062.42;2210.9,2205.25,2196.14,2186.84,2180.28,2174.05,2168.14,2163.69,2160.22,2156.11,2154.41,2156.45,2158.68,2156.23,2151.11,2143.48,2154.31,2162.97,2166.07,2160.25,2149.66,2138.42,2131.21,2126.47,2120.27,2117.04,2112.54,2102.84,2089.2,2073.31;2198.7,2195.4,2189.12,2185.13,2184.32,2183.02,2177.95,2175.14,2172.84,2169.12,2166.76,2166.8,2167.78,2159.93,2148.1,2141.3,2147.94,2157.29,2156.73,2158.01,2160.29,2152.88,2147.36,2142.13,2132.92,2123,2114.72,2105.69,2098.35,2084.62;2179.65,2179.03,2181.66,2178.18,2183.77,2187.34,2187.27,2185.02,2182.14,2179.49,2174.34,2167.56,2162.03,2154.87,2145.79,2141.16,2141.23,2150.58,2150.2,2150.89,2158.13,2159.69,2153.9,2151.98,2145.78,2134.58,2122.2,2109.89,2101.24,2091.82;2172.99,2172.74,2171.67,2171.31,2170.46,2170.05,2173.85,2178.29,2175.72,2172.51,2170.62,2164.36,2156.14,2148.15,2142,2140.63,2140.76,2140.45,2147.36,2146.75,2150.15,2152.9,2154.81,2150.71,2146.74,2141.83,2129.34,2114.14,2099.26,2084.02;2165.66,2162.99,2161.42,2159.68,2154.9,2156.06,2161.99,2168.88,2169.53,2168.94,2165.16,2160,2153.96,2148.12,2142.06,2140.37,2140.38,2140.57,2140.18,2140.27,2142.71,2143.1,2148.24,2145.74,2147.54,2140.5,2126.59,2110.32,2094.46,2077.94;2155.99,2152,2154.39,2152.63,2151.58,2151.77,2156,2161.18,2162.67,2159.71,2156.41,2152.16,2149.2,2147.82,2147.88,2145.58,2144.85,2145,2144.65,2143.62,2143.5,2143,2141.66,2140.02,2134.45,2131.31,2118.83,2104.3,2089.42,2081.31;2147.32,2149.15,2147.7,2142.25,2141.79,2143.62,2141.61,2143.04,2146.71,2150.79,2150.8,2147.54,2145.84,2143.23,2142.81,2141.31,2141.76,2142.11,2143.17,2142.6,2140.41,2138.39,2137.36,2137.47,2134.88,2128.26,2119.85,2111.13,2103.09,2094.24;2138.98,2135.8,2135,2140.27,2138.34,2136.89,2132,2132.06,2132.07,2137.13,2137.23,2138.28,2138.93,2140.02,2141.47,2139.92,2137.99,2137.15,2137.15,2138.03,2137.01,2133.73,2134.48,2136.63,2133.51,2126.94,2122.52,2118.93,2114.47,2105.4;2136.64,2135.25,2132.64,2130.57,2129.73,2133.93,2131.95,2129.74,2127.72,2128.32,2130.8,2133.2,2130.27,2130.31,2131.47,2133.1,2133.46,2136.28,2138.39,2135.52,2132.8,2131.18,2131.19,2132.07,2127.44,2124.8,2123.65,2124.24,2120.74,2109.36;2127.66,2130.12,2130.6,2130.26,2127.29,2129.25,2126.85,2124.48,2124.64,2120.61,2121.33,2122.08,2124.78,2122.47,2123.18,2125.44,2127.47,2127.53,2132.53,2135.1,2135.13,2131.22,2127.23,2123.35,2120.31,2116.89,2115.21,2115.75,2113.58,2112.64;2110.43,2111.07,2113.38,2118.89,2118.45,2121.86,2124.97,2118.57,2117.74,2117.56,2117.81,2121.01,2119.51,2119.92,2119.15,2121.22,2123.55,2125.15,2128,2126.96,2127.23,2125.72,2124.87,2121.07,2117.35,2113.37,2110.21,2108.29,2106.82,2105.85;2100.37,2101.02,2101.49,2101.75,2105.68,2104.93,2105.95,2115.22,2115.68,2114.2,2114.62,2114.98,2115.3,2114.76,2115.98,2117.64,2121.26,2123.47,2123.08,2121.24,2118.07,2116,2115.74,2115.18,2113.55,2112.12,2109.77,2105.96,2104.4,2102.58;2087.03,2089.81,2090.61,2091.13,2092.1,2093.45,2095.44,2098.59,2104.7,2109.92,2109.8,2107.86,2108.59,2109.58,2111.37,2114.16,2117.62,2117.05,2116.76,2115.03,2112.82,2109.51,2107.39,2107.36,2106.51,2105.18,2105.3,2104.98,2102.42,2099.74;2074.71,2075.71,2075.31,2077.41,2079.95,2082.54,2084.6,2086.34,2088.95,2092.38,2097.9,2106.22,2101.36,2102.14,2104.32,2108.38,2111.46,2112.23,2107.41,2107.53,2107.31,2105.6,2103.14,2101.08,2099.06,2097.48,2097.78,2099.13,2097.57,2096.47;2060.16,2064.29,2067.85,2070.4,2067.66,2068.93,2072.86,2074.42,2077.54,2081.19,2084.33,2093.15,2100.03,2099.59,2098.92,2101.46,2101.47,2103.75,2104.37,2102.07,2098.85,2098.08,2097.93,2097.39,2095.7,2093.63,2091.86,2090.82,2090.47,2088.88;2053.56,2053.26,2054.36,2059.35,2063.63,2061.63,2059.77,2062.42,2066.35,2070.29,2073.27,2077.23,2082.84,2088.68,2091.71,2089.51,2091.67,2094.41,2095.12,2094.97,2094.29,2092.36,2089.24,2090.41,2089.8,2087.66,2087.38,2086.89,2085.16,2084.33;2053.59,2053.44,2053.39,2053.15,2053.68,2059.38,2056.82,2054.71,2055.03,2057,2060.97,2064.42,2067.68,2071.54,2076.34,2078.51,2081.54,2084.3,2084.22,2084.87,2084.54,2084.86,2084.17,2081.89,2081.42,2080.5,2079.96,2079.32,2079.03,2078.55;2053.38,2053.38,2053.31,2053.3,2052.99,2056.22,2056.96,2052.91,2051.4,2050.6,2052.53,2054.13,2058.45,2061.6,2067.11,2070.75,2073.99,2076.43,2077.3,2076.43,2075.71,2076.28,2077.28,2076.31,2074.88,2075.19,2074.14,2073.6,2072.33,2071.73;2053.42,2053.26,2053.28,2053.04,2052.91,2054.8,2057.5,2051.74,2050.32,2049.55,2049.32,2049.36,2049.55,2052.56,2057.63,2062.39,2064.98,2067.15,2070.86,2071.39,2070.68,2070.87,2071.03,2071.57,2070.46,2068.58,2067.72,2068.13,2067.49,2066.1;2053.58,2053.34,2052.99,2052.95,2053.68,2056.54,2058.06,2051.44,2049.36,2049.44,2049.15,2048.96,2048.94,2048.82,2049.22,2050.85,2054.83,2059.11,2062.02,2065.26,2069.07,2066.72,2066.54,2066.66,2065.14,2064.17,2065.18,2062.47,2062.32,2062.28}</definedName>
    <definedName name="DEM.WhiteSands">{1218.16,1218.8,1218.32,1218.4,1218.52,1218.47,1218.33,1217.57,1217.32,1217.17,1217.12,1217.25,1217.17,1217.28,1217.2,1217.21,1217.29,1217.15,1217.19,1217.17;1218.01,1218.2,1219.24,1218.82,1218.02,1218.87,1218.71,1218.34,1217.61,1217.34,1217.26,1217.32,1217.32,1217.24,1217.2,1217.2,1217.34,1217.2,1217.14,1217.21;1218.18,1218.23,1218.19,1219.31,1219.24,1218.8,1219.02,1218.59,1217.88,1217.48,1217.41,1217.36,1217.44,1217.41,1217.42,1217.28,1217.33,1217.25,1217.17,1217.16;1218,1218.13,1218.16,1218.05,1218.15,1219.62,1219.3,1218.35,1218.12,1217.8,1217.7,1217.7,1217.84,1217.94,1217.79,1217.58,1217.41,1217.39,1217.21,1217.33;1218.03,1218.15,1218.22,1218.06,1218.04,1218.33,1218.79,1219.49,1219.39,1218.14,1217.97,1218.51,1219.07,1219.39,1218.65,1218.15,1217.76,1217.51,1217.28,1217.21;1218.08,1218.04,1218.36,1218.06,1218.05,1218.05,1218.18,1218.65,1219.24,1219.59,1218.88,1219.28,1220.28,1220.01,1219.65,1219.07,1218.29,1217.87,1217.64,1217.56;1218.09,1218.14,1218.11,1218.03,1218.05,1218.06,1218.09,1218.31,1218.38,1218.77,1219.63,1219.79,1219.17,1220.3,1219.96,1219.37,1218.85,1218.37,1218.26,1218.16;1217.95,1217.97,1218.02,1218.03,1218.13,1218.08,1218.08,1218.29,1218.34,1218.66,1219.08,1219.01,1219.99,1219.79,1219.87,1219.33,1219.17,1219.05,1218.87,1218.68;1217.94,1217.97,1218.03,1218.04,1218.08,1218.11,1218.26,1218.31,1218.35,1218.44,1218.77,1219.19,1219.21,1219.86,1220.04,1219.22,1219.34,1219.39,1219.35,1219.11;1218.02,1218.08,1218.17,1218.14,1218.12,1218.35,1218.3,1218.35,1218.53,1218.58,1218.64,1218.84,1219.32,1219.42,1219.42,1220.13,1220.1,1219.7,1219.71,1219.43;1218.27,1218.2,1218.21,1218.24,1218.29,1218.34,1218.34,1218.43,1218.75,1218.59,1218.67,1218.95,1219.19,1219.34,1219.54,1219.71,1219.8,1220.36,1219.55,1219.5;1218.45,1218.44,1218.41,1218.36,1218.35,1218.44,1218.5,1218.51,1218.61,1218.69,1218.68,1218.91,1219.05,1219.25,1219.57,1219.69,1219.78,1219.59,1220.01,1220.06;1218.8,1218.71,1218.55,1218.52,1218.48,1218.46,1218.54,1218.66,1218.59,1218.65,1218.84,1218.85,1219,1219.21,1219.47,1219.67,1219.73,1219.68,1219.51,1219.17;1218.85,1218.79,1218.81,1219.01,1219.18,1218.82,1218.68,1218.66,1218.68,1218.66,1218.77,1218.89,1219.01,1219.23,1219.41,1219.51,1219.57,1219.53,1219.33,1219.18;1218.89,1219.1,1219.25,1219.32,1219.29,1218.97,1218.75,1218.84,1218.68,1218.76,1218.87,1219.07,1219.06,1219.09,1219.27,1219.44,1219.43,1219.36,1219.37,1219.21;1219.03,1219.12,1219.26,1219.29,1219.26,1219.08,1218.94,1218.75,1218.78,1218.85,1218.96,1219.02,1219.05,1219.14,1219.15,1219.37,1219.35,1219.26,1219.22,1219.17;1219.13,1219.19,1219.32,1219.27,1219.25,1219.16,1219.04,1218.94,1218.98,1218.98,1219.04,1219.08,1219.09,1219.11,1219.37,1219.37,1219.25,1219.23,1219.21,1219.17;1219.3,1219.32,1219.29,1219.31,1219.24,1219.2,1219.12,1219.02,1219.04,1219.15,1219.17,1219.12,1219.13,1219.12,1219.2,1219.28,1219.23,1219.2,1219.28,1219.2;1219.54,1219.45,1219.37,1219.34,1219.38,1219.29,1219.28,1219.18,1219.09,1219.22,1219.17,1219.1,1219.14,1219.16,1219.18,1219.22,1219.22,1219.21,1219.25,1219.22;1219.88,1219.67,1219.46,1219.45,1219.47,1219.34,1219.32,1219.22,1219.16,1219.13,1219.16,1219.15,1219.11,1219.18,1219.18,1219.22,1219.24,1219.26,1219.24,1219.26}</definedName>
    <definedName name="DEM.Yosemite">{2692.54,2685.26,2671.65,2655.15,2633.32,2608.4,2583.1,2548.26,2523.03,2514.03,2493.12,2346.81,2344.92,2337.93,2329.14,2316.77,2307.38,2300.48,2292.3,2282.67;2664.45,2687.71,2670.46,2650.21,2624.27,2599.58,2577.54,2555.31,2539.94,2541.15,2528.49,2503.89,2359.7,2356.25,2346.39,2335.26,2325.05,2318.01,2310.21,2299.4;2506.09,2633.81,2649.24,2611.88,2591.6,2567.81,2551.37,2551.81,2555.77,2561.49,2559.08,2546.03,2511.39,2429.13,2363.11,2356.11,2343.24,2334.84,2325.34,2317.34;2372.08,2453.08,2564.57,2550.61,2532.35,2525.77,2522.44,2528.78,2541.89,2560.89,2570.35,2565.24,2554.19,2533.97,2498.85,2415.82,2359.57,2353.36,2343.95,2333.57;2325.4,2420.57,2520.41,2504.11,2484.76,2487.99,2496.26,2507.18,2521.82,2541.83,2559.72,2561.26,2551.73,2533.37,2511.5,2471.91,2415.8,2372.62,2360.48,2348.46;2324.66,2410.87,2485.78,2465.84,2456.52,2460.77,2474.25,2483.89,2503.41,2521.68,2537.87,2551.31,2545.9,2530.3,2508.06,2489.02,2465.76,2410.3,2371.17,2361.19;2262.22,2467.29,2457.65,2436.6,2432.07,2437.69,2450.17,2468.85,2483.09,2500.88,2516.83,2533.08,2536.74,2527.13,2509.13,2487.21,2462.75,2441.01,2392.49,2375.18;2179.6,2463.34,2436.74,2420.69,2410.15,2413.79,2428.43,2448.53,2459.52,2480.45,2491.4,2500.51,2508.3,2508.65,2507.51,2489.85,2467.46,2442.77,2419.47,2394;2183.46,2250.62,2418.79,2398.17,2382.33,2385.64,2395.42,2412.07,2429.09,2443.77,2450.4,2459.2,2461.9,2469.56,2476.42,2478.87,2466.69,2448.98,2428.07,2404.28;2190.71,2212.47,2296.98,2359.58,2342.46,2346.2,2358.1,2360.94,2374.61,2384.49,2390.48,2392.62,2404.95,2424.15,2430.86,2440.77,2446.71,2439.34,2424.11,2407.56;2209.33,2224.53,2240.88,2301.82,2295.16,2299.08,2312.59,2322.91,2333.31,2344.47,2355.01,2368.34,2381.88,2394.16,2403.73,2412.43,2414.82,2417.23,2412.69,2405.64;2206.59,2224.02,2242.03,2255,2267.27,2275.28,2290.74,2305.02,2315.64,2324.56,2336.33,2352.04,2364.55,2377.56,2389.97,2399,2402.5,2403.83,2404.35,2404.2;2206.81,2221.94,2229.22,2233.08,2244.2,2257.51,2273.66,2285.09,2291.62,2295.87,2318.31,2331.43,2347.3,2364.24,2378.76,2388.54,2393.96,2398.2,2401.6,2403.98;2207.91,2209.19,2208.65,2217.74,2228.93,2241.18,2249.06,2264.04,2271.69,2287.24,2304.56,2319.67,2334.68,2353.04,2369.75,2383.81,2392.76,2398,2402.68,2402.93;2191.49,2191.08,2196.64,2205.69,2216.6,2228.46,2240.35,2252.37,2266.61,2280.92,2295.99,2311.72,2329.02,2345.38,2360.63,2376.63,2387.44,2393.97,2395.79,2402.12;2174.61,2179.62,2185.95,2194.07,2203.46,2214.79,2229.05,2247.33,2261.47,2276.01,2289.43,2303.63,2319.5,2334.02,2346.13,2359.38,2373.06,2384.82,2392.63,2399.25;2152.49,2163.73,2171.36,2179.38,2188.77,2199.66,2213.59,2230.5,2252.4,2268.37,2281.65,2296.51,2309.38,2320.7,2332.12,2343.99,2358.5,2374.28,2385.4,2393.84;2118.78,2135.04,2148.12,2160.59,2173.41,2188.58,2202.24,2223.08,2236,2258.73,2272.01,2284.86,2297.5,2309.47,2321.64,2333.09,2346.48,2359.27,2377.53,2385.36;2072.5,2098.91,2118.01,2136.64,2159.61,2183.03,2201.64,2218.83,2232.82,2244.48,2259.35,2271.67,2283.35,2295.5,2307.99,2318.25,2332.44,2346.83,2362.43,2376.39;2003.46,2058.88,2090.47,2115.28,2144.36,2170.23,2188.34,2204.5,2215.73,2225.89,2240.1,2257.76,2272.5,2284.29,2296,2307.64,2318.86,2330.64,2342.49,2358.57}</definedName>
    <definedName name="DEM_Details">Input!$C$22:$D$41</definedName>
    <definedName name="DEM_error">Input!$B$12</definedName>
    <definedName name="DEM_input">_xlfn.ANCHORARRAY(Input!$G$7)</definedName>
    <definedName name="DEM_Library">Input!$B$22:$B$41</definedName>
    <definedName name="DEM_Title">_xlfn.LET(_xlpm.title, _xlfn.TEXTAFTER(_xlfn.FORMULATEXT(Input!$G$7), "=", , , , "-"), _xlpm.dem_details, _xlfn.XLOOKUP(_xlpm.title, DEM_Library, DEM_Details, ""), _xlpm.lat_lon, _xlfn.TAKE(_xlpm.dem_details, , 1), _xlpm.dim, _xlfn.TAKE(_xlpm.dem_details, , -1), _xlpm.sq_km, --_xlfn.TEXTBEFORE(_xlpm.dim, "x", , , , "") / 20 &amp; " sq km", _xlpm.deliver, IFERROR(_xlfn.VSTACK(_xlfn.HSTACK(_xlpm.title, _xlpm.dim), _xlfn.HSTACK(_xlpm.lat_lon, _xlpm.sq_km)), "-"), _xlpm.deliver)</definedName>
    <definedName name="ErrorReport">IF(LEFT(Analyze!$H$2) = "#", Analyze!$H$2, "-")</definedName>
    <definedName name="Export">IFERROR(IF(Export?,_xlfn.ANCHORARRAY( Analyze!$H$2), "-"), "-")</definedName>
    <definedName name="Export?">Export!$C$4</definedName>
    <definedName name="Extra.NM_1">{1810.2,1811.31,1810.32,1809.34,1808.47,1807.44,1806.1,1804.8,1803.45,1801.95,1800.43,1798.73,1797.36,1796.57,1795.94,1795.64,1795.09,1794.49,1793.86,1792.89,1791.46,"-9999 Invalid",1787.34,1785.88,"-9999 Invalid",1782.23,1780.56,1779.14,1778.11,1777.47;"-9999 Invalid",1809.49,1808.91,1808.44,1807.43,1806.6,"-9999 Invalid",1804.26,1802.78,1801.4,1799.93,1798.48,"-9999 Invalid",1796.67,1796.39,1795.75,1794.98,1794.37,1793.37,1792.36,1791.14,1790.14,1788.56,1786.87,1785.17,1783.33,1780.98,1779.8,1779.01,1778.63;1807.6,1807.21,"-9999 Invalid","-9999 Invalid","-9999 Invalid",1805.76,1804.84,1803.15,1802.2,1800.87,1799.55,"-9999 Invalid",1797.08,1796.28,1795.52,1794.99,1794.33,1793.33,1792.06,1791.61,1790.56,1789.58,1788.34,1786.59,1785.24,"-9999 Invalid",1781.42,1780.25,1779.14,1777.93;1804.73,1804.86,1805.19,1805.22,1805.06,1804.43,1803.8,1802.19,1801.51,1800.46,1799.08,1797.78,1796.67,1795.7,1794.71,1793.99,1792.98,1792.14,1791.03,1790.42,1789.59,1788.58,1786.53,1786.06,1784.57,1783.16,1781.25,1780.05,1778.85,1777.26;1800.95,1799.77,1802.57,1803.28,1803.12,1803.15,1802.66,1801.79,"-9999 Invalid",1799.82,1798.47,1797.36,1796.29,"-9999 Invalid","-9999 Invalid","-9999 Invalid",1791.22,1790.5,1789.63,1788.78,1787,1785.37,1784.76,1784.62,1783.7,1781.81,1780.42,"-9999 Invalid",1778.04,1776.45;1800.36,1797.82,1800.64,1801.17,1801.09,1801.14,1800.96,"-9999 Invalid",1799.46,1798.65,1797.6,1796.76,1795.65,1794.55,1793.24,1791.58,"-9999 Invalid",1788.69,"-9999 Invalid",1786.69,1785.19,1783.75,1782.89,1782.84,1782.58,1780.63,1779.54,1778.32,1777.16,1775.78;1798.54,1797.06,1798.19,1798.68,1799.39,1799.51,1799.32,1798.89,1798.38,1797.78,1796.98,1796.11,1794.98,1793.99,"-9999 Invalid",1791.46,1789.65,1787.5,"-9999 Invalid",1785.47,1784.26,1782.66,1781.07,1780.4,1780.01,1778.72,1777.54,"-9999 Invalid",1775.92,1774.59;1796.28,1794.27,1795.77,"-9999 Invalid",1797.41,1797.37,1797.71,1797.6,1797.29,1796.88,1796.29,1795.52,1794.42,1793.47,1792.37,1791.11,1789.13,1786.99,"-9999 Invalid",1784.11,1783.28,1781.95,1779.94,1778.33,1776.93,1776.3,1775.98,1775.34,"-9999 Invalid",1773.66;1793.44,1792.41,"-9999 Invalid",1795.05,1795.5,1795.22,1795.81,1796.03,1795.75,1795.61,1795.1,1794.37,1793.68,1792.73,1791.67,1790.52,1788.86,"-9999 Invalid",1784.86,"-9999 Invalid","-9999 Invalid",1780.37,1779.62,1777.35,1775.83,1774.54,1773.66,1772.86,1772.77,1772.18;1790.61,1790.4,1792.3,1792.91,1792.92,1793.72,1794.03,1794.07,1794.06,1794.25,1793.9,1793.45,"-9999 Invalid",1791.95,1790.84,1789.45,1788.5,1787.04,1784.99,1783.15,1780.42,1778.31,1777.15,"-9999 Invalid",1774.92,1773.58,1772.43,"-9999 Invalid",1770.47,"-9999 Invalid";1787.79,1788.83,1790.65,1791.13,1791.17,1791.72,1792.19,1792.18,1792.52,1792.72,1792.48,1792.4,1791.87,1791.27,1790.03,"-9999 Invalid",1786.96,1785.34,"-9999 Invalid",1782.88,"-9999 Invalid",1778.13,"-9999 Invalid",1774.19,"-9999 Invalid",1772.4,1771.54,1770.54,1769.56,1768.44;1785.88,1787.09,1788.26,1788.08,1789.21,1789.68,"-9999 Invalid",1790.29,"-9999 Invalid",1790.55,1790.83,1791.05,1790.88,1790.48,1789.41,1787.98,1786.44,"-9999 Invalid",1782.98,1781.82,1780.81,1778.97,1776.36,1772.37,1771.64,1771.27,1771.25,1770.79,1770.2,"-9999 Invalid";1783.96,1783.69,1784.81,1785.14,1786.94,1786.13,1787.37,1787.41,1787.86,1788.81,1789.18,1789.51,1789.43,1788.77,1788.51,1787.96,1786.61,1784.4,1782.19,1779.51,1777.47,1775.04,1772.95,1771.64,1771.03,1771.14,1772.23,1772.25,1772.02,1771.91;1782.07,1781.51,1781.63,"-9999 Invalid",1783.89,1784,1783.71,1783.85,1785.58,1786.13,1786.84,1786.39,1786.93,1787.43,1787.81,1787.57,1786.73,1784.98,1783.45,1780.05,1776.5,1774.97,1773.18,1772.69,1770.23,"-9999 Invalid",1773.81,1774.14,"-9999 Invalid",1773.58;1780.49,1780.02,1779.7,1779.94,1780.77,1781.77,1781.65,1781.76,"-9999 Invalid",1783.9,1783.45,1784.13,1785.41,1786.67,1787.48,1787.45,1786.8,"-9999 Invalid",1782.23,1779.81,1779.42,1779.25,1779.16,1779.09,1778.59,1775.4,1776.37,"-9999 Invalid",1775.79,1775.41}</definedName>
    <definedName name="Extra.NM_2">{1779.91,1778.61,1778.26,1777.79,1778.33,1778.62,1779.5,1780.67,1782.21,"-9999 Invalid",1781.46,1783,1784.88,1786.55,1787.08,1787.14,1786.12,1784.8,1782.8,1782.44,1782.67,1782.61,"-9999 Invalid",1781.02,"-9999 Invalid",1777.14,1778.08,1777.92,1777.5,1776.78;1780.51,1777.78,1777.11,1776.53,1776.59,1776.97,1777.87,1778.33,1779.99,1779.62,1780.87,1783.06,1785.07,1786.33,1787,1787.03,1786.35,1785.15,1784.32,1784.72,1784.59,"-9999 Invalid",1783.61,1781.96,1781.62,1780.89,1780.22,1779.6,1778.67,1777.79;1783.62,1776.99,1776.25,"-9999 Invalid","-9999 Invalid",1775.57,1776.07,"-9999 Invalid",1777.42,"-9999 Invalid",1781.27,1784.02,1785.4,"-9999 Invalid",1787,1786.7,1786.29,"-9999 Invalid",1785.96,1786.09,1785.99,1785.6,1785.1,1784.37,1783.09,1781.71,1780.99,"-9999 Invalid",1779.26,1778.29;1783.8,1779.26,1775.98,1775.12,1774.13,1773.76,1774.22,1775.42,1776.67,1778.82,1781.86,1784.3,"-9999 Invalid",1786.6,1787.11,1786.65,1786.48,1786.68,1787.07,1787.21,1787.08,1786.92,1786.56,1785.65,1783.75,"-9999 Invalid","-9999 Invalid",1781.07,"-9999 Invalid",1777.67;1784.18,1781.68,1778.43,1775.97,1773.08,1772.99,1773.12,"-9999 Invalid",1776.9,1779.18,1782.07,1784.1,1785.53,1786.47,1786.92,"-9999 Invalid",1786.88,1787.43,"-9999 Invalid",1788.03,1788.01,"-9999 Invalid",1787.38,"-9999 Invalid",1784.3,1783.22,1782.4,1780.97,1779.02,1776.96;1782.42,1780.46,1777.78,1774.34,1772.72,1772.07,"-9999 Invalid",1773.77,"-9999 Invalid",1780.07,1781.85,1783.67,1785.23,1786.32,1786.71,"-9999 Invalid",1786.78,"-9999 Invalid",1787.97,1788.12,1788.4,"-9999 Invalid",1788.21,1787.15,"-9999 Invalid",1783.93,1782.37,1780.8,"-9999 Invalid",1776.21;1779.73,1778.07,1774.75,1773.24,"-9999 Invalid",1771.17,1771.33,1772.89,1775.63,1779.59,"-9999 Invalid",1783.08,1784.41,1785.42,1786.04,1785.85,1785.64,"-9999 Invalid","-9999 Invalid",1786.98,1787.64,1787.76,1788.03,1787.31,1786.14,1783.81,1782.62,1780.99,1778.72,1776.46;1775.58,1774.09,1772.49,1771.89,1770.83,1770.19,1770.39,1772.83,1776.2,1778.9,1780.59,1781.68,1782.91,1784.08,1784.51,1784.31,"-9999 Invalid",1782.91,1784.13,1784.72,"-9999 Invalid",1786.26,1786.85,1786.21,1785.33,"-9999 Invalid",1782.14,1780.54,"-9999 Invalid",1775.8;1772.5,1771.52,1771.1,1770.5,1769.74,"-9999 Invalid",1769.4,1772.44,1775.59,1777.97,1778.65,"-9999 Invalid",1781.8,1782.48,1782.33,1782.07,1781.31,1780.9,"-9999 Invalid",1783.37,1784.18,1784.6,1785.11,1785.08,1784.22,1782.75,1781.23,1779.78,1777.76,1775.35;1771,1770.2,1769.6,1768.96,1768.44,"-9999 Invalid","-9999 Invalid",1770.46,1773.35,1775.51,1777.35,1779.02,1780.22,1780.93,1780.49,1779.73,1777.56,1778,1780.02,1781.34,1782.2,1782.92,1783.54,"-9999 Invalid",1782.94,1781.46,1779.98,1778.96,1777.55,1775.26;1770.27,1769.32,1768.52,1767.82,1767.42,1767.14,"-9999 Invalid",1770.07,1772.09,1774.16,"-9999 Invalid",1777.23,1778.29,1778.33,1778.6,"-9999 Invalid",1774.06,1774.49,1776.87,1779.39,1780.31,1781.16,"-9999 Invalid",1781.84,1781.53,1780.3,1778.91,1778.04,1777.02,1774.92;1769.73,"-9999 Invalid","-9999 Invalid",1767.04,1766.44,1766.09,"-9999 Invalid",1769.34,1771.05,1772.98,"-9999 Invalid",1775.27,1776.18,1776.75,1776.84,1775.53,1771.97,1772.44,1774.24,"-9999 Invalid",1778.06,1778.67,1779.64,1779.91,1779.58,"-9999 Invalid",1777.21,1776.63,1775.65,"-9999 Invalid";1769.62,1771.08,"-9999 Invalid",1766.73,"-9999 Invalid",1764.88,1766.12,1767.59,1770.35,1771.2,1772.42,1773.54,1773.52,1774.32,1774.67,1771.69,1768.5,1769.1,"-9999 Invalid",1773.97,1775.73,1776.6,1777.31,1777.98,1777.81,1777.09,1775.08,1773.82,1773.23,1772.19;1775.61,1772.63,1769.13,1766.45,1765.03,1763.98,1764.39,"-9999 Invalid",1767.39,"-9999 Invalid",1770.33,1769.65,1770.05,1770.5,1770.56,"-9999 Invalid",1766.45,1767.8,1769.67,1771.95,1773.52,"-9999 Invalid",1775.25,1775.49,1775.52,1774.7,1773.37,1770.57,1770.3,1768.75;"-9999 Invalid","-9999 Invalid",1768.95,"-9999 Invalid",1764.36,1763.46,1763.25,1763.62,1764.98,1766.93,1766.75,1766.33,1766.5,1767.25,1766.59,1764.78,1764.87,1765.9,"-9999 Invalid",1769.32,1770.9,1772.11,1772.76,"-9999 Invalid",1772.56,1770.95,1771.11,1769.06,1767.38,1764.16}</definedName>
    <definedName name="Extra.SFSP_1">{242.96,246.32,252.45,261.46,270.35,278.76,285.2,290.04,292.89,294.08,297.18,296.33,293.47,290.21,293.68,296.07,297.51,298.57,299.4,301.26,302.06,298.99,294.41,290.68,287.75,284.66,279.56,273.74,266.7,254.58,249.69,254.45,265.06,274,280.71,287.17,290.52,293.64,294.47,295.74;242.96,247.17,255.52,263.6,273.54,282.67,287.94,293.6,297.45,297.86,299.99,299.14,295.75,291.33,294.37,297.2,299.48,302.11,303.27,302.52,300.16,295.62,291.8,288.9,284.1,279.26,274.07,270.63,263.36,254.66,249.77,256.47,267.21,274.96,282.11,287.58,289.62,290.66,290.51,291.02;244.76,248.91,256.62,265.69,275.28,283.65,290.43,297.72,302.55,303.05,304.05,301.28,296.74,293.21,293.38,296.69,299.6,303.55,304.48,302.18,296.52,292.21,288.69,283.88,281.74,284.03,281.95,275.39,269.67,257.73,250.55,253.93,267.81,276.67,282.78,285.6,286.68,286.08,288.86,292.48;246.7,251.43,260.53,269.74,277.41,285.41,291.58,298.84,305.27,307.19,305.63,302.69,298.58,296.06,296.35,296.13,298.81,302.32,304.89,304.05,299.6,294.85,291.92,286.24,286.35,286.69,284.17,277.35,270.8,261.49,252.4,250.6,267.12,274.3,279.32,281.19,281.67,285.58,289.5,293.57;249.75,256.28,263.21,274.47,281.37,286.04,291.97,299.54,305.67,308.5,307.09,303.58,300.25,297.24,297.52,298.14,300.4,303.88,305.7,304.32,301.14,296.3,291.84,289.27,289.43,287.02,282.53,276.49,270.79,265.98,257.72,251.96,261.98,270.99,270.26,277.76,283.31,288.09,292.3,295.62;249.86,258.58,267.1,275.89,281.64,285.73,289.6,294.68,301.16,306.67,307.98,306.36,302.25,300.68,301,301.12,301.12,304.31,305.98,301.87,297.29,293.86,292.55,292.69,291.38,288.24,283.89,277.79,273.82,269.03,257.68,253.13,256.06,259.48,272.14,278.86,283.11,286.74,290.3,294.53;257.4,261.41,265.76,272.8,280.04,284.1,287.82,291.33,296.88,302.86,307.73,307.98,305.02,303.81,307.21,305.84,306.41,306.31,306.51,302.82,300.4,299.26,297.5,294.72,292.32,289.45,284.3,279.39,273.05,262.11,264.06,253.97,260.7,266.94,269.92,278.33,283.51,284.09,286.61,287.63;265.58,272.41,277.5,281.13,284.46,286.77,290.77,297.69,302.97,305.49,307.63,309.93,307.91,307.36,310.21,309.42,308.42,308.43,309.55,306.88,303.92,298.94,295.76,293.09,291.39,289.31,284.99,273.51,276.47,274.8,270.09,259.54,254.98,265.36,272.33,278.21,283.5,288.2,292.5,295.18;274.28,280.1,282.83,285.57,288.84,290.48,295.47,302.33,303.8,304.23,305.07,302.51,307.05,309.33,310.33,309.95,309.18,309.27,309.66,307.8,302.99,300.84,296.21,292.8,289.57,287.24,285.46,281.24,283.87,280.38,274.76,267.93,256.84,256.55,270.31,275.43,281.33,283.54,292.31,298.72;275.21,280.66,284.33,287.18,290.43,293.89,293.35,293.63,293.83,294.97,295.04,299.33,307.62,306.26,308.81,310.14,310.11,310.02,308.81,306.2,306.54,303.21,296.36,292.06,289.25,286.82,284.32,286.44,287.56,284.64,279.06,270.88,264.87,256.96,264.31,274.23,281.86,288.03,293.88,298.08;271.42,276.07,280.31,284.48,288.6,290.15,286.52,285.85,286.54,288.45,291.66,298.77,303.53,300.83,302.26,305.4,310.46,312.85,311.03,307.33,302.14,299,295.61,293.54,290.9,287.03,286.84,288.87,290.44,287.13,282.52,275.31,269.3,260.44,264.04,274.02,281.05,287.72,295.58,300.81;272.77,275.08,280.42,283.09,285.43,285.57,280.31,277.62,280.77,284.33,288.18,292.44,295.19,293.81,303.34,309.79,312.25,314.67,312.71,309.72,308.15,304.12,298.85,294.84,290.72,288.04,289.24,291.05,292.69,290.3,284.34,279.55,273.41,261.78,265.22,275.46,282.62,289.2,296.82,300.39;262.49,264.46,269.27,272.8,275.72,275.92,273.46,270.5,274.1,279.17,284.16,288.27,289.2,294.37,302.21,309.78,311.63,312.5,310.8,306.86,305.26,301.89,297.98,294.24,290.08,291.4,293.33,294.6,296.99,293.68,286.56,281.36,275.56,265.38,260.72,275.51,282.35,289.21,297.64,301.44;253.32,257.14,258.7,261.63,262.75,264.26,264.3,262.57,268.14,273.13,278.22,282.48,289.39,294.99,302.66,306.71,309.11,309.78,310.4,308.21,305.11,299.22,295.6,293.29,293.93,295.78,298.01,299.14,300.05,295.11,288.23,283.33,276.93,263.6,267.68,276.4,282.15,288.5,295.42,301.31;242.96,247.16,249.36,253.64,254.64,257.54,256.52,256.87,262.15,266.52,271.94,277.35,285.21,290.49,294.02,301.1,306.75,308.89,306.97,304.31,306.78,302.47,298.02,295.11,297.37,301.21,302.46,303.59,302.17,296.48,289.61,284.36,278.61,271.77,261.4,276.31,282,286.75,291.33,296.23;242.96,242.96,242.96,242.96,245.99,248.15,247.29,251.7,255.02,260.09,266.36,272.89,279,284.34,291.6,296.4,301.94,307.6,306.14,296.47,299.93,300.02,299.35,298.99,299.54,304.07,305.68,305.23,300.09,295.29,289.54,284.42,279.26,271.27,264.13,273.11,279.75,284.09,286.58,287.71;242.96,242.96,242.96,242.96,242.96,242.96,243.77,247.62,250.25,254.03,261.53,267.3,274.25,280.78,286.44,291.62,298.72,305.4,303.92,295.02,292.58,295,297.65,301.82,302.08,303.5,304.96,301.83,296.61,291.17,285.81,283.05,279.09,268.09,270.03,280.73,281.71,278.81,284.14,289.98;242.96,242.96,242.96,242.96,242.96,242.96,242.96,242.96,246.62,250.39,255.66,261.13,268.06,274.01,282.25,287.3,292.61,296.4,296.82,291.57,286.53,292.18,296.39,301.33,305.01,305.05,303.97,298.08,293.03,286.62,283.23,280.68,276.17,267.25,275.63,281.83,286.66,288.65,287.45,291.97;242.96,242.96,242.96,242.96,242.96,242.96,242.96,242.96,242.96,246.39,251.1,256.98,262.74,267.01,275.24,281.62,286.28,288.18,288.44,285.82,287.3,291.2,294.35,301.35,306.59,306.66,304.56,296.54,294.11,290.24,286.85,282.91,279.46,269.59,277.97,283.72,289.45,295.75,296.59,297.93;242.96,242.96,242.96,242.96,242.96,242.96,242.96,242.96,242.96,242.96,247.27,253.34,258.59,261.8,269.09,276.14,279.19,280.43,280.46,284.38,290.46,295.46,299.12,302.02,308.91,307.95,300.98,298.12,300.75,294.39,290.15,284.28,280.56,268.07,279.84,285.07,292.38,298.02,303.2,304.47}</definedName>
    <definedName name="Extra.SFSP_2">{244.86,243.32,242.96,242.96,242.96,242.96,242.96,242.96,242.96,242.96,244.8,248.7,254.36,259.1,263.48,268.72,272.33,269.93,271.57,282.97,289.69,297.46,303.09,307.92,308.82,308.18,305.17,304.36,302.96,297.93,292.17,284.89,279,270.86,281.05,286.98,294.79,299.92,306,309.28;246.91,244.61,242.96,242.96,242.96,242.96,242.96,242.96,242.96,242.96,242.96,243.31,249.07,254.73,258.37,261.8,263,264.38,274.46,280.95,287.63,293.52,298.36,306.09,308.16,308.41,307.08,305.34,302.63,298.97,292.34,288.22,282.43,271.52,282.73,288.71,297.13,303.28,307.33,312.55;248.65,247.47,243.1,242.96,242.96,242.96,242.96,242.96,242.96,242.96,242.96,242.96,246.45,249.53,252.29,254.26,260.06,266.76,273.3,279.88,284.78,290.07,294.86,299.21,302.68,307.47,306.66,305.92,301.14,293.75,288.74,285.25,281.34,280.89,283.17,289.34,296.36,303.6,309.48,315.2;253.61,254.72,247.87,242.96,242.96,242.96,242.96,242.96,242.96,242.96,242.96,244.57,246.7,248.52,249.33,254.95,259.42,268.17,273.79,279.22,281.08,284.72,290.26,295.02,301.99,306.45,305.38,304.61,299.31,294.17,288.98,286.28,281.1,280.83,285.48,289.73,294.97,300.43,308.47,312.49;262.17,262.26,258.04,246.69,242.96,242.96,242.96,242.96,302.97,242.96,242.96,244.14,245.41,247.28,248.82,257.24,262.59,271.51,276.87,279.09,284.32,290.05,295.41,296.44,301.25,305.01,303.65,302.5,301.03,298.19,293.86,288.16,280.14,280.36,284.04,288.46,293.04,298.49,302.69,307.3;270.31,271.16,267.37,257.88,245.79,242.96,242.96,242.96,242.96,242.96,242.96,242.96,243.3,244.69,247.13,253.7,261.55,270.3,277.09,283.47,288.99,296.24,301.73,304.78,304.14,303.43,301.08,301.65,297.31,295.94,293.66,287.4,279.58,280.97,288.3,290.43,288.24,292.86,298.56,303.1;278.52,278.56,274.3,265.51,255.27,244.12,242.96,242.96,242.96,242.96,242.96,242.96,242.96,242.96,242.96,248.59,257.54,265.08,274.06,281.43,286.55,291.93,299.12,304.23,304.51,303.8,300.02,298.41,297.97,293.51,290.16,283.55,281.4,287.32,292.07,297.33,297.9,299.43,302.02,306.29;285.92,285.07,280.07,271.79,260.22,249.64,242.96,242.96,242.96,242.96,242.96,242.96,242.96,242.96,242.96,245.26,252.65,259.7,268.64,276.86,282.72,286.87,292.04,296.25,300.3,303.41,302.15,297.61,291.82,287.77,288.26,287.01,282.19,288.57,296.12,300.07,303.27,306.25,309.89,311.23;290.37,287.99,282.68,273.3,263.75,253.57,243.97,242.96,242.96,242.96,242.96,242.96,242.96,242.96,242.96,243.16,249.23,255.05,262.49,270.85,279.94,284.04,289.79,293.61,295.95,300.25,302.67,299.22,296.58,295.12,293.81,291.05,283.92,288.79,296.29,299.58,305.29,312.02,315.69,317.63;292.75,289.24,284.03,275.36,265.47,256.99,245.63,242.96,242.96,242.96,242.96,242.96,242.96,242.96,242.96,242.96,246.79,252.3,260.21,271.34,280.89,287.92,296.38,301.07,301.06,302.2,302.88,301.94,300.69,299.73,298.09,293.06,285.16,288.87,295.78,298.73,304.85,312.06,319.36,324.35;293.34,288.99,284.04,276.73,267.11,259.31,247.94,242.96,242.96,242.96,242.96,242.96,242.96,242.96,242.96,242.96,244.15,251.04,260.98,269.98,279.11,285.83,292.47,296.01,295.89,295.86,299.69,302.45,302.62,302.55,300.08,295.19,289.65,289.13,296.06,300.96,306.3,312.09,318.19,325.17;287.27,284.85,281.68,275.91,268.64,259.55,245.86,242.96,242.96,242.96,242.96,242.96,242.96,242.96,242.96,242.96,242.96,251.11,260.02,268.06,275.17,280.98,285.03,286.64,285.97,289.13,296.1,300.6,303.17,303.66,301.1,300.01,294.79,287.79,295.46,299.5,303.89,310.1,316.07,321.17;282.33,277.11,275.01,271.09,263.53,253.95,244.38,242.96,242.96,242.96,242.96,242.96,242.96,242.96,242.96,242.96,242.96,250.28,259.52,266.07,271.72,275,277.86,278.73,280.21,286.36,294.54,300.34,304.24,306.28,303.85,302.52,298.03,290.32,292.04,298.74,303.43,308.75,313.82,318.47;284.25,276.24,266.32,262.48,256.62,249.05,244.84,242.96,242.96,242.96,242.96,242.96,242.96,242.96,242.96,242.96,243.18,252.08,258.1,262.49,266.29,269.03,270.52,269.46,278.52,284.72,291.47,298.46,302.77,304.46,306.11,304.1,300.83,296.12,289.68,298.16,302.28,306.02,310.28,313.97;287.31,278.61,269.31,258.43,252.95,248.96,245.78,242.96,242.96,242.96,242.96,242.96,242.96,242.96,242.96,242.96,249.23,253.71,256.16,257.45,259.35,261.98,260.95,270.17,276.15,281.41,287.3,294.09,298.83,301.64,305.63,306.38,303.82,299.04,290.15,292.37,299.76,302.6,305.5,308.9;290.45,279.86,270.53,259.18,250.73,247.66,244.01,242.96,242.96,242.96,242.96,242.96,242.96,242.96,242.96,246.04,249.02,250.44,251.3,252.5,253.73,256.31,258.71,265.58,271.95,277.68,282.9,287.35,292.99,299.1,302.06,303.56,304.66,301.68,294.64,299.52,299.49,298.62,301.78,305.15;291.48,281.26,268.41,256.65,249.07,246.17,243.45,242.96,242.96,242.96,242.96,242.96,242.96,242.96,242.96,242.96,243.43,246.01,247.84,248.98,251.02,252.82,255.52,261.75,268.66,273.39,278.55,282.94,288.84,295.68,301.28,304.91,306.01,304.53,301.94,300.99,303.78,304.35,304.29,304.16;287.01,279.42,266.61,255.32,249.13,246.46,245.36,242.96,242.96,242.96,242.96,242.96,242.96,242.96,242.96,242.96,242.96,243.18,245.15,247.24,248.89,250.58,253.48,259.47,263.95,268.23,274.74,280.93,287.24,293.12,298.86,302.37,305.33,306.03,304.76,302.31,305.1,308.91,308.66,307.1;278.99,273.62,263.45,254.28,250.11,247.52,246.27,243.74,242.96,242.96,242.96,242.96,242.96,242.96,242.96,242.96,242.96,242.96,243.78,245.24,247.2,248.81,253.12,257.91,259.29,264.6,271.32,277.65,284.22,288.83,293.13,297.91,301.42,304.14,306.08,305.94,306.26,308.93,312.73,311.56;269.38,263.87,258.06,253.57,250.81,248.62,247.04,245.1,242.96,242.96,242.96,242.96,242.96,242.96,242.96,242.96,242.96,242.96,242.96,243.52,246,248.52,251.63,252.98,255.34,259.05,266.06,272.64,276.42,285.44,292.55,298.67,301.89,305.99,309.02,309.64,310.53,313.09,315.57,316.16}</definedName>
    <definedName name="fn_input">Analyze!$E$17</definedName>
    <definedName name="Functions">{"Aspect (radians)";"Classify";"Curvature";"Gradient Magnitude";"Hillshade";"Profile Curvature";"Roughness";"Slope (degrees)";"Slope (radians)";"ZTPI"}</definedName>
    <definedName name="legend">Analyze!$C$3:$C$7</definedName>
    <definedName name="Legend.AspectR">Deferλ({"-1","Level Surface";"0 to 1.26 - North","0 to 72°";"1.26 to 2.51 - East","72° to 144°";"2.51 to 3.77 - South","144° to 216°";"3.77 to 5.03 - West","216° to 288°";"5.03 to 6.28 - Northwest","288° to 360°"})</definedName>
    <definedName name="Legend.Curvature">Deferλ({"≤ -1.0","Concave (strong)";"-1.0 to -0.2","Concave (gentle)";"-0.2 to 0.2","Flat / Neutral";"0.2 to 1.0","Convex (gentle)";"≥ 1.0","Convex (strong)"})</definedName>
    <definedName name="Legend.Dynamic">IFERROR(_xlfn.XLOOKUP(fn_input, metric, Legend.Entries, "")(), "")</definedName>
    <definedName name="Legend.Entries">_xlfn.VSTACK(Legend.AspectR, "Classify", Legend.Curvature, Legend.GradientMag, Legend.Hillshade, Legend.ProCurvature, Legend.Roughness, Legend.SlopeDeg, Legend.SlopeR, Legend.ZTPI)</definedName>
    <definedName name="Legend.GradientMag">Deferλ({"≤ 0.05","Flat / nearly flat";"0.05-0.2","Gentle slope";"0.2-0.5","Moderate slope";"0.5-1.0","Steep slope";"≥ 1.0","Very steep / cliff"})</definedName>
    <definedName name="Legend.Hillshade">Deferλ({"≤ 50","Deep shadow";"51-100","Shadowed slope";"101-150","Neutral terrain";"151-200","Sunlit slope";"≥ 201","Bright highlight"})</definedName>
    <definedName name="Legend.ProCurvature">Deferλ({"≤ -1.0","Strong deceleration";"-1.0 to -0.2","Gentle deceleration";"-0.2 to 0.2","Neutral / constant flow";"0.2 to 1.0","Gentle acceleration";"≥ 1.0","Strong acceleration"})</definedName>
    <definedName name="Legend.Roughness">Deferλ({"≤ 50","Flat / smooth terrain";"50-200","Gentle texture";"200-500","Moderate ruggedness";"500-1000","Rugged terrain";"≥ 1000","Highly rugged / jagged"})</definedName>
    <definedName name="Legend.SlopeDeg">Deferλ({"≥ 57°","Very steep terrain";"≥ 34°","Steep slope";"≥ 17°","Moderate slope";"≥ 8.6°","Gentle slope";"&lt; 8.6°","Flat terrain"})</definedName>
    <definedName name="Legend.SlopeR">Deferλ({"≥ 1.0","Very steep terrain";"≥ 0.6","Steep slope";"≥ 0.3","Moderate slope";"≥ 0.15","Gentle slope";"&lt; 0.15","Flat terrain"})</definedName>
    <definedName name="Legend.ZTPI">Deferλ({"≤ -1.0","Valley / depression";"-1.0 to -0.25","Lower slope";"-0.25 to 0.25","Flat / mid-slope";"0.25 to 1.0","Upper slope";"≥ 1.0","Ridge / peak"})</definedName>
    <definedName name="metric">Glossary!$C$20:$C$29</definedName>
    <definedName name="Padλ">_xlfn.LAMBDA(_xlpm.matrix,_xlpm.dim, _xlfn.LET(_xlpm.a, _xlfn.EXPAND("", , _xlpm.dim + 2, ""), _xlpm.b, _xlfn.EXPAND("", _xlpm.dim, , ""), _xlpm.padded, _xlfn.VSTACK(_xlpm.a, _xlfn.HSTACK(_xlpm.b, _xlpm.matrix, _xlpm.b), _xlpm.a), _xlpm.padded))</definedName>
    <definedName name="Qualityλ">_xlfn.LAMBDA(_xlpm.DEM, _xlfn.LET(_xlpm.header_a, {"Array","All numbers","Square Grid?","'No Data' entries"}, _xlpm.header_b, {"Min Elevation","Max Elevation","Avg Elevation","Elevation Entries"}, _xlpm.IsArray?, IF(TYPE(_xlpm.DEM) = 64, "þ", "x"), _xlpm.numbers, IF(AND(ISNUMBER(_xlpm.DEM)), "þ", "x"), _xlpm.no_data, SUM(N(_xlpm.DEM = "-9999 Invalid")), _xlpm.dimensions, IF(ROWS(_xlpm.DEM) = COLUMNS(_xlpm.DEM), "þ", "x"), _xlpm.checks, _xlfn.HSTACK(_xlpm.IsArray?, _xlpm.numbers, _xlpm.dimensions, _xlpm.no_data), _xlpm.stats, _xlfn.HSTACK(MIN(_xlpm.DEM), MAX(_xlpm.DEM), AVERAGE(_xlpm.DEM), COUNT(_xlpm.DEM)), _xlpm.deliver, _xlfn.VSTACK(_xlpm.header_a, _xlpm.checks, _xlpm.header_b, _xlpm.stats), _xlpm.final, IFERROR(_xlpm.deliver, "Please input DEM"), _xlpm.final))</definedName>
    <definedName name="Scale_Slope">{0,5,100}</definedName>
    <definedName name="Scale_ZTPI">{-1;-0.5;0.5;5;10}</definedName>
    <definedName name="Summarizeλ">_xlfn.LAMBDA(_xlpm.visualization_data, _xlfn.LET(_xlpm.labels, {"MIN","MAX","AVG","STDEV"}, _xlpm.vector, _xlfn.TOCOL(_xlpm.visualization_data, 2), _xlpm.summary, _xlfn.VSTACK(_xlpm.labels, _xlfn.HSTACK(MIN(_xlpm.vector), MAX(_xlpm.vector), AVERAGE(_xlpm.vector), STDEV(_xlpm.vector))), _xlpm.deliver, IF(fn_input = "Classify", "", IFERROR(_xlpm.summary, "-")), _xlpm.deliver))</definedName>
    <definedName name="terrain_summary">_xlfn.LET(_xlpm.M, Terrainλ(DEM_input, cellsize_input, "Classify"), _xlpm.V, _xlfn.TOCOL(_xlfn.DROP(_xlfn.DROP(_xlpm.M, 1, 1), -1, -1), 2), _xlpm.cleaned, IF(_xlpm.V = "", " No Data ", _xlpm.V), _xlpm.agg, IFERROR(_xlfn.GROUPBY(_xlpm.cleaned, _xlpm.cleaned, _xleta.COUNTA, , 0), ""), _xlpm.agg)</definedName>
    <definedName name="Terrainλ">_xlfn.LAMBDA(_xlpm.DEM,_xlpm.cellsize,_xlpm.function,_xlop.azimuth,_xlop.altitude,_xlop.z_factor, Validateλ(_xlpm.DEM, _xlpm.cellsize, _xlpm.function, _xlpm.azimuth, _xlpm.altitude, _xlpm.z_factor, _xlfn.LET(_xlpm.dim, ROWS(_xlpm.DEM), _xlpm.M, Padλ(_xlpm.DEM, _xlpm.dim), _xlpm.azimuth, Clampλ(_xlpm.azimuth, 0, 360, 315), _xlpm.altitude, Clampλ(_xlpm.altitude, 0, 90, 45), _xlpm.z_factor, IF(_xlfn.ISOMITTED(_xlpm.z_factor), 0.3048, _xlpm.z_factor), _xlpm.zenith, 90 - _xlpm.altitude, _xlpm.zenith_rad, RADIANS(_xlpm.zenith), _xlpm.azimuth_rad, RADIANS(_xlpm.azimuth + 90), _xlpm.a, _xlfn.DROP(_xlpm.M, -2, -2), _xlpm.b, _xlfn.TAKE(_xlfn.DROP(_xlpm.M, , 1), _xlpm.dim, _xlpm.dim), _xlpm.c, _xlfn.TAKE(_xlfn.DROP(_xlpm.M, , 2), _xlpm.dim), _xlpm.d, _xlfn.TAKE(_xlfn.DROP(_xlpm.M, 1, -1), _xlpm.dim, _xlpm.dim), _xlpm.e, _xlfn.TAKE(_xlfn.DROP(_xlpm.M, 1, 1), _xlpm.dim, _xlpm.dim), _xlpm.f, _xlfn.TAKE(_xlfn.DROP(_xlpm.M, 1, 1), _xlpm.dim, -_xlpm.dim), _xlpm.g, _xlfn.TAKE(_xlfn.DROP(_xlpm.M, 1, -1), -_xlpm.dim, _xlpm.dim), _xlpm.h, _xlfn.TAKE(_xlfn.DROP(_xlpm.M, 1, -1), -_xlpm.dim, -_xlpm.dim), _xlpm.i, _xlfn.TAKE(_xlfn.DROP(_xlpm.M, 1, 1), -_xlpm.dim, -_xlpm.dim), _xlpm.dz_dx, Deferλ(((_xlpm.c + 2 * _xlpm.f + _xlpm.i) - (_xlpm.a + 2 * _xlpm.d + _xlpm.g)) / (8 * _xlpm.cellsize)), _xlpm.dz_dy, Deferλ(((_xlpm.g + 2 * _xlpm.h + _xlpm.i) - (_xlpm.a + 2 * _xlpm.b + _xlpm.c)) / (8 * _xlpm.cellsize)), _xlpm.dz_dxx, Deferλ((_xlpm.d * -1 + _xlpm.e * 2 + _xlpm.f * -1) / (_xlpm.cellsize ^ 2)), _xlpm.dz_dyy, Deferλ((_xlpm.b * -1 + _xlpm.e * 2 + _xlpm.h * -1) / (_xlpm.cellsize ^ 2)), _xlpm.dz_dxy, Deferλ((_xlpm.c + _xlpm.g - _xlpm.a + _xlpm.i) / (4 * _xlpm.cellsize ^ 2)), _xlpm.SlopeR, ATAN(_xlpm.z_factor * SQRT(_xlpm.dz_dx() ^ 2 + _xlpm.dz_dy() ^ 2)), _xlpm.SlopeDeg, DEGREES(_xlpm.SlopeR), _xlpm.AspectR, IF((_xlpm.dz_dx() = 0) * (_xlpm.dz_dy() = 0), -1, MOD(ATAN2(_xlpm.dz_dy(), -_xlpm.dz_dx()), 2 * PI())), _xlpm.illumination, COS(_xlpm.zenith_rad) * COS(_xlpm.SlopeR) + SIN(_xlpm.zenith_rad) * SIN(_xlpm.SlopeR) * COS(_xlpm.azimuth_rad - _xlpm.AspectR), _xlpm.Hillshade, ROUND(IF(_xlpm.illumination &lt; 0, 0, IF(_xlpm.illumination &gt; 1, 1, _xlpm.illumination)) * 255, 0), _xlpm.Curvature, _xlpm.dz_dxx() + _xlpm.dz_dyy(), _xlpm.ProCurvature, -100 * (_xlpm.dz_dxx() * (COS(_xlpm.AspectR)) ^ 2 + 2 * _xlpm.dz_dxy() * COS(_xlpm.AspectR) * SIN(_xlpm.AspectR) + _xlpm.dz_dyy() * (SIN(_xlpm.AspectR)) ^ 2), _xlpm.GradientMag, SQRT(_xlpm.dz_dx() ^ 2 + _xlpm.dz_dy() ^ 2), _xlpm.Roughness, SQRT((_xlpm.b - _xlpm.e) ^ 2 + (_xlpm.d - _xlpm.e) ^ 2 + (_xlpm.f - _xlpm.e) ^ 2 + (_xlpm.h - _xlpm.e) ^ 2), _xlpm.ZTPI, (_xlpm.e - AVERAGE(_xlpm.a, _xlpm.b, _xlpm.c, _xlpm.d, _xlpm.f, _xlpm.g, _xlpm.h, _xlpm.i)) / (STDEV(_xlpm.a, _xlpm.b, _xlpm.c, _xlpm.d, _xlpm.f, _xlpm.g, _xlpm.h, _xlpm.i)), _xlpm.row, _xlfn.XMATCH(_xlpm.ZTPI, Scale_ZTPI, 1, 2), _xlpm.col, _xlfn.XMATCH(_xlpm.SlopeDeg, Scale_Slope, 1, 2), _xlpm.Classify, INDEX(Class_Types, _xlpm.row, _xlpm.col), _xlpm.metric, IFERROR(_xlfn.XMATCH(_xlpm.function, Functions), 2), _xlpm.selection, CHOOSE(_xlpm.metric, _xlpm.AspectR, _xlpm.Classify, _xlpm.Curvature, _xlpm.GradientMag, _xlpm.Hillshade, _xlpm.ProCurvature, _xlpm.Roughness, _xlpm.SlopeDeg, _xlpm.SlopeR, _xlpm.ZTPI), _xlpm.delivery, IFERROR(_xlpm.selection, ""), _xlpm.delivery)))</definedName>
    <definedName name="Validateλ">_xlfn.LAMBDA(_xlpm.DEM,_xlpm.cellsize,_xlpm.function,_xlop.azimuth,_xlop.altitude,_xlop.z_factor,_xlop.on_valid, IF(DEM_error = "Please input DEM", "#DEM!", IF(ROWS(_xlpm.DEM) &lt;&gt; COLUMNS(_xlpm.DEM), "#SQUARE-MATRIX!", IF(NOT(ISNUMBER(_xlpm.azimuth + 0)), "#AZIMUTH!", IF(NOT(ISNUMBER(_xlpm.altitude + 0)), "#ALTITUDE!", IF(NOT(ISNUMBER(_xlpm.cellsize + 0)), "#CELLSIZE!", IF(NOT(ISNUMBER(_xlpm.z_factor + 0)), "#ZFACTOR!", _xlpm.on_valid)))))))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8" l="1" a="1"/>
  <c r="G7" i="28" s="1"/>
  <c r="C6" i="28" a="1"/>
  <c r="B2" i="38" a="1"/>
  <c r="B2" i="38" l="1"/>
  <c r="C6" i="28"/>
  <c r="B12" i="28" a="1"/>
  <c r="B12" i="28" s="1"/>
  <c r="H2" i="33" s="1" a="1"/>
  <c r="H2" i="33" s="1"/>
  <c r="E25" i="33" a="1"/>
  <c r="E3" i="33" a="1"/>
  <c r="D17" i="33" l="1" a="1"/>
  <c r="D17" i="33" s="1"/>
  <c r="E5" i="38" a="1"/>
  <c r="E5" i="38" s="1"/>
  <c r="E25" i="33"/>
  <c r="E3" i="33"/>
  <c r="C21" i="33" l="1" a="1"/>
  <c r="C21" i="33" s="1"/>
  <c r="C3" i="33" a="1"/>
  <c r="C3" i="3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<sst xmlns="http://schemas.openxmlformats.org/spreadsheetml/2006/main" count="363" uniqueCount="238">
  <si>
    <t>Hillshade</t>
  </si>
  <si>
    <t>Curvature</t>
  </si>
  <si>
    <t>Gradient Magnitude</t>
  </si>
  <si>
    <t>Roughness</t>
  </si>
  <si>
    <t>Profile Curvature</t>
  </si>
  <si>
    <t>Description</t>
  </si>
  <si>
    <t>Slope (radians)</t>
  </si>
  <si>
    <t>Slope (degrees)</t>
  </si>
  <si>
    <t>Aspect (radians)</t>
  </si>
  <si>
    <t>Term</t>
  </si>
  <si>
    <t>Azimuth</t>
  </si>
  <si>
    <t>Altitude</t>
  </si>
  <si>
    <t>Cellsize</t>
  </si>
  <si>
    <t>Azimuth (radians)</t>
  </si>
  <si>
    <t>Horizontal resolution of the DEM grid, typically in meters. Influences slope, gradient magnitude, and curvature calculations.</t>
  </si>
  <si>
    <t>Vertical exaggeration factor used to scale elevation relative to horizontal distance. Often set to 1 for metric units.</t>
  </si>
  <si>
    <t>Zenith angle in degrees (90° = directly overhead). Often derived from solar position or set manually for visualization.</t>
  </si>
  <si>
    <t>The second derivative of a surface (The slope of a slope).  It indicates how much a surface deviates from being a straight line or a plane.</t>
  </si>
  <si>
    <t>A measure of elevation variability within a cell’s neighborhood. Higher values indicate more rugged terrain.</t>
  </si>
  <si>
    <t>The compass direction of the steepest slope, measured in radians clockwise from north.</t>
  </si>
  <si>
    <t>A technique used to visualize terrain by adding a lighting effect based on variations in elevation.  It creates a shaded relief which mimics the sun's illumination.</t>
  </si>
  <si>
    <t>Slope angle measured in radians, calculated as the ratio of vertical to horizontal change.</t>
  </si>
  <si>
    <t>Terrain Summary</t>
  </si>
  <si>
    <t>DEM Quality Check</t>
  </si>
  <si>
    <t>DEM</t>
  </si>
  <si>
    <t>DEM Library - Named items available for use</t>
  </si>
  <si>
    <t>Name</t>
  </si>
  <si>
    <t>Dimensions</t>
  </si>
  <si>
    <t>DEM.AmazonBasin</t>
  </si>
  <si>
    <t>DEM.Badlands</t>
  </si>
  <si>
    <t>DEM.Everglades</t>
  </si>
  <si>
    <t>DEM.GrandCanyon</t>
  </si>
  <si>
    <t>DEM.GreatSmokyMt</t>
  </si>
  <si>
    <t>DEM.MonumentValley</t>
  </si>
  <si>
    <t>DEM.MtRainier</t>
  </si>
  <si>
    <t>DEM.OlympicPeninsula</t>
  </si>
  <si>
    <t>DEM.Sawtooth</t>
  </si>
  <si>
    <t>DEM.WhiteSands</t>
  </si>
  <si>
    <t>120x120</t>
  </si>
  <si>
    <t>20x20</t>
  </si>
  <si>
    <t>DEM.Yosemite</t>
  </si>
  <si>
    <t>30x30</t>
  </si>
  <si>
    <t>-9999 Invalid</t>
  </si>
  <si>
    <t>Death Valley</t>
  </si>
  <si>
    <t>36.5053891,-117.0794078</t>
  </si>
  <si>
    <t>DEM.DeathValley</t>
  </si>
  <si>
    <t>50x50</t>
  </si>
  <si>
    <t>Function Name</t>
  </si>
  <si>
    <t>Scope</t>
  </si>
  <si>
    <t>Notes</t>
  </si>
  <si>
    <t>Terrainλ</t>
  </si>
  <si>
    <t>Public</t>
  </si>
  <si>
    <t>Clampλ</t>
  </si>
  <si>
    <t>Validates and bounds scalar inputs (azimuth, altitude, etc.) with fallback defaults.</t>
  </si>
  <si>
    <t>Internal</t>
  </si>
  <si>
    <t>Deferλ</t>
  </si>
  <si>
    <t>Thunks expressions to delay eager evaluation.</t>
  </si>
  <si>
    <t>Padλ</t>
  </si>
  <si>
    <t>Pads DEM matrix to ensure full Moore neighborhood for edge cells.</t>
  </si>
  <si>
    <t>Used in all terrain metrics.</t>
  </si>
  <si>
    <t>Coordinatesλ</t>
  </si>
  <si>
    <t>Generates coordinate grid from lat/lon origin.</t>
  </si>
  <si>
    <t>Supports matrix or vector output.</t>
  </si>
  <si>
    <t>Summarizeλ</t>
  </si>
  <si>
    <t>Used in dashboard panels.</t>
  </si>
  <si>
    <t>Qualityλ</t>
  </si>
  <si>
    <t>Validates DEM input: shape, numeric content, no‑data entries, and stats.</t>
  </si>
  <si>
    <t>Supports 10 metrics with function argument.</t>
  </si>
  <si>
    <t>Z_factor</t>
  </si>
  <si>
    <t>Zenith (radians)</t>
  </si>
  <si>
    <t>Zenith</t>
  </si>
  <si>
    <t>Used in Terrainλ parameter checks.</t>
  </si>
  <si>
    <t>Used in DEM quality check panel.</t>
  </si>
  <si>
    <t>Returns</t>
  </si>
  <si>
    <t>Scalar</t>
  </si>
  <si>
    <t>LAMBDA wrapper</t>
  </si>
  <si>
    <t>Matrix</t>
  </si>
  <si>
    <t>Matrix (DEM + 2 rows/cols)</t>
  </si>
  <si>
    <t>Matrix or Vector</t>
  </si>
  <si>
    <t>Default</t>
  </si>
  <si>
    <t>45° (zenith = 45)</t>
  </si>
  <si>
    <t>315°</t>
  </si>
  <si>
    <t>Get Raw Data:</t>
  </si>
  <si>
    <t>No default. Smaller values = finer resolution, more terrain detail</t>
  </si>
  <si>
    <t>CELLSIZE</t>
  </si>
  <si>
    <t>METRIC</t>
  </si>
  <si>
    <t>[Smaller values = finer resolution, more terrain detail]</t>
  </si>
  <si>
    <t>Computes summary stats (min, max, avg, stdev) for visualizations.</t>
  </si>
  <si>
    <t>40x40</t>
  </si>
  <si>
    <t>DEM.Pittsburgh</t>
  </si>
  <si>
    <t>DEM.Leadville</t>
  </si>
  <si>
    <t>DEM.GlacierNationalPark</t>
  </si>
  <si>
    <t>DEM.SantaMonica</t>
  </si>
  <si>
    <t>DEM.SanAntonio</t>
  </si>
  <si>
    <t>Resolution</t>
  </si>
  <si>
    <t>Format</t>
  </si>
  <si>
    <t>2 arc-second (60 m, Alaska)</t>
  </si>
  <si>
    <t>GeoTIFF</t>
  </si>
  <si>
    <t>Coarse</t>
  </si>
  <si>
    <t>1 arc-second (30 m)</t>
  </si>
  <si>
    <t>Standard</t>
  </si>
  <si>
    <t>1/3 arc-second (10 m)</t>
  </si>
  <si>
    <t>High detail</t>
  </si>
  <si>
    <t>1/9 arc-second (3 m)</t>
  </si>
  <si>
    <t>IMG</t>
  </si>
  <si>
    <t>Very high detail</t>
  </si>
  <si>
    <t>5 meter (Alaska only)</t>
  </si>
  <si>
    <t>Varies</t>
  </si>
  <si>
    <t>Specialized</t>
  </si>
  <si>
    <t>1 meter</t>
  </si>
  <si>
    <t>GeoTIFF, IMG</t>
  </si>
  <si>
    <t>Ultra high detail</t>
  </si>
  <si>
    <t>Contours (1:24,000 scale)</t>
  </si>
  <si>
    <t>Shapefile, FileGDB</t>
  </si>
  <si>
    <t>Standard DEM Formats</t>
  </si>
  <si>
    <t>Additional elevation source formats include:</t>
  </si>
  <si>
    <t>• Lidar Point Cloud (LPC) – LAS, LAZ</t>
  </si>
  <si>
    <t>• IfSAR DSM / ORI – GeoTIFF</t>
  </si>
  <si>
    <t>• DEM Source (OPR) – Varies</t>
  </si>
  <si>
    <t>Source: USGS</t>
  </si>
  <si>
    <t>What is a Digital Elevation Model (DEM)?</t>
  </si>
  <si>
    <t>How can Excel analyze a DEM if it's a picture file?</t>
  </si>
  <si>
    <t>What does a DEM look like in Excel terms?</t>
  </si>
  <si>
    <t>Best Practices for Excel Terrain Analysis</t>
  </si>
  <si>
    <t>• For clarity and responsiveness, aim for DEMs between 20×20 and 120×120.</t>
  </si>
  <si>
    <t>What is this?</t>
  </si>
  <si>
    <t>A workbook for analyzing terrain using digital elevation data (DEMs) in Excel.</t>
  </si>
  <si>
    <t>This workbook contains a library of DEMs (In Excel-friendly matrices) to get started.  Please see the FAQ on how to obtain elevation data from DEMs.</t>
  </si>
  <si>
    <t xml:space="preserve">How do I obtain DEMs?
</t>
  </si>
  <si>
    <t>How do I analyze terrain?</t>
  </si>
  <si>
    <t>Load a DEM in G7 of the Input sheet. An easy way to get started is using a DEM from the library.
For example:</t>
  </si>
  <si>
    <t>=DEM.DeathValley</t>
  </si>
  <si>
    <t>View terrain classification and metrics on the Analyze sheet.  For raw output (without formatting), check "Get Raw Data" on the Export sheet.</t>
  </si>
  <si>
    <t>Sheet Name</t>
  </si>
  <si>
    <t>Purpose</t>
  </si>
  <si>
    <t>QuickStart</t>
  </si>
  <si>
    <t>Fast onboarding for new users</t>
  </si>
  <si>
    <t>FAQ</t>
  </si>
  <si>
    <t>Detailed guidance on DEM formats, sourcing, and analysis</t>
  </si>
  <si>
    <t>Glossary</t>
  </si>
  <si>
    <t>Definitions of terrain metrics and classification terms</t>
  </si>
  <si>
    <t>Input</t>
  </si>
  <si>
    <t>DEM entry point and quality check</t>
  </si>
  <si>
    <t>Analyze</t>
  </si>
  <si>
    <t>Visual terrain summary and classification overlays</t>
  </si>
  <si>
    <t>Export</t>
  </si>
  <si>
    <t>Raw data output (without formatting)</t>
  </si>
  <si>
    <t>Start here&gt;&gt;&gt;</t>
  </si>
  <si>
    <t>DEM-AmazonBasin</t>
  </si>
  <si>
    <t>DEM-DeathValley</t>
  </si>
  <si>
    <t>Parameter</t>
  </si>
  <si>
    <t>Square matrix of elevation values</t>
  </si>
  <si>
    <t>cellsize</t>
  </si>
  <si>
    <t>Horizontal resolution in meters (e.g., 30)</t>
  </si>
  <si>
    <t>function</t>
  </si>
  <si>
    <t>azimuth</t>
  </si>
  <si>
    <t>altitude</t>
  </si>
  <si>
    <t>z_factor</t>
  </si>
  <si>
    <t>(Optional) Vertical exaggeration</t>
  </si>
  <si>
    <t>Terrain metric: ZTPI, AspectR, etc.</t>
  </si>
  <si>
    <t>Derived from azimuth</t>
  </si>
  <si>
    <t>ZTPI</t>
  </si>
  <si>
    <t>The angle between a horizontal plane and a surface or line (0° slope indicates flat surface while 90° represents a vertical incline).</t>
  </si>
  <si>
    <r>
      <t xml:space="preserve">hidden - </t>
    </r>
    <r>
      <rPr>
        <sz val="11"/>
        <color theme="1"/>
        <rFont val="Verdana"/>
        <family val="2"/>
      </rPr>
      <t>120x120 Digital Elevation Model (DEM)</t>
    </r>
  </si>
  <si>
    <r>
      <t xml:space="preserve">hidden - </t>
    </r>
    <r>
      <rPr>
        <sz val="11"/>
        <color theme="1"/>
        <rFont val="Verdana"/>
        <family val="2"/>
      </rPr>
      <t>50x50 (DEM)</t>
    </r>
  </si>
  <si>
    <t>• Rendering limits are more restrictive than calculation limits - large grids may cause sluggish scrolling or visual tearing.</t>
  </si>
  <si>
    <t xml:space="preserve">
A DEM is a grid-based representation of terrain elevation - essentially a 3D surface captured in 2D form. DEMs are widely used in Geographic Information Systems (GIS) for modeling landscapes, analyzing slope and aspect, and visualizing topography.</t>
  </si>
  <si>
    <t>DEM.SaltForkStatePark</t>
  </si>
  <si>
    <t>Classify</t>
  </si>
  <si>
    <t>Terrain classification using ZTPI.</t>
  </si>
  <si>
    <t>DEM.RachelNevada</t>
  </si>
  <si>
    <t>DEM.CoronaNewMexico</t>
  </si>
  <si>
    <t>Terrain Stats</t>
  </si>
  <si>
    <t>(Optional) Sun direction for Hillshade</t>
  </si>
  <si>
    <t>(Optional) Sun angle for Hillshade</t>
  </si>
  <si>
    <t>USGS Bulk Point Query Service</t>
  </si>
  <si>
    <t>Excel can't directly extract elevation from image-based DEMs. Instead, you can:
•Use Python to parse elevation data from GeoTIFF or IMG files - ideal for large-scale terrain matrices.
•Use USGS Bulk Point Query to retrieve elevation values from coordinate lists: BulkPQS Tool
This workbook includes Coordinatesλ, a function that generates latitude/longitude pairs in decimal format. All that's needed is a starting coordinate - the rest is automated.
Note: BulkPQS is limited to 500 rows per request and covers only US terrain.</t>
  </si>
  <si>
    <t>A DEM is a square matrix of elevation values. Each cell represents a point on the terrain. This workbook includes a library of sample DEMs to explore.</t>
  </si>
  <si>
    <t>• Terrainλ can process 1200×1200 grids (1.44 million cells) in 14 seconds.</t>
  </si>
  <si>
    <t>Elevation above sea level, typically in meters. Used as input for slope, ZTPI, and Hillshade calculations.</t>
  </si>
  <si>
    <t>Compass direction of illumination source, measured in degrees (0° = North, 90° = East). Used in Hillshade rendering.</t>
  </si>
  <si>
    <t>Azimuth converted to radians for trigonometric calculations in Hillshade and aspect logic.</t>
  </si>
  <si>
    <t>Angle between the illumination source and the vertical axis, in radians. Used in Hillshade calculations.</t>
  </si>
  <si>
    <t>Derived from zenith</t>
  </si>
  <si>
    <t>45°</t>
  </si>
  <si>
    <t>Magnitude of terrain steepness, derived from the gradient vector. Highlights zones of rapid elevation change.</t>
  </si>
  <si>
    <t>Curvature along the direction of maximum slope. Influences flow acceleration and deceleration. Negative = convex, positive = concave, zero = linear.</t>
  </si>
  <si>
    <t>Z-score of the Topographic Position Index. Indicates relative elevation compared to surrounding cells, normalized by local variation. Used for terrain classification.</t>
  </si>
  <si>
    <t>43.8554,-102.3397</t>
  </si>
  <si>
    <t>25.2866,-80.8987</t>
  </si>
  <si>
    <t>36.05443, -112.13934</t>
  </si>
  <si>
    <t>47.8021,-123.6044</t>
  </si>
  <si>
    <t>46.8523,-121.7603</t>
  </si>
  <si>
    <t>32.7791,-106.1719</t>
  </si>
  <si>
    <t>37.7459,-119.5332</t>
  </si>
  <si>
    <t>36.983333,-110.1</t>
  </si>
  <si>
    <t>35.6118,-83.4895</t>
  </si>
  <si>
    <t>44.137,-114.938</t>
  </si>
  <si>
    <t>40.4406,-79.9959</t>
  </si>
  <si>
    <t>39.25082,-106.29252</t>
  </si>
  <si>
    <t>48.7596,-113.787</t>
  </si>
  <si>
    <t>34.024212,-118.496475</t>
  </si>
  <si>
    <t>29.424349,-98.491142</t>
  </si>
  <si>
    <t>40.1375708,-81.5123408</t>
  </si>
  <si>
    <t>37.639167,-115.754167</t>
  </si>
  <si>
    <t>33.950337,-105.31391</t>
  </si>
  <si>
    <t>13.8583000,-82.7209000</t>
  </si>
  <si>
    <t>Saatchi, S.S. 2013. LBA-ECO LC-15 SRTM30 Digital Elevation Model Data, Amazon Basin: 2000. ORNL DAAC, Oak Ridge, Tennessee, USA.
https://doi.org/10.3334/ORNLDAAC/1181</t>
  </si>
  <si>
    <t>Amazon Basin</t>
  </si>
  <si>
    <t>Latitude/Longitude Coordinates</t>
  </si>
  <si>
    <t>Origin</t>
  </si>
  <si>
    <t>Coverage</t>
  </si>
  <si>
    <t>Optimize calculation times and return dynamic legend matrices.</t>
  </si>
  <si>
    <t>90 - Smoothed Terrain</t>
  </si>
  <si>
    <t>30 - Balanced Detail</t>
  </si>
  <si>
    <t>10 - High Granularity</t>
  </si>
  <si>
    <t>https://doi.org/10.3334/ORNLDAAC/1181</t>
  </si>
  <si>
    <t>Saatchi, S.S. 2013. LBA-ECO LC-15 SRTM30 Digital Elevation Model Data, Amazon Basin: 2000. ORNL DAAC, Oak Ridge, Tennessee, USA</t>
  </si>
  <si>
    <t>Amazon Basin DEM</t>
  </si>
  <si>
    <t>Citation</t>
  </si>
  <si>
    <r>
      <rPr>
        <u/>
        <sz val="12"/>
        <color theme="6"/>
        <rFont val="Verdana"/>
        <family val="2"/>
      </rPr>
      <t>Important</t>
    </r>
    <r>
      <rPr>
        <sz val="12"/>
        <color theme="6"/>
        <rFont val="Verdana"/>
        <family val="2"/>
      </rPr>
      <t xml:space="preserve">
This workbook uses extended conditional formatting to support large DEMs. If Excel offers to optimize the workbook on open, please decline to preserve visualizations.</t>
    </r>
  </si>
  <si>
    <t>DEM Input&gt;&gt;&gt;&gt;&gt;</t>
  </si>
  <si>
    <t>Core terrain engine. Returns selected metric from DEM using Moore neighborhood.</t>
  </si>
  <si>
    <t>Total</t>
  </si>
  <si>
    <t>&lt;&lt;&lt;&lt;INPUT</t>
  </si>
  <si>
    <t>Terrainλ-specific errors</t>
  </si>
  <si>
    <t>#DEM!</t>
  </si>
  <si>
    <t>#SQUARE-MATRIX!</t>
  </si>
  <si>
    <t>#ALTITUDE!</t>
  </si>
  <si>
    <t>#AZIMUTH!</t>
  </si>
  <si>
    <t>#CELLSIZE!</t>
  </si>
  <si>
    <t>#ZFACTOR!</t>
  </si>
  <si>
    <t>The dimensions of the supplied DEM are not square.</t>
  </si>
  <si>
    <t>A non-numeric value has been provided. Numbers provided outside of the allowed range (0 to 360) default to 315.</t>
  </si>
  <si>
    <t>A non-numeric value has been provided. Numbers provided outside of the allowed range (0 to 90) default to 45.</t>
  </si>
  <si>
    <t>A non-numeric value has been provided.</t>
  </si>
  <si>
    <t>A DEM has not been supplied in the Input sheet.</t>
  </si>
  <si>
    <t>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</si>
</sst>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;;;"/>
    <numFmt numFmtId="165" formatCode="#,##0.000"/>
    <numFmt numFmtId="166" formatCode="_(* #,##0_);_(* \(#,##0\);_(* &quot;-&quot;??_);_(@_)"/>
    <numFmt numFmtId="167" formatCode="#,##0.00000"/>
  </numFmts>
  <fonts count="55" x14ac:knownFonts="1">
    <font>
      <sz val="11"/>
      <color theme="1"/>
      <name val="Aptos Mono"/>
      <family val="2"/>
    </font>
    <font>
      <sz val="11"/>
      <color theme="1"/>
      <name val="Aptos Mono"/>
      <family val="3"/>
    </font>
    <font>
      <sz val="11"/>
      <color theme="1"/>
      <name val="Segoe UI"/>
      <family val="2"/>
    </font>
    <font>
      <sz val="10"/>
      <color theme="1"/>
      <name val="Segoe UI"/>
      <family val="2"/>
    </font>
    <font>
      <sz val="12"/>
      <color theme="1"/>
      <name val="Segoe UI"/>
      <family val="2"/>
    </font>
    <font>
      <sz val="12"/>
      <color theme="1"/>
      <name val="Aptos Mono"/>
      <family val="3"/>
    </font>
    <font>
      <sz val="11"/>
      <color theme="1"/>
      <name val="Wingdings"/>
      <charset val="2"/>
    </font>
    <font>
      <sz val="12"/>
      <name val="Segoe UI"/>
      <family val="2"/>
    </font>
    <font>
      <sz val="12"/>
      <color theme="1"/>
      <name val="Book Antiqua"/>
      <family val="1"/>
    </font>
    <font>
      <sz val="12"/>
      <name val="Book Antiqua"/>
      <family val="1"/>
    </font>
    <font>
      <sz val="12"/>
      <color theme="1"/>
      <name val="Cambria"/>
      <family val="1"/>
    </font>
    <font>
      <sz val="12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0"/>
      <color theme="1"/>
      <name val="Cambria"/>
      <family val="1"/>
    </font>
    <font>
      <sz val="11"/>
      <name val="Aptos Mono"/>
      <family val="2"/>
    </font>
    <font>
      <sz val="11"/>
      <color theme="1"/>
      <name val="Yu Gothic UI"/>
      <family val="2"/>
    </font>
    <font>
      <sz val="12"/>
      <color theme="1"/>
      <name val="Yu Gothic UI"/>
      <family val="2"/>
    </font>
    <font>
      <sz val="12"/>
      <color rgb="FF000000"/>
      <name val="Yu Gothic UI"/>
      <family val="2"/>
    </font>
    <font>
      <sz val="11"/>
      <color theme="1"/>
      <name val="Aptos Mono"/>
      <family val="2"/>
    </font>
    <font>
      <u/>
      <sz val="11"/>
      <color theme="10"/>
      <name val="Aptos Mono"/>
      <family val="2"/>
    </font>
    <font>
      <sz val="12"/>
      <color theme="1"/>
      <name val="Aptos Mono"/>
      <family val="2"/>
    </font>
    <font>
      <sz val="12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i/>
      <sz val="11"/>
      <color theme="1"/>
      <name val="Verdana"/>
      <family val="2"/>
    </font>
    <font>
      <b/>
      <i/>
      <sz val="12"/>
      <color rgb="FF3B4CC0"/>
      <name val="Verdana"/>
      <family val="2"/>
    </font>
    <font>
      <b/>
      <sz val="11"/>
      <color theme="0"/>
      <name val="Verdana"/>
      <family val="2"/>
    </font>
    <font>
      <b/>
      <i/>
      <sz val="11"/>
      <color theme="0"/>
      <name val="Verdana"/>
      <family val="2"/>
    </font>
    <font>
      <sz val="14"/>
      <color theme="1"/>
      <name val="Verdana"/>
      <family val="2"/>
    </font>
    <font>
      <b/>
      <sz val="14"/>
      <color theme="6"/>
      <name val="Verdana"/>
      <family val="2"/>
    </font>
    <font>
      <sz val="15"/>
      <color theme="1"/>
      <name val="Verdana"/>
      <family val="2"/>
    </font>
    <font>
      <b/>
      <sz val="15"/>
      <color theme="1"/>
      <name val="Verdana"/>
      <family val="2"/>
    </font>
    <font>
      <sz val="13"/>
      <color theme="3" tint="0.499984740745262"/>
      <name val="Verdana"/>
      <family val="2"/>
    </font>
    <font>
      <i/>
      <sz val="15"/>
      <color theme="6" tint="-0.249977111117893"/>
      <name val="Verdana"/>
      <family val="2"/>
    </font>
    <font>
      <b/>
      <sz val="12"/>
      <color theme="1"/>
      <name val="Verdana"/>
      <family val="2"/>
    </font>
    <font>
      <b/>
      <i/>
      <sz val="12"/>
      <color theme="6"/>
      <name val="Verdana"/>
      <family val="2"/>
    </font>
    <font>
      <u/>
      <sz val="12"/>
      <color theme="10"/>
      <name val="Verdana"/>
      <family val="2"/>
    </font>
    <font>
      <sz val="11"/>
      <name val="Verdana"/>
      <family val="2"/>
    </font>
    <font>
      <sz val="11"/>
      <color theme="0"/>
      <name val="Aptos Mono"/>
      <family val="2"/>
    </font>
    <font>
      <u/>
      <sz val="11"/>
      <color theme="1"/>
      <name val="Verdana"/>
      <family val="2"/>
    </font>
    <font>
      <b/>
      <sz val="11"/>
      <color theme="6" tint="-0.249977111117893"/>
      <name val="Verdana"/>
      <family val="2"/>
    </font>
    <font>
      <u/>
      <sz val="11"/>
      <color theme="10"/>
      <name val="Verdana"/>
      <family val="2"/>
    </font>
    <font>
      <u/>
      <sz val="11"/>
      <color theme="0"/>
      <name val="Verdana"/>
      <family val="2"/>
    </font>
    <font>
      <b/>
      <sz val="15"/>
      <color theme="0"/>
      <name val="Verdana"/>
      <family val="2"/>
    </font>
    <font>
      <b/>
      <i/>
      <sz val="11"/>
      <color theme="1" tint="0.499984740745262"/>
      <name val="Verdana"/>
      <family val="2"/>
    </font>
    <font>
      <sz val="12"/>
      <color theme="6"/>
      <name val="Verdana"/>
      <family val="2"/>
    </font>
    <font>
      <u/>
      <sz val="12"/>
      <color theme="6"/>
      <name val="Verdana"/>
      <family val="2"/>
    </font>
    <font>
      <sz val="12"/>
      <color rgb="FF196B24"/>
      <name val="Verdana"/>
      <family val="2"/>
    </font>
    <font>
      <u/>
      <sz val="12"/>
      <color rgb="FF196B24"/>
      <name val="Verdana"/>
      <family val="2"/>
    </font>
    <font>
      <sz val="13"/>
      <color rgb="FF666666"/>
      <name val="Verdana"/>
      <family val="2"/>
    </font>
    <font>
      <b/>
      <sz val="15"/>
      <color rgb="FF666666"/>
      <name val="Verdana"/>
      <family val="2"/>
    </font>
    <font>
      <sz val="11"/>
      <color rgb="FF666666"/>
      <name val="Verdana"/>
      <family val="2"/>
    </font>
    <font>
      <sz val="11"/>
      <color rgb="FF666666"/>
      <name val="Aptos Mono"/>
      <family val="2"/>
    </font>
    <font>
      <b/>
      <sz val="15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FFE8B3"/>
        <bgColor indexed="64"/>
      </patternFill>
    </fill>
    <fill>
      <patternFill patternType="solid">
        <fgColor rgb="FFE3F7E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ashed">
        <color theme="1" tint="0.499984740745262"/>
      </left>
      <right/>
      <top style="dashed">
        <color theme="1" tint="0.499984740745262"/>
      </top>
      <bottom/>
      <diagonal/>
    </border>
    <border>
      <left style="dashed">
        <color theme="1" tint="0.499984740745262"/>
      </left>
      <right/>
      <top/>
      <bottom/>
      <diagonal/>
    </border>
    <border>
      <left/>
      <right style="dashed">
        <color theme="1" tint="0.499984740745262"/>
      </right>
      <top/>
      <bottom/>
      <diagonal/>
    </border>
    <border>
      <left/>
      <right style="dashed">
        <color theme="1" tint="0.499984740745262"/>
      </right>
      <top style="dotted">
        <color auto="1"/>
      </top>
      <bottom/>
      <diagonal/>
    </border>
    <border>
      <left style="dashed">
        <color theme="1" tint="0.499984740745262"/>
      </left>
      <right/>
      <top/>
      <bottom style="dashed">
        <color theme="1" tint="0.499984740745262"/>
      </bottom>
      <diagonal/>
    </border>
    <border>
      <left/>
      <right/>
      <top/>
      <bottom style="dashed">
        <color theme="1" tint="0.499984740745262"/>
      </bottom>
      <diagonal/>
    </border>
    <border>
      <left/>
      <right style="dashed">
        <color theme="1" tint="0.499984740745262"/>
      </right>
      <top/>
      <bottom style="dashed">
        <color theme="1" tint="0.499984740745262"/>
      </bottom>
      <diagonal/>
    </border>
    <border>
      <left style="dashed">
        <color theme="1" tint="0.499984740745262"/>
      </left>
      <right/>
      <top style="dotted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ashed">
        <color theme="1" tint="0.499984740745262"/>
      </top>
      <bottom/>
      <diagonal/>
    </border>
    <border>
      <left/>
      <right style="thin">
        <color indexed="64"/>
      </right>
      <top style="dashed">
        <color theme="1" tint="0.499984740745262"/>
      </top>
      <bottom/>
      <diagonal/>
    </border>
    <border>
      <left style="thin">
        <color indexed="64"/>
      </left>
      <right/>
      <top style="dashed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dashed">
        <color theme="1" tint="0.499984740745262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ashed">
        <color theme="1" tint="0.499984740745262"/>
      </right>
      <top style="dashed">
        <color theme="1" tint="0.499984740745262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dashed">
        <color theme="1" tint="0.499984740745262"/>
      </top>
      <bottom/>
      <diagonal/>
    </border>
  </borders>
  <cellStyleXfs count="3">
    <xf numFmtId="0" fontId="0" fillId="0" borderId="0"/>
    <xf numFmtId="43" fontId="19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70">
    <xf numFmtId="0" fontId="0" fillId="0" borderId="0" xfId="0"/>
    <xf numFmtId="0" fontId="2" fillId="0" borderId="0" xfId="0" applyFont="1"/>
    <xf numFmtId="164" fontId="3" fillId="0" borderId="0" xfId="0" applyNumberFormat="1" applyFont="1"/>
    <xf numFmtId="164" fontId="2" fillId="0" borderId="0" xfId="0" applyNumberFormat="1" applyFont="1"/>
    <xf numFmtId="164" fontId="3" fillId="0" borderId="0" xfId="0" applyNumberFormat="1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0" fontId="2" fillId="0" borderId="6" xfId="0" applyFont="1" applyBorder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horizontal="center"/>
    </xf>
    <xf numFmtId="0" fontId="12" fillId="0" borderId="0" xfId="0" applyFont="1"/>
    <xf numFmtId="0" fontId="10" fillId="0" borderId="0" xfId="0" applyFont="1"/>
    <xf numFmtId="0" fontId="10" fillId="0" borderId="0" xfId="0" applyFont="1" applyAlignment="1">
      <alignment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1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vertical="center"/>
    </xf>
    <xf numFmtId="0" fontId="2" fillId="0" borderId="9" xfId="0" applyFont="1" applyBorder="1"/>
    <xf numFmtId="164" fontId="3" fillId="0" borderId="11" xfId="0" applyNumberFormat="1" applyFont="1" applyBorder="1"/>
    <xf numFmtId="164" fontId="2" fillId="0" borderId="11" xfId="0" applyNumberFormat="1" applyFont="1" applyBorder="1"/>
    <xf numFmtId="0" fontId="16" fillId="0" borderId="8" xfId="0" applyFont="1" applyBorder="1"/>
    <xf numFmtId="0" fontId="20" fillId="0" borderId="0" xfId="2"/>
    <xf numFmtId="0" fontId="21" fillId="0" borderId="0" xfId="0" applyFont="1"/>
    <xf numFmtId="0" fontId="22" fillId="0" borderId="0" xfId="0" applyFont="1"/>
    <xf numFmtId="0" fontId="23" fillId="0" borderId="1" xfId="0" applyFont="1" applyBorder="1" applyAlignment="1">
      <alignment horizontal="center"/>
    </xf>
    <xf numFmtId="0" fontId="24" fillId="0" borderId="1" xfId="0" applyFont="1" applyBorder="1" applyAlignment="1">
      <alignment horizontal="left"/>
    </xf>
    <xf numFmtId="0" fontId="24" fillId="0" borderId="1" xfId="0" applyFont="1" applyBorder="1"/>
    <xf numFmtId="0" fontId="25" fillId="0" borderId="1" xfId="0" applyFont="1" applyBorder="1"/>
    <xf numFmtId="0" fontId="22" fillId="0" borderId="0" xfId="0" applyFont="1" applyAlignment="1">
      <alignment wrapText="1"/>
    </xf>
    <xf numFmtId="0" fontId="23" fillId="0" borderId="1" xfId="0" applyFont="1" applyBorder="1" applyAlignment="1">
      <alignment horizontal="center" wrapText="1"/>
    </xf>
    <xf numFmtId="0" fontId="26" fillId="0" borderId="0" xfId="0" applyFont="1" applyAlignment="1">
      <alignment horizontal="right" vertical="center"/>
    </xf>
    <xf numFmtId="0" fontId="23" fillId="8" borderId="1" xfId="0" applyFont="1" applyFill="1" applyBorder="1" applyAlignment="1">
      <alignment horizontal="left" vertical="center"/>
    </xf>
    <xf numFmtId="0" fontId="27" fillId="5" borderId="1" xfId="0" applyFont="1" applyFill="1" applyBorder="1" applyAlignment="1">
      <alignment horizontal="left" vertical="center"/>
    </xf>
    <xf numFmtId="0" fontId="27" fillId="6" borderId="1" xfId="0" applyFont="1" applyFill="1" applyBorder="1" applyAlignment="1">
      <alignment horizontal="left" vertical="center"/>
    </xf>
    <xf numFmtId="0" fontId="28" fillId="7" borderId="1" xfId="0" applyFont="1" applyFill="1" applyBorder="1" applyAlignment="1">
      <alignment horizontal="left" vertical="center"/>
    </xf>
    <xf numFmtId="0" fontId="28" fillId="7" borderId="1" xfId="0" applyFont="1" applyFill="1" applyBorder="1" applyAlignment="1">
      <alignment horizontal="left" vertical="center" wrapText="1"/>
    </xf>
    <xf numFmtId="0" fontId="29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24" fillId="0" borderId="1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31" fillId="0" borderId="0" xfId="0" applyFont="1"/>
    <xf numFmtId="164" fontId="24" fillId="0" borderId="0" xfId="0" applyNumberFormat="1" applyFont="1"/>
    <xf numFmtId="0" fontId="22" fillId="0" borderId="0" xfId="0" applyFont="1" applyAlignment="1">
      <alignment vertical="center" wrapText="1"/>
    </xf>
    <xf numFmtId="164" fontId="22" fillId="0" borderId="0" xfId="0" applyNumberFormat="1" applyFont="1"/>
    <xf numFmtId="0" fontId="22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vertical="center" wrapText="1"/>
    </xf>
    <xf numFmtId="0" fontId="22" fillId="4" borderId="1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 wrapText="1"/>
    </xf>
    <xf numFmtId="0" fontId="22" fillId="0" borderId="1" xfId="0" applyFont="1" applyBorder="1" applyAlignment="1">
      <alignment horizontal="center" vertical="center" wrapText="1"/>
    </xf>
    <xf numFmtId="0" fontId="36" fillId="0" borderId="0" xfId="0" applyFont="1"/>
    <xf numFmtId="0" fontId="35" fillId="0" borderId="1" xfId="0" applyFont="1" applyBorder="1" applyAlignment="1">
      <alignment horizontal="center"/>
    </xf>
    <xf numFmtId="0" fontId="22" fillId="0" borderId="1" xfId="0" applyFont="1" applyBorder="1"/>
    <xf numFmtId="166" fontId="22" fillId="0" borderId="0" xfId="1" applyNumberFormat="1" applyFont="1"/>
    <xf numFmtId="0" fontId="37" fillId="0" borderId="0" xfId="2" applyFont="1"/>
    <xf numFmtId="0" fontId="29" fillId="0" borderId="0" xfId="0" applyFont="1"/>
    <xf numFmtId="0" fontId="24" fillId="0" borderId="0" xfId="0" applyFont="1"/>
    <xf numFmtId="0" fontId="36" fillId="0" borderId="0" xfId="0" applyFont="1" applyAlignment="1">
      <alignment vertical="center"/>
    </xf>
    <xf numFmtId="0" fontId="38" fillId="0" borderId="1" xfId="0" applyFont="1" applyBorder="1" applyAlignment="1">
      <alignment vertical="center" wrapText="1"/>
    </xf>
    <xf numFmtId="0" fontId="0" fillId="0" borderId="0" xfId="0" quotePrefix="1"/>
    <xf numFmtId="0" fontId="24" fillId="0" borderId="5" xfId="0" applyFont="1" applyBorder="1"/>
    <xf numFmtId="0" fontId="40" fillId="0" borderId="0" xfId="0" applyFont="1"/>
    <xf numFmtId="0" fontId="23" fillId="0" borderId="0" xfId="0" applyFont="1" applyAlignment="1">
      <alignment horizontal="right"/>
    </xf>
    <xf numFmtId="0" fontId="41" fillId="0" borderId="5" xfId="0" applyFont="1" applyBorder="1" applyAlignment="1">
      <alignment horizontal="center"/>
    </xf>
    <xf numFmtId="0" fontId="24" fillId="0" borderId="0" xfId="0" applyFont="1" applyAlignment="1">
      <alignment horizontal="center"/>
    </xf>
    <xf numFmtId="4" fontId="24" fillId="0" borderId="0" xfId="0" applyNumberFormat="1" applyFont="1" applyAlignment="1">
      <alignment horizontal="center"/>
    </xf>
    <xf numFmtId="0" fontId="24" fillId="0" borderId="8" xfId="0" applyFont="1" applyBorder="1"/>
    <xf numFmtId="0" fontId="24" fillId="0" borderId="7" xfId="0" applyFont="1" applyBorder="1"/>
    <xf numFmtId="0" fontId="24" fillId="0" borderId="1" xfId="0" quotePrefix="1" applyFont="1" applyBorder="1"/>
    <xf numFmtId="0" fontId="24" fillId="0" borderId="1" xfId="0" applyFont="1" applyBorder="1" applyAlignment="1">
      <alignment horizontal="center"/>
    </xf>
    <xf numFmtId="0" fontId="31" fillId="0" borderId="19" xfId="0" applyFont="1" applyBorder="1"/>
    <xf numFmtId="0" fontId="31" fillId="0" borderId="13" xfId="0" applyFont="1" applyBorder="1"/>
    <xf numFmtId="0" fontId="31" fillId="0" borderId="22" xfId="0" applyFont="1" applyBorder="1" applyAlignment="1">
      <alignment horizontal="center"/>
    </xf>
    <xf numFmtId="0" fontId="31" fillId="0" borderId="23" xfId="0" applyFont="1" applyBorder="1" applyAlignment="1">
      <alignment horizontal="center"/>
    </xf>
    <xf numFmtId="0" fontId="32" fillId="0" borderId="0" xfId="0" applyFont="1"/>
    <xf numFmtId="0" fontId="31" fillId="0" borderId="24" xfId="0" applyFont="1" applyBorder="1" applyAlignment="1">
      <alignment horizontal="center"/>
    </xf>
    <xf numFmtId="0" fontId="31" fillId="0" borderId="25" xfId="0" applyFont="1" applyBorder="1" applyAlignment="1">
      <alignment horizontal="center"/>
    </xf>
    <xf numFmtId="0" fontId="34" fillId="0" borderId="14" xfId="0" applyFont="1" applyBorder="1" applyAlignment="1">
      <alignment horizontal="left"/>
    </xf>
    <xf numFmtId="0" fontId="31" fillId="0" borderId="14" xfId="0" applyFont="1" applyBorder="1"/>
    <xf numFmtId="0" fontId="33" fillId="0" borderId="15" xfId="0" applyFont="1" applyBorder="1"/>
    <xf numFmtId="0" fontId="33" fillId="0" borderId="14" xfId="0" applyFont="1" applyBorder="1"/>
    <xf numFmtId="0" fontId="24" fillId="0" borderId="14" xfId="0" applyFont="1" applyBorder="1"/>
    <xf numFmtId="0" fontId="31" fillId="0" borderId="2" xfId="0" applyFont="1" applyBorder="1"/>
    <xf numFmtId="0" fontId="24" fillId="0" borderId="13" xfId="0" applyFont="1" applyBorder="1"/>
    <xf numFmtId="0" fontId="31" fillId="0" borderId="3" xfId="0" applyFont="1" applyBorder="1"/>
    <xf numFmtId="165" fontId="31" fillId="0" borderId="0" xfId="0" applyNumberFormat="1" applyFont="1" applyAlignment="1">
      <alignment horizontal="center"/>
    </xf>
    <xf numFmtId="167" fontId="31" fillId="0" borderId="0" xfId="0" applyNumberFormat="1" applyFont="1" applyAlignment="1">
      <alignment horizontal="center"/>
    </xf>
    <xf numFmtId="165" fontId="31" fillId="0" borderId="14" xfId="0" applyNumberFormat="1" applyFont="1" applyBorder="1" applyAlignment="1">
      <alignment horizontal="center"/>
    </xf>
    <xf numFmtId="0" fontId="31" fillId="0" borderId="0" xfId="0" applyFont="1" applyAlignment="1">
      <alignment vertical="center"/>
    </xf>
    <xf numFmtId="0" fontId="31" fillId="0" borderId="14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 vertical="center" wrapText="1"/>
    </xf>
    <xf numFmtId="0" fontId="31" fillId="0" borderId="13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31" fillId="0" borderId="14" xfId="0" applyFont="1" applyBorder="1" applyAlignment="1">
      <alignment horizontal="center"/>
    </xf>
    <xf numFmtId="0" fontId="22" fillId="0" borderId="16" xfId="0" applyFont="1" applyBorder="1" applyAlignment="1">
      <alignment vertical="center" wrapText="1"/>
    </xf>
    <xf numFmtId="0" fontId="3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22" fillId="0" borderId="18" xfId="0" applyFont="1" applyBorder="1"/>
    <xf numFmtId="0" fontId="44" fillId="9" borderId="20" xfId="0" applyFont="1" applyFill="1" applyBorder="1" applyAlignment="1">
      <alignment horizontal="center"/>
    </xf>
    <xf numFmtId="0" fontId="43" fillId="9" borderId="20" xfId="0" applyFont="1" applyFill="1" applyBorder="1" applyAlignment="1">
      <alignment horizontal="center"/>
    </xf>
    <xf numFmtId="0" fontId="43" fillId="9" borderId="21" xfId="0" applyFont="1" applyFill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43" fillId="9" borderId="1" xfId="0" applyFont="1" applyFill="1" applyBorder="1"/>
    <xf numFmtId="0" fontId="43" fillId="9" borderId="1" xfId="0" applyFont="1" applyFill="1" applyBorder="1" applyAlignment="1">
      <alignment horizontal="center"/>
    </xf>
    <xf numFmtId="0" fontId="27" fillId="9" borderId="1" xfId="0" applyFont="1" applyFill="1" applyBorder="1" applyAlignment="1">
      <alignment horizontal="left" vertical="center"/>
    </xf>
    <xf numFmtId="0" fontId="31" fillId="0" borderId="27" xfId="0" applyFont="1" applyBorder="1"/>
    <xf numFmtId="0" fontId="24" fillId="0" borderId="28" xfId="0" applyFont="1" applyBorder="1"/>
    <xf numFmtId="0" fontId="39" fillId="9" borderId="20" xfId="0" applyFont="1" applyFill="1" applyBorder="1" applyAlignment="1">
      <alignment horizontal="center"/>
    </xf>
    <xf numFmtId="0" fontId="39" fillId="9" borderId="21" xfId="0" applyFont="1" applyFill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45" fillId="0" borderId="5" xfId="0" applyFont="1" applyBorder="1" applyAlignment="1">
      <alignment horizontal="right"/>
    </xf>
    <xf numFmtId="0" fontId="46" fillId="0" borderId="0" xfId="0" applyFont="1" applyAlignment="1">
      <alignment wrapText="1"/>
    </xf>
    <xf numFmtId="0" fontId="42" fillId="0" borderId="0" xfId="2" applyFont="1" applyAlignment="1">
      <alignment wrapText="1"/>
    </xf>
    <xf numFmtId="0" fontId="48" fillId="0" borderId="0" xfId="0" applyFont="1" applyAlignment="1">
      <alignment wrapText="1"/>
    </xf>
    <xf numFmtId="0" fontId="49" fillId="0" borderId="0" xfId="0" applyFont="1" applyAlignment="1">
      <alignment wrapText="1"/>
    </xf>
    <xf numFmtId="0" fontId="30" fillId="0" borderId="0" xfId="0" applyFont="1" applyAlignment="1">
      <alignment vertical="center"/>
    </xf>
    <xf numFmtId="0" fontId="50" fillId="0" borderId="0" xfId="0" applyFont="1"/>
    <xf numFmtId="0" fontId="52" fillId="0" borderId="0" xfId="0" applyFont="1"/>
    <xf numFmtId="0" fontId="53" fillId="0" borderId="0" xfId="0" applyFont="1" applyAlignment="1">
      <alignment horizontal="right"/>
    </xf>
    <xf numFmtId="0" fontId="51" fillId="0" borderId="18" xfId="0" applyFont="1" applyBorder="1" applyAlignment="1">
      <alignment horizontal="center"/>
    </xf>
    <xf numFmtId="0" fontId="50" fillId="0" borderId="33" xfId="0" applyFont="1" applyBorder="1" applyAlignment="1">
      <alignment horizontal="left"/>
    </xf>
    <xf numFmtId="0" fontId="44" fillId="9" borderId="33" xfId="0" applyFont="1" applyFill="1" applyBorder="1" applyAlignment="1">
      <alignment horizontal="center"/>
    </xf>
    <xf numFmtId="0" fontId="31" fillId="11" borderId="0" xfId="0" applyFont="1" applyFill="1" applyAlignment="1">
      <alignment horizontal="center"/>
    </xf>
    <xf numFmtId="0" fontId="24" fillId="0" borderId="4" xfId="0" applyFont="1" applyBorder="1"/>
    <xf numFmtId="0" fontId="31" fillId="0" borderId="0" xfId="0" applyFont="1" applyAlignment="1">
      <alignment horizontal="right" vertical="center"/>
    </xf>
    <xf numFmtId="0" fontId="31" fillId="0" borderId="0" xfId="0" applyFont="1" applyAlignment="1">
      <alignment horizontal="right"/>
    </xf>
    <xf numFmtId="0" fontId="2" fillId="10" borderId="26" xfId="0" quotePrefix="1" applyFont="1" applyFill="1" applyBorder="1"/>
    <xf numFmtId="37" fontId="31" fillId="0" borderId="0" xfId="1" applyNumberFormat="1" applyFont="1" applyFill="1" applyBorder="1" applyAlignment="1">
      <alignment horizontal="center"/>
    </xf>
    <xf numFmtId="37" fontId="31" fillId="0" borderId="0" xfId="1" applyNumberFormat="1" applyFont="1" applyFill="1" applyBorder="1"/>
    <xf numFmtId="0" fontId="31" fillId="0" borderId="12" xfId="0" applyFont="1" applyBorder="1"/>
    <xf numFmtId="0" fontId="16" fillId="0" borderId="34" xfId="0" applyFont="1" applyBorder="1"/>
    <xf numFmtId="0" fontId="44" fillId="9" borderId="20" xfId="0" applyFont="1" applyFill="1" applyBorder="1" applyAlignment="1">
      <alignment horizontal="center" vertical="center"/>
    </xf>
    <xf numFmtId="0" fontId="44" fillId="9" borderId="2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4" fillId="9" borderId="34" xfId="0" applyFont="1" applyFill="1" applyBorder="1" applyAlignment="1">
      <alignment horizontal="center"/>
    </xf>
    <xf numFmtId="0" fontId="31" fillId="11" borderId="17" xfId="0" applyFont="1" applyFill="1" applyBorder="1" applyAlignment="1">
      <alignment horizontal="center" vertical="center"/>
    </xf>
    <xf numFmtId="164" fontId="3" fillId="0" borderId="10" xfId="0" applyNumberFormat="1" applyFont="1" applyBorder="1"/>
    <xf numFmtId="0" fontId="54" fillId="0" borderId="0" xfId="0" applyFont="1" applyAlignment="1">
      <alignment horizontal="center"/>
    </xf>
    <xf numFmtId="0" fontId="32" fillId="0" borderId="0" xfId="0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96">
    <dxf>
      <fill>
        <patternFill>
          <bgColor theme="1"/>
        </patternFill>
      </fill>
    </dxf>
    <dxf>
      <fill>
        <patternFill>
          <bgColor rgb="FF004FEE"/>
        </patternFill>
      </fill>
    </dxf>
    <dxf>
      <fill>
        <patternFill>
          <bgColor theme="7" tint="0.39994506668294322"/>
        </patternFill>
      </fill>
    </dxf>
    <dxf>
      <fill>
        <patternFill>
          <bgColor rgb="FFD2B48C"/>
        </patternFill>
      </fill>
    </dxf>
    <dxf>
      <fill>
        <patternFill>
          <bgColor rgb="FFFFFF00"/>
        </patternFill>
      </fill>
    </dxf>
    <dxf>
      <fill>
        <patternFill>
          <bgColor rgb="FFFAD23C"/>
        </patternFill>
      </fill>
    </dxf>
    <dxf>
      <fill>
        <patternFill>
          <bgColor rgb="FFFF5013"/>
        </patternFill>
      </fill>
    </dxf>
    <dxf>
      <fill>
        <patternFill>
          <bgColor theme="1" tint="0.24994659260841701"/>
        </patternFill>
      </fill>
    </dxf>
    <dxf>
      <fill>
        <patternFill>
          <bgColor rgb="FFC00000"/>
        </patternFill>
      </fill>
    </dxf>
    <dxf>
      <fill>
        <patternFill>
          <bgColor rgb="FFB4E612"/>
        </patternFill>
      </fill>
    </dxf>
    <dxf>
      <fill>
        <patternFill>
          <bgColor rgb="FF2B2B2B"/>
        </patternFill>
      </fill>
    </dxf>
    <dxf>
      <fill>
        <patternFill>
          <bgColor rgb="FFD8D8D8"/>
        </patternFill>
      </fill>
    </dxf>
    <dxf>
      <fill>
        <patternFill>
          <bgColor rgb="FFA0A0A0"/>
        </patternFill>
      </fill>
    </dxf>
    <dxf>
      <fill>
        <patternFill>
          <bgColor rgb="FF505050"/>
        </patternFill>
      </fill>
    </dxf>
    <dxf>
      <fill>
        <patternFill>
          <bgColor rgb="FFD8D8D8"/>
        </patternFill>
      </fill>
    </dxf>
    <dxf>
      <fill>
        <patternFill>
          <bgColor rgb="FFA8D1FF"/>
        </patternFill>
      </fill>
    </dxf>
    <dxf>
      <fill>
        <patternFill>
          <bgColor rgb="FFB2DF8A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1F78B4"/>
        </patternFill>
      </fill>
    </dxf>
    <dxf>
      <fill>
        <patternFill>
          <bgColor rgb="FFA6CEE3"/>
        </patternFill>
      </fill>
    </dxf>
    <dxf>
      <fill>
        <patternFill>
          <bgColor rgb="FFF7F7F7"/>
        </patternFill>
      </fill>
    </dxf>
    <dxf>
      <fill>
        <patternFill>
          <bgColor rgb="FFFFFF99"/>
        </patternFill>
      </fill>
    </dxf>
    <dxf>
      <fill>
        <patternFill>
          <bgColor rgb="FFE31A1C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ill>
        <patternFill>
          <bgColor rgb="FFC4F0C2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ill>
        <patternFill>
          <bgColor rgb="FFFF6666"/>
        </patternFill>
      </fill>
    </dxf>
    <dxf>
      <fill>
        <patternFill>
          <bgColor rgb="FFFF6666"/>
        </patternFill>
      </fill>
    </dxf>
    <dxf>
      <fill>
        <patternFill>
          <bgColor rgb="FFFFB84D"/>
        </patternFill>
      </fill>
    </dxf>
    <dxf>
      <fill>
        <patternFill>
          <bgColor rgb="FFFFEB84"/>
        </patternFill>
      </fill>
    </dxf>
    <dxf>
      <fill>
        <patternFill>
          <bgColor rgb="FFC4F0C2"/>
        </patternFill>
      </fill>
    </dxf>
    <dxf>
      <fill>
        <patternFill>
          <bgColor rgb="FFA8D1FF"/>
        </patternFill>
      </fill>
    </dxf>
    <dxf>
      <fill>
        <patternFill>
          <bgColor rgb="FFA8D1FF"/>
        </patternFill>
      </fill>
    </dxf>
    <dxf>
      <fill>
        <patternFill>
          <bgColor rgb="FFC4F0C2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ill>
        <patternFill>
          <bgColor rgb="FFFF6666"/>
        </patternFill>
      </fill>
    </dxf>
    <dxf>
      <fill>
        <patternFill>
          <bgColor rgb="FF3B4CC0"/>
        </patternFill>
      </fill>
    </dxf>
    <dxf>
      <fill>
        <patternFill>
          <bgColor rgb="FFA6CEE3"/>
        </patternFill>
      </fill>
    </dxf>
    <dxf>
      <fill>
        <patternFill>
          <bgColor rgb="FFF0F0F0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3B4CC0"/>
        </patternFill>
      </fill>
    </dxf>
    <dxf>
      <fill>
        <patternFill>
          <bgColor rgb="FFA6CEE3"/>
        </patternFill>
      </fill>
    </dxf>
    <dxf>
      <fill>
        <patternFill>
          <bgColor rgb="FFF0F0F0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F0F0F0"/>
        </patternFill>
      </fill>
    </dxf>
    <dxf>
      <fill>
        <patternFill>
          <bgColor rgb="FFA6CEE3"/>
        </patternFill>
      </fill>
    </dxf>
    <dxf>
      <fill>
        <patternFill>
          <bgColor rgb="FFB2DF8A"/>
        </patternFill>
      </fill>
    </dxf>
    <dxf>
      <fill>
        <patternFill>
          <bgColor rgb="FFFDBF6F"/>
        </patternFill>
      </fill>
    </dxf>
    <dxf>
      <fill>
        <patternFill>
          <bgColor rgb="FFE66100"/>
        </patternFill>
      </fill>
    </dxf>
    <dxf>
      <fill>
        <patternFill>
          <bgColor rgb="FFF0F0F0"/>
        </patternFill>
      </fill>
    </dxf>
    <dxf>
      <fill>
        <patternFill>
          <bgColor rgb="FFA6CEE3"/>
        </patternFill>
      </fill>
    </dxf>
    <dxf>
      <fill>
        <patternFill>
          <bgColor rgb="FFFF6666"/>
        </patternFill>
      </fill>
    </dxf>
    <dxf>
      <fill>
        <patternFill>
          <bgColor rgb="FFFDBF6F"/>
        </patternFill>
      </fill>
    </dxf>
    <dxf>
      <fill>
        <patternFill>
          <bgColor rgb="FFC4F0C2"/>
        </patternFill>
      </fill>
    </dxf>
    <dxf>
      <fill>
        <patternFill>
          <bgColor rgb="FFA6CEE3"/>
        </patternFill>
      </fill>
    </dxf>
    <dxf>
      <fill>
        <patternFill>
          <bgColor rgb="FFFFEB84"/>
        </patternFill>
      </fill>
    </dxf>
    <dxf>
      <fill>
        <patternFill>
          <bgColor rgb="FFFFB84D"/>
        </patternFill>
      </fill>
    </dxf>
    <dxf>
      <font>
        <color theme="0"/>
      </font>
      <fill>
        <patternFill>
          <bgColor rgb="FF3B4CC0"/>
        </patternFill>
      </fill>
    </dxf>
    <dxf>
      <font>
        <color theme="0"/>
      </font>
      <fill>
        <patternFill>
          <bgColor rgb="FF1F78B4"/>
        </patternFill>
      </fill>
    </dxf>
    <dxf>
      <fill>
        <patternFill>
          <bgColor rgb="FFA8D1FF"/>
        </patternFill>
      </fill>
    </dxf>
    <dxf>
      <font>
        <color theme="0"/>
      </font>
      <fill>
        <patternFill>
          <bgColor rgb="FFE31A1C"/>
        </patternFill>
      </fill>
    </dxf>
    <dxf>
      <font>
        <color theme="0"/>
      </font>
      <fill>
        <patternFill>
          <bgColor rgb="FFA0A0A0"/>
        </patternFill>
      </fill>
    </dxf>
    <dxf>
      <fill>
        <patternFill>
          <bgColor rgb="FFF0F0F0"/>
        </patternFill>
      </fill>
    </dxf>
    <dxf>
      <fill>
        <patternFill>
          <bgColor rgb="FFF7F7F7"/>
        </patternFill>
      </fill>
    </dxf>
    <dxf>
      <font>
        <color theme="0"/>
      </font>
      <fill>
        <patternFill>
          <bgColor rgb="FF2B2B2B"/>
        </patternFill>
      </fill>
    </dxf>
    <dxf>
      <font>
        <color theme="0"/>
      </font>
      <fill>
        <patternFill>
          <bgColor rgb="FF505050"/>
        </patternFill>
      </fill>
    </dxf>
    <dxf>
      <fill>
        <patternFill>
          <bgColor rgb="FFD8D8D8"/>
        </patternFill>
      </fill>
    </dxf>
    <dxf>
      <fill>
        <patternFill>
          <bgColor rgb="FFF7F7F7"/>
        </patternFill>
      </fill>
    </dxf>
    <dxf>
      <fill>
        <patternFill>
          <bgColor rgb="FFE66100"/>
        </patternFill>
      </fill>
    </dxf>
    <dxf>
      <fill>
        <patternFill>
          <bgColor rgb="FFFFFF99"/>
        </patternFill>
      </fill>
    </dxf>
    <dxf>
      <fill>
        <patternFill>
          <bgColor rgb="FFB2DF8A"/>
        </patternFill>
      </fill>
    </dxf>
    <dxf>
      <fill>
        <patternFill>
          <bgColor rgb="FFC4F0C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12501A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D23C"/>
        </patternFill>
      </fill>
    </dxf>
    <dxf>
      <fill>
        <patternFill>
          <bgColor rgb="FFFFFF00"/>
        </patternFill>
      </fill>
    </dxf>
    <dxf>
      <fill>
        <patternFill>
          <bgColor rgb="FFD2B48C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004FEE"/>
        </patternFill>
      </fill>
    </dxf>
    <dxf>
      <fill>
        <patternFill>
          <bgColor rgb="FFB4E612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FF5013"/>
        </patternFill>
      </fill>
    </dxf>
    <dxf>
      <font>
        <color theme="0"/>
      </font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7B7A38C9-622B-4021-9B76-EC2931F577D0}"/>
  </tableStyles>
  <colors>
    <mruColors>
      <color rgb="FFFFC7CE"/>
      <color rgb="FF9C0006"/>
      <color rgb="FFFF1D1D"/>
      <color rgb="FF12501A"/>
      <color rgb="FFFFE8B3"/>
      <color rgb="FFE3F7E5"/>
      <color rgb="FF666666"/>
      <color rgb="FF196B24"/>
      <color rgb="FF7E350E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Spin" dx="31" fmlaLink="$E$13" inc="10" max="90" min="1" page="10" val="30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704850</xdr:colOff>
      <xdr:row>0</xdr:row>
      <xdr:rowOff>82550</xdr:rowOff>
    </xdr:from>
    <xdr:to>
      <xdr:col>6</xdr:col>
      <xdr:colOff>95250</xdr:colOff>
      <xdr:row>13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F3CBC60-6204-ED8B-45E1-B71C16466C78}"/>
            </a:ext>
          </a:extLst>
        </xdr:cNvPr>
        <xdr:cNvSpPr txBox="1"/>
      </xdr:nvSpPr>
      <xdr:spPr>
        <a:xfrm>
          <a:off x="1466850" y="85725"/>
          <a:ext cx="7162800" cy="2530475"/>
        </a:xfrm>
        <a:prstGeom prst="rect">
          <a:avLst/>
        </a:prstGeom>
        <a:solidFill>
          <a:schemeClr val="lt1"/>
        </a:solidFill>
        <a:ln w="9525" cmpd="sng">
          <a:solidFill>
            <a:schemeClr val="accent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>
              <a:solidFill>
                <a:srgbClr val="12501A"/>
              </a:solidFill>
              <a:effectLst/>
              <a:latin typeface="Aptos Mono" panose="020B0009020202020204" pitchFamily="49" charset="0"/>
              <a:ea typeface="+mn-ea"/>
              <a:cs typeface="+mn-cs"/>
            </a:rPr>
            <a:t>Terrain</a:t>
          </a:r>
          <a:r>
            <a:rPr lang="el-GR" sz="3600">
              <a:solidFill>
                <a:srgbClr val="12501A"/>
              </a:solidFill>
              <a:effectLst/>
              <a:latin typeface="Aptos Mono" panose="020B0009020202020204" pitchFamily="49" charset="0"/>
              <a:ea typeface="+mn-ea"/>
              <a:cs typeface="+mn-cs"/>
            </a:rPr>
            <a:t>λ</a:t>
          </a:r>
          <a:endParaRPr lang="en-US" sz="3600">
            <a:solidFill>
              <a:srgbClr val="12501A"/>
            </a:solidFill>
            <a:latin typeface="Aptos Mono" panose="020B0009020202020204" pitchFamily="49" charset="0"/>
          </a:endParaRPr>
        </a:p>
        <a:p>
          <a:r>
            <a:rPr lang="en-US" sz="1800">
              <a:latin typeface="Aptos Mono" panose="020B0009020202020204" pitchFamily="49" charset="0"/>
            </a:rPr>
            <a:t>Return terrain analysis metrics by supplying square elevation matrices.</a:t>
          </a:r>
        </a:p>
        <a:p>
          <a:endParaRPr lang="en-US" sz="900">
            <a:latin typeface="Aptos Mono" panose="020B0009020202020204" pitchFamily="49" charset="0"/>
          </a:endParaRPr>
        </a:p>
        <a:p>
          <a:r>
            <a:rPr lang="en-US" sz="1200">
              <a:latin typeface="Aptos Mono" panose="020B0009020202020204" pitchFamily="49" charset="0"/>
            </a:rPr>
            <a:t>Metrics:</a:t>
          </a:r>
        </a:p>
        <a:p>
          <a:r>
            <a:rPr lang="en-US" sz="1200">
              <a:solidFill>
                <a:sysClr val="windowText" lastClr="000000"/>
              </a:solidFill>
              <a:latin typeface="Aptos Mono" panose="020B0009020202020204" pitchFamily="49" charset="0"/>
            </a:rPr>
            <a:t>Aspect (radians), Classify, Curvature, Gradient Magnitude, Hillshade, Profile Curvature, Roughness, Slope (degrees), Slope (radians), ZTPI</a:t>
          </a:r>
        </a:p>
        <a:p>
          <a:endParaRPr lang="en-US" sz="1200">
            <a:solidFill>
              <a:schemeClr val="accent3"/>
            </a:solidFill>
            <a:latin typeface="Aptos Mono" panose="020B0009020202020204" pitchFamily="49" charset="0"/>
          </a:endParaRPr>
        </a:p>
        <a:p>
          <a:r>
            <a:rPr lang="en-US" sz="1200">
              <a:solidFill>
                <a:srgbClr val="12501A"/>
              </a:solidFill>
              <a:latin typeface="Aptos Mono" panose="020B0009020202020204" pitchFamily="49" charset="0"/>
            </a:rPr>
            <a:t>=Terrain</a:t>
          </a:r>
          <a:r>
            <a:rPr lang="el-GR" sz="1200">
              <a:solidFill>
                <a:srgbClr val="12501A"/>
              </a:solidFill>
              <a:latin typeface="Aptos Mono" panose="020B0009020202020204" pitchFamily="49" charset="0"/>
            </a:rPr>
            <a:t>λ(</a:t>
          </a:r>
          <a:r>
            <a:rPr lang="en-US" sz="1200">
              <a:solidFill>
                <a:srgbClr val="12501A"/>
              </a:solidFill>
              <a:latin typeface="Aptos Mono" panose="020B0009020202020204" pitchFamily="49" charset="0"/>
            </a:rPr>
            <a:t>DEM,cellsize,function,[azimuth],[altitude],[z_factor])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</xdr:colOff>
          <xdr:row>10</xdr:row>
          <xdr:rowOff>234950</xdr:rowOff>
        </xdr:from>
        <xdr:to>
          <xdr:col>5</xdr:col>
          <xdr:colOff>1162050</xdr:colOff>
          <xdr:row>13</xdr:row>
          <xdr:rowOff>82550</xdr:rowOff>
        </xdr:to>
        <xdr:sp macro="" textlink="">
          <xdr:nvSpPr>
            <xdr:cNvPr id="6148" name="Cellsize spinner" descr="Spin control used to adjust Cellsize in increments of 10.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3">
    <wetp:webextensionref xmlns:r="http://schemas.openxmlformats.org/officeDocument/2006/relationships" r:id="rId1"/>
  </wetp:taskpane>
  <wetp:taskpane dockstate="right" visibility="0" width="85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E094911-5D17-4F7C-9E7C-4BADAF36127D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687B0E3-F9BF-4168-88EA-771C85298DE5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2F0EDBA-40CB-4017-AA2D-678E8096AD2D}">
  <we:reference id="WA200006518" version="1.2.0.0" store="Omex" storeType="OMEX"/>
  <we:alternateReferences>
    <we:reference id="WA200006518" version="1.2.0.0" store="" storeType="OMEX"/>
  </we:alternateReferences>
  <we:properties/>
  <we:bindings>
    <we:binding id="UnnamedBinding_0_1756489092970" type="matrix" appref="{889136F4-FEC9-4A0A-A88C-9D2CAAF50D7D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hyperlink" Target="https://doi.org/10.3334/ORNLDAAC/1181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apps.nationalmap.gov/bulkpqs/" TargetMode="External"/><Relationship Id="rId1" Type="http://schemas.openxmlformats.org/officeDocument/2006/relationships/hyperlink" Target="https://www.usgs.gov/faqs/what-types-elevation-datasets-are-available-what-formats-do-they-come-and-where-can-i-downloa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3196C-3DA3-4DC7-BC9B-E21721695779}">
  <sheetPr codeName="Sheet7">
    <tabColor theme="0"/>
  </sheetPr>
  <dimension ref="A1:I40"/>
  <sheetViews>
    <sheetView showGridLines="0" showRowColHeaders="0" workbookViewId="0"/>
  </sheetViews>
  <sheetFormatPr defaultColWidth="0" defaultRowHeight="15" zeroHeight="1" x14ac:dyDescent="0.3"/>
  <cols>
    <col min="1" max="2" width="9.23046875" style="22" customWidth="1"/>
    <col min="3" max="3" width="11.3828125" style="22" bestFit="1" customWidth="1"/>
    <col min="4" max="4" width="19.61328125" style="23" customWidth="1"/>
    <col min="5" max="5" width="44.69140625" style="23" customWidth="1"/>
    <col min="6" max="9" width="9.23046875" style="22" customWidth="1"/>
    <col min="10" max="16384" width="9.23046875" style="22" hidden="1"/>
  </cols>
  <sheetData>
    <row r="1" spans="3:5" x14ac:dyDescent="0.3"/>
    <row r="2" spans="3:5" x14ac:dyDescent="0.3"/>
    <row r="3" spans="3:5" x14ac:dyDescent="0.3"/>
    <row r="4" spans="3:5" x14ac:dyDescent="0.3"/>
    <row r="5" spans="3:5" x14ac:dyDescent="0.3">
      <c r="D5" s="22"/>
      <c r="E5" s="22"/>
    </row>
    <row r="6" spans="3:5" x14ac:dyDescent="0.3">
      <c r="D6" s="22"/>
      <c r="E6" s="22"/>
    </row>
    <row r="7" spans="3:5" x14ac:dyDescent="0.3">
      <c r="D7" s="22"/>
      <c r="E7" s="22"/>
    </row>
    <row r="8" spans="3:5" ht="16" x14ac:dyDescent="0.4">
      <c r="D8" s="22"/>
      <c r="E8" s="40"/>
    </row>
    <row r="9" spans="3:5" ht="16" x14ac:dyDescent="0.4">
      <c r="D9" s="22"/>
      <c r="E9" s="40"/>
    </row>
    <row r="10" spans="3:5" ht="16" x14ac:dyDescent="0.4">
      <c r="D10" s="22"/>
      <c r="E10" s="40"/>
    </row>
    <row r="11" spans="3:5" ht="16" x14ac:dyDescent="0.4">
      <c r="D11" s="22"/>
      <c r="E11" s="40"/>
    </row>
    <row r="12" spans="3:5" ht="16" x14ac:dyDescent="0.4">
      <c r="D12" s="22"/>
      <c r="E12" s="40"/>
    </row>
    <row r="13" spans="3:5" ht="16" x14ac:dyDescent="0.4">
      <c r="D13" s="22"/>
      <c r="E13" s="40"/>
    </row>
    <row r="14" spans="3:5" ht="16" x14ac:dyDescent="0.4">
      <c r="D14" s="22"/>
      <c r="E14" s="40"/>
    </row>
    <row r="15" spans="3:5" x14ac:dyDescent="0.3">
      <c r="C15" s="41"/>
      <c r="D15" s="42" t="s">
        <v>150</v>
      </c>
      <c r="E15" s="42" t="s">
        <v>5</v>
      </c>
    </row>
    <row r="16" spans="3:5" x14ac:dyDescent="0.3">
      <c r="C16" s="41"/>
      <c r="D16" s="43" t="s">
        <v>24</v>
      </c>
      <c r="E16" s="44" t="s">
        <v>151</v>
      </c>
    </row>
    <row r="17" spans="3:5" x14ac:dyDescent="0.3">
      <c r="C17" s="41"/>
      <c r="D17" s="43" t="s">
        <v>152</v>
      </c>
      <c r="E17" s="44" t="s">
        <v>153</v>
      </c>
    </row>
    <row r="18" spans="3:5" x14ac:dyDescent="0.3">
      <c r="C18" s="41"/>
      <c r="D18" s="43" t="s">
        <v>154</v>
      </c>
      <c r="E18" s="44" t="s">
        <v>159</v>
      </c>
    </row>
    <row r="19" spans="3:5" x14ac:dyDescent="0.3">
      <c r="C19" s="41"/>
      <c r="D19" s="43" t="s">
        <v>155</v>
      </c>
      <c r="E19" s="45" t="s">
        <v>173</v>
      </c>
    </row>
    <row r="20" spans="3:5" x14ac:dyDescent="0.3">
      <c r="C20" s="41"/>
      <c r="D20" s="43" t="s">
        <v>156</v>
      </c>
      <c r="E20" s="45" t="s">
        <v>174</v>
      </c>
    </row>
    <row r="21" spans="3:5" x14ac:dyDescent="0.3">
      <c r="C21" s="41"/>
      <c r="D21" s="43" t="s">
        <v>157</v>
      </c>
      <c r="E21" s="45" t="s">
        <v>158</v>
      </c>
    </row>
    <row r="22" spans="3:5" x14ac:dyDescent="0.3">
      <c r="C22" s="41"/>
      <c r="D22" s="46"/>
      <c r="E22" s="46"/>
    </row>
    <row r="23" spans="3:5" x14ac:dyDescent="0.3">
      <c r="C23" s="41"/>
      <c r="D23" s="42" t="s">
        <v>133</v>
      </c>
      <c r="E23" s="47" t="s">
        <v>134</v>
      </c>
    </row>
    <row r="24" spans="3:5" ht="30" customHeight="1" x14ac:dyDescent="0.3">
      <c r="C24" s="48" t="s">
        <v>147</v>
      </c>
      <c r="D24" s="49" t="s">
        <v>135</v>
      </c>
      <c r="E24" s="77" t="s">
        <v>136</v>
      </c>
    </row>
    <row r="25" spans="3:5" ht="30" customHeight="1" x14ac:dyDescent="0.3">
      <c r="C25" s="41"/>
      <c r="D25" s="127" t="s">
        <v>141</v>
      </c>
      <c r="E25" s="56" t="s">
        <v>142</v>
      </c>
    </row>
    <row r="26" spans="3:5" ht="30" customHeight="1" x14ac:dyDescent="0.3">
      <c r="C26" s="41"/>
      <c r="D26" s="127" t="s">
        <v>143</v>
      </c>
      <c r="E26" s="56" t="s">
        <v>144</v>
      </c>
    </row>
    <row r="27" spans="3:5" ht="30" customHeight="1" x14ac:dyDescent="0.3">
      <c r="C27" s="41"/>
      <c r="D27" s="127" t="s">
        <v>145</v>
      </c>
      <c r="E27" s="56" t="s">
        <v>146</v>
      </c>
    </row>
    <row r="28" spans="3:5" ht="30" customHeight="1" x14ac:dyDescent="0.3">
      <c r="C28" s="41"/>
      <c r="D28" s="50" t="s">
        <v>137</v>
      </c>
      <c r="E28" s="56" t="s">
        <v>138</v>
      </c>
    </row>
    <row r="29" spans="3:5" ht="30" customHeight="1" x14ac:dyDescent="0.3">
      <c r="C29" s="41"/>
      <c r="D29" s="51" t="s">
        <v>139</v>
      </c>
      <c r="E29" s="56" t="s">
        <v>140</v>
      </c>
    </row>
    <row r="30" spans="3:5" x14ac:dyDescent="0.3">
      <c r="C30" s="41"/>
      <c r="D30" s="52" t="s">
        <v>148</v>
      </c>
      <c r="E30" s="57" t="s">
        <v>163</v>
      </c>
    </row>
    <row r="31" spans="3:5" x14ac:dyDescent="0.3">
      <c r="C31" s="41"/>
      <c r="D31" s="53" t="s">
        <v>149</v>
      </c>
      <c r="E31" s="57" t="s">
        <v>164</v>
      </c>
    </row>
    <row r="32" spans="3:5" x14ac:dyDescent="0.3"/>
    <row r="33" spans="5:5" x14ac:dyDescent="0.3"/>
    <row r="34" spans="5:5" ht="75" x14ac:dyDescent="0.3">
      <c r="E34" s="137" t="s">
        <v>220</v>
      </c>
    </row>
    <row r="35" spans="5:5" x14ac:dyDescent="0.3">
      <c r="E35" s="46"/>
    </row>
    <row r="36" spans="5:5" x14ac:dyDescent="0.3">
      <c r="E36" s="140" t="s">
        <v>219</v>
      </c>
    </row>
    <row r="37" spans="5:5" x14ac:dyDescent="0.3">
      <c r="E37" s="139" t="s">
        <v>218</v>
      </c>
    </row>
    <row r="38" spans="5:5" ht="60" x14ac:dyDescent="0.3">
      <c r="E38" s="139" t="s">
        <v>217</v>
      </c>
    </row>
    <row r="39" spans="5:5" x14ac:dyDescent="0.3">
      <c r="E39" s="138" t="s">
        <v>216</v>
      </c>
    </row>
    <row r="40" spans="5:5" x14ac:dyDescent="0.3"/>
  </sheetData>
  <hyperlinks>
    <hyperlink ref="E39" r:id="rId1" xr:uid="{ADD1F1D2-7795-4329-A6AE-9B1C5820AE4D}"/>
  </hyperlinks>
  <pageMargins left="0.7" right="0.7" top="0.75" bottom="0.75" header="0.3" footer="0.3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401D9-8D52-4FC5-84B8-E2AAE0F9E7AA}">
  <sheetPr codeName="Sheet8">
    <tabColor rgb="FFFFFF99"/>
  </sheetPr>
  <dimension ref="A1:C23"/>
  <sheetViews>
    <sheetView showGridLines="0" showRowColHeaders="0" workbookViewId="0"/>
  </sheetViews>
  <sheetFormatPr defaultColWidth="0" defaultRowHeight="17.5" zeroHeight="1" x14ac:dyDescent="0.35"/>
  <cols>
    <col min="1" max="1" width="25.15234375" style="74" customWidth="1"/>
    <col min="2" max="2" width="61.23046875" style="54" customWidth="1"/>
    <col min="3" max="3" width="15.23046875" style="74" customWidth="1"/>
    <col min="4" max="16384" width="15.23046875" style="74" hidden="1"/>
  </cols>
  <sheetData>
    <row r="1" spans="2:2" ht="44.5" customHeight="1" x14ac:dyDescent="0.35"/>
    <row r="2" spans="2:2" x14ac:dyDescent="0.35">
      <c r="B2" s="55" t="s">
        <v>125</v>
      </c>
    </row>
    <row r="3" spans="2:2" ht="35" x14ac:dyDescent="0.35">
      <c r="B3" s="54" t="s">
        <v>126</v>
      </c>
    </row>
    <row r="4" spans="2:2" x14ac:dyDescent="0.35"/>
    <row r="5" spans="2:2" ht="26.5" customHeight="1" x14ac:dyDescent="0.35">
      <c r="B5" s="141" t="s">
        <v>128</v>
      </c>
    </row>
    <row r="6" spans="2:2" ht="52.5" x14ac:dyDescent="0.35">
      <c r="B6" s="54" t="s">
        <v>127</v>
      </c>
    </row>
    <row r="7" spans="2:2" x14ac:dyDescent="0.35"/>
    <row r="8" spans="2:2" x14ac:dyDescent="0.35">
      <c r="B8" s="55" t="s">
        <v>129</v>
      </c>
    </row>
    <row r="9" spans="2:2" ht="52.5" x14ac:dyDescent="0.35">
      <c r="B9" s="54" t="s">
        <v>130</v>
      </c>
    </row>
    <row r="10" spans="2:2" x14ac:dyDescent="0.35">
      <c r="B10" s="55" t="s">
        <v>131</v>
      </c>
    </row>
    <row r="11" spans="2:2" x14ac:dyDescent="0.35"/>
    <row r="12" spans="2:2" ht="52.5" x14ac:dyDescent="0.35">
      <c r="B12" s="54" t="s">
        <v>132</v>
      </c>
    </row>
    <row r="13" spans="2:2" x14ac:dyDescent="0.35"/>
    <row r="14" spans="2:2" x14ac:dyDescent="0.35"/>
    <row r="15" spans="2:2" x14ac:dyDescent="0.35"/>
    <row r="16" spans="2:2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</sheetData>
  <pageMargins left="0.7" right="0.7" top="0.75" bottom="0.75" header="0.3" footer="0.3"/>
  <picture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6172-BA8C-4D9D-9E5F-5BBA0F4257BF}">
  <sheetPr codeName="Sheet3">
    <tabColor rgb="FF12501A"/>
  </sheetPr>
  <dimension ref="A1:BD56"/>
  <sheetViews>
    <sheetView topLeftCell="A4" workbookViewId="0">
      <selection activeCell="G7" sqref="G7"/>
    </sheetView>
  </sheetViews>
  <sheetFormatPr defaultColWidth="9.23046875" defaultRowHeight="16.5" x14ac:dyDescent="0.45"/>
  <cols>
    <col min="1" max="1" width="4.23046875" style="32" customWidth="1"/>
    <col min="2" max="2" width="24.69140625" style="75" customWidth="1"/>
    <col min="3" max="3" width="28.3828125" style="75" bestFit="1" customWidth="1"/>
    <col min="4" max="4" width="12.53515625" style="75" bestFit="1" customWidth="1"/>
    <col min="5" max="5" width="15.4609375" style="75" bestFit="1" customWidth="1"/>
    <col min="6" max="6" width="5.921875" style="75" customWidth="1"/>
    <col min="7" max="46" width="6.3046875" style="1" bestFit="1" customWidth="1"/>
    <col min="47" max="54" width="10.69140625" style="1" bestFit="1" customWidth="1"/>
    <col min="55" max="55" width="7.23046875" style="1" bestFit="1" customWidth="1"/>
    <col min="56" max="56" width="10.69140625" style="1" bestFit="1" customWidth="1"/>
    <col min="57" max="1029" width="4.69140625" style="1" bestFit="1" customWidth="1"/>
    <col min="1030" max="16384" width="9.23046875" style="1"/>
  </cols>
  <sheetData>
    <row r="1" spans="2:56" x14ac:dyDescent="0.45">
      <c r="F1" s="79"/>
    </row>
    <row r="2" spans="2:56" x14ac:dyDescent="0.45">
      <c r="F2" s="79"/>
    </row>
    <row r="3" spans="2:56" x14ac:dyDescent="0.45">
      <c r="F3" s="79"/>
    </row>
    <row r="4" spans="2:56" x14ac:dyDescent="0.45">
      <c r="F4" s="79"/>
    </row>
    <row r="5" spans="2:56" x14ac:dyDescent="0.45">
      <c r="C5" s="119" t="s">
        <v>210</v>
      </c>
      <c r="D5" s="120" t="s">
        <v>211</v>
      </c>
      <c r="F5" s="79"/>
    </row>
    <row r="6" spans="2:56" ht="17" thickBot="1" x14ac:dyDescent="0.5">
      <c r="C6" s="121" t="str" cm="1">
        <f t="array" aca="1" ref="C6:D7" ca="1">DEM_Title</f>
        <v>DEM.DeathValley</v>
      </c>
      <c r="D6" s="122" t="str">
        <f ca="1"/>
        <v>50x50</v>
      </c>
      <c r="E6" s="81"/>
      <c r="F6" s="82"/>
    </row>
    <row r="7" spans="2:56" ht="17.5" thickTop="1" thickBot="1" x14ac:dyDescent="0.5">
      <c r="C7" s="123" t="str">
        <f ca="1"/>
        <v>36.5053891,-117.0794078</v>
      </c>
      <c r="D7" s="124" t="str">
        <f ca="1"/>
        <v>2.5 sq km</v>
      </c>
      <c r="E7" s="143"/>
      <c r="F7" s="136" t="s">
        <v>221</v>
      </c>
      <c r="G7" s="152" cm="1">
        <f t="array" ref="G7:BD56">DEM.DeathValley</f>
        <v>1218.1600000000001</v>
      </c>
      <c r="H7" s="7">
        <v>1219.8800000000001</v>
      </c>
      <c r="I7" s="7">
        <v>1234.18</v>
      </c>
      <c r="J7" s="7">
        <v>1216.3800000000001</v>
      </c>
      <c r="K7" s="7">
        <v>1213.1400000000001</v>
      </c>
      <c r="L7" s="7">
        <v>1234.52</v>
      </c>
      <c r="M7" s="7">
        <v>1232.21</v>
      </c>
      <c r="N7" s="7">
        <v>1231.71</v>
      </c>
      <c r="O7" s="7">
        <v>1250.1199999999999</v>
      </c>
      <c r="P7" s="7">
        <v>1262.02</v>
      </c>
      <c r="Q7" s="7">
        <v>1254.01</v>
      </c>
      <c r="R7" s="7">
        <v>1228.97</v>
      </c>
      <c r="S7" s="7">
        <v>1197.51</v>
      </c>
      <c r="T7" s="7">
        <v>1175.1300000000001</v>
      </c>
      <c r="U7" s="7">
        <v>1145.57</v>
      </c>
      <c r="V7" s="7">
        <v>1135.81</v>
      </c>
      <c r="W7" s="1">
        <v>1133.53</v>
      </c>
      <c r="X7" s="1">
        <v>1133.6600000000001</v>
      </c>
      <c r="Y7" s="1">
        <v>1132.32</v>
      </c>
      <c r="Z7" s="1">
        <v>1130.08</v>
      </c>
      <c r="AA7" s="1">
        <v>1125.3599999999999</v>
      </c>
      <c r="AB7" s="1">
        <v>1115.26</v>
      </c>
      <c r="AC7" s="1">
        <v>1113.95</v>
      </c>
      <c r="AD7" s="1">
        <v>1107.31</v>
      </c>
      <c r="AE7" s="1">
        <v>1095.07</v>
      </c>
      <c r="AF7" s="1">
        <v>1094.69</v>
      </c>
      <c r="AG7" s="1">
        <v>1094.27</v>
      </c>
      <c r="AH7" s="1">
        <v>1085.79</v>
      </c>
      <c r="AI7" s="1">
        <v>1072.5899999999999</v>
      </c>
      <c r="AJ7" s="1">
        <v>1061.81</v>
      </c>
      <c r="AK7" s="1">
        <v>1055.53</v>
      </c>
      <c r="AL7" s="1">
        <v>1052.8599999999999</v>
      </c>
      <c r="AM7" s="1">
        <v>1032.74</v>
      </c>
      <c r="AN7" s="1">
        <v>1016.99</v>
      </c>
      <c r="AO7" s="1">
        <v>999.23</v>
      </c>
      <c r="AP7" s="1">
        <v>984.69</v>
      </c>
      <c r="AQ7" s="1">
        <v>1006.19</v>
      </c>
      <c r="AR7" s="1">
        <v>1030.8800000000001</v>
      </c>
      <c r="AS7" s="1">
        <v>1041.92</v>
      </c>
      <c r="AT7" s="1">
        <v>1056.06</v>
      </c>
      <c r="AU7" s="1">
        <v>1080.1099999999999</v>
      </c>
      <c r="AV7" s="1">
        <v>1099.75</v>
      </c>
      <c r="AW7" s="1">
        <v>1121.8399999999999</v>
      </c>
      <c r="AX7" s="1">
        <v>1136.52</v>
      </c>
      <c r="AY7" s="1">
        <v>1157.74</v>
      </c>
      <c r="AZ7" s="1">
        <v>1171.3399999999999</v>
      </c>
      <c r="BA7" s="1">
        <v>1186.95</v>
      </c>
      <c r="BB7" s="1">
        <v>1215.33</v>
      </c>
      <c r="BC7" s="1">
        <v>1237.01</v>
      </c>
      <c r="BD7" s="1">
        <v>1266.8800000000001</v>
      </c>
    </row>
    <row r="8" spans="2:56" ht="17" thickTop="1" x14ac:dyDescent="0.45">
      <c r="F8" s="79"/>
      <c r="G8" s="1">
        <v>1223.48</v>
      </c>
      <c r="H8" s="1">
        <v>1232.58</v>
      </c>
      <c r="I8" s="1">
        <v>1246.76</v>
      </c>
      <c r="J8" s="1">
        <v>1232.26</v>
      </c>
      <c r="K8" s="1">
        <v>1229.6199999999999</v>
      </c>
      <c r="L8" s="1">
        <v>1256.8399999999999</v>
      </c>
      <c r="M8" s="1">
        <v>1251.79</v>
      </c>
      <c r="N8" s="1">
        <v>1247.81</v>
      </c>
      <c r="O8" s="1">
        <v>1257.3399999999999</v>
      </c>
      <c r="P8" s="1">
        <v>1270.8800000000001</v>
      </c>
      <c r="Q8" s="1">
        <v>1260.3900000000001</v>
      </c>
      <c r="R8" s="1">
        <v>1236.45</v>
      </c>
      <c r="S8" s="1">
        <v>1207.19</v>
      </c>
      <c r="T8" s="1">
        <v>1185.5899999999999</v>
      </c>
      <c r="U8" s="1">
        <v>1161.29</v>
      </c>
      <c r="V8" s="1">
        <v>1160.25</v>
      </c>
      <c r="W8" s="1">
        <v>1157.43</v>
      </c>
      <c r="X8" s="1" t="str">
        <v>-9999 Invalid</v>
      </c>
      <c r="Y8" s="1">
        <v>1149.98</v>
      </c>
      <c r="Z8" s="1">
        <v>1148.46</v>
      </c>
      <c r="AA8" s="1">
        <v>1142.9000000000001</v>
      </c>
      <c r="AB8" s="1">
        <v>1134.42</v>
      </c>
      <c r="AC8" s="1">
        <v>1131.67</v>
      </c>
      <c r="AD8" s="1">
        <v>1122.1300000000001</v>
      </c>
      <c r="AE8" s="1">
        <v>1110.53</v>
      </c>
      <c r="AF8" s="1">
        <v>1113.51</v>
      </c>
      <c r="AG8" s="1">
        <v>1108.95</v>
      </c>
      <c r="AH8" s="1">
        <v>1100.53</v>
      </c>
      <c r="AI8" s="1">
        <v>1086.1300000000001</v>
      </c>
      <c r="AJ8" s="1">
        <v>1077.29</v>
      </c>
      <c r="AK8" s="1">
        <v>1070.49</v>
      </c>
      <c r="AL8" s="1">
        <v>1064.8800000000001</v>
      </c>
      <c r="AM8" s="1">
        <v>1050.92</v>
      </c>
      <c r="AN8" s="1">
        <v>1030.67</v>
      </c>
      <c r="AO8" s="1">
        <v>1014.49</v>
      </c>
      <c r="AP8" s="1">
        <v>983.81</v>
      </c>
      <c r="AQ8" s="1">
        <v>977.61</v>
      </c>
      <c r="AR8" s="1">
        <v>999.6</v>
      </c>
      <c r="AS8" s="1">
        <v>1018.5</v>
      </c>
      <c r="AT8" s="1">
        <v>1033.42</v>
      </c>
      <c r="AU8" s="1">
        <v>1062.03</v>
      </c>
      <c r="AV8" s="1">
        <v>1087.73</v>
      </c>
      <c r="AW8" s="1">
        <v>1110.82</v>
      </c>
      <c r="AX8" s="1">
        <v>1126.98</v>
      </c>
      <c r="AY8" s="1">
        <v>1149.56</v>
      </c>
      <c r="AZ8" s="1">
        <v>1168.1199999999999</v>
      </c>
      <c r="BA8" s="1">
        <v>1189.1099999999999</v>
      </c>
      <c r="BB8" s="1">
        <v>1222.97</v>
      </c>
      <c r="BC8" s="1">
        <v>1240.55</v>
      </c>
      <c r="BD8" s="1">
        <v>1253.18</v>
      </c>
    </row>
    <row r="9" spans="2:56" x14ac:dyDescent="0.45">
      <c r="F9" s="79"/>
      <c r="G9" s="1">
        <v>1231.25</v>
      </c>
      <c r="H9" s="1">
        <v>1242.8900000000001</v>
      </c>
      <c r="I9" s="1">
        <v>1256.1500000000001</v>
      </c>
      <c r="J9" s="1">
        <v>1241.77</v>
      </c>
      <c r="K9" s="1">
        <v>1239.32</v>
      </c>
      <c r="L9" s="1">
        <v>1264.58</v>
      </c>
      <c r="M9" s="1" t="str">
        <v>-9999 Invalid</v>
      </c>
      <c r="N9" s="1">
        <v>1259.31</v>
      </c>
      <c r="O9" s="1">
        <v>1264.76</v>
      </c>
      <c r="P9" s="1">
        <v>1280.3</v>
      </c>
      <c r="Q9" s="1">
        <v>1264.6400000000001</v>
      </c>
      <c r="R9" s="1">
        <v>1242.6199999999999</v>
      </c>
      <c r="S9" s="1">
        <v>1213.44</v>
      </c>
      <c r="T9" s="1">
        <v>1191.96</v>
      </c>
      <c r="U9" s="1">
        <v>1179.72</v>
      </c>
      <c r="V9" s="1">
        <v>1177.56</v>
      </c>
      <c r="W9" s="1">
        <v>1172.5999999999999</v>
      </c>
      <c r="X9" s="1">
        <v>1164.26</v>
      </c>
      <c r="Y9" s="1">
        <v>1162.8800000000001</v>
      </c>
      <c r="Z9" s="1">
        <v>1156.4100000000001</v>
      </c>
      <c r="AA9" s="1">
        <v>1151.71</v>
      </c>
      <c r="AB9" s="1">
        <v>1146.6099999999999</v>
      </c>
      <c r="AC9" s="1" t="str">
        <v>-9999 Invalid</v>
      </c>
      <c r="AD9" s="1">
        <v>1133.06</v>
      </c>
      <c r="AE9" s="1">
        <v>1122.1099999999999</v>
      </c>
      <c r="AF9" s="1">
        <v>1124.77</v>
      </c>
      <c r="AG9" s="1">
        <v>1119.07</v>
      </c>
      <c r="AH9" s="1">
        <v>1109.21</v>
      </c>
      <c r="AI9" s="1">
        <v>1095.8399999999999</v>
      </c>
      <c r="AJ9" s="1">
        <v>1086.3399999999999</v>
      </c>
      <c r="AK9" s="1">
        <v>1079.74</v>
      </c>
      <c r="AL9" s="1">
        <v>1073.77</v>
      </c>
      <c r="AM9" s="1">
        <v>1058.21</v>
      </c>
      <c r="AN9" s="1">
        <v>1038.07</v>
      </c>
      <c r="AO9" s="1">
        <v>1018.49</v>
      </c>
      <c r="AP9" s="1">
        <v>985.94</v>
      </c>
      <c r="AQ9" s="1">
        <v>973</v>
      </c>
      <c r="AR9" s="1">
        <v>982.78</v>
      </c>
      <c r="AS9" s="1">
        <v>996.52</v>
      </c>
      <c r="AT9" s="1">
        <v>1024.22</v>
      </c>
      <c r="AU9" s="1">
        <v>1051.78</v>
      </c>
      <c r="AV9" s="1">
        <v>1075.28</v>
      </c>
      <c r="AW9" s="1">
        <v>1097.96</v>
      </c>
      <c r="AX9" s="1">
        <v>1114.3800000000001</v>
      </c>
      <c r="AY9" s="1">
        <v>1140.27</v>
      </c>
      <c r="AZ9" s="1">
        <v>1160.77</v>
      </c>
      <c r="BA9" s="1">
        <v>1187.4100000000001</v>
      </c>
      <c r="BB9" s="1">
        <v>1216.8900000000001</v>
      </c>
      <c r="BC9" s="1">
        <v>1223.23</v>
      </c>
      <c r="BD9" s="1" t="str">
        <v>-9999 Invalid</v>
      </c>
    </row>
    <row r="10" spans="2:56" x14ac:dyDescent="0.45">
      <c r="B10" s="80" t="s">
        <v>23</v>
      </c>
      <c r="F10" s="79"/>
      <c r="G10" s="1">
        <v>1241.51</v>
      </c>
      <c r="H10" s="1">
        <v>1257.17</v>
      </c>
      <c r="I10" s="1">
        <v>1266.49</v>
      </c>
      <c r="J10" s="1">
        <v>1258.71</v>
      </c>
      <c r="K10" s="1">
        <v>1251.4000000000001</v>
      </c>
      <c r="L10" s="1">
        <v>1272.72</v>
      </c>
      <c r="M10" s="1">
        <v>1280.23</v>
      </c>
      <c r="N10" s="1">
        <v>1277.79</v>
      </c>
      <c r="O10" s="1">
        <v>1282.4000000000001</v>
      </c>
      <c r="P10" s="1">
        <v>1287.5</v>
      </c>
      <c r="Q10" s="1">
        <v>1271.1400000000001</v>
      </c>
      <c r="R10" s="1">
        <v>1250.8399999999999</v>
      </c>
      <c r="S10" s="1">
        <v>1222.08</v>
      </c>
      <c r="T10" s="1">
        <v>1214.1600000000001</v>
      </c>
      <c r="U10" s="1">
        <v>1208.1199999999999</v>
      </c>
      <c r="V10" s="1">
        <v>1200.42</v>
      </c>
      <c r="W10" s="1">
        <v>1194.94</v>
      </c>
      <c r="X10" s="1">
        <v>1185.92</v>
      </c>
      <c r="Y10" s="1">
        <v>1183.56</v>
      </c>
      <c r="Z10" s="1">
        <v>1176.8499999999999</v>
      </c>
      <c r="AA10" s="1">
        <v>1171.27</v>
      </c>
      <c r="AB10" s="1">
        <v>1162.23</v>
      </c>
      <c r="AC10" s="1">
        <v>1156.06</v>
      </c>
      <c r="AD10" s="1">
        <v>1146</v>
      </c>
      <c r="AE10" s="1">
        <v>1138.71</v>
      </c>
      <c r="AF10" s="1">
        <v>1136.97</v>
      </c>
      <c r="AG10" s="1">
        <v>1131.3699999999999</v>
      </c>
      <c r="AH10" s="1">
        <v>1121.95</v>
      </c>
      <c r="AI10" s="1" t="str">
        <v>-9999 Invalid</v>
      </c>
      <c r="AJ10" s="1">
        <v>1098.78</v>
      </c>
      <c r="AK10" s="1">
        <v>1088.9000000000001</v>
      </c>
      <c r="AL10" s="1">
        <v>1077.07</v>
      </c>
      <c r="AM10" s="1">
        <v>1055.97</v>
      </c>
      <c r="AN10" s="1">
        <v>1028.33</v>
      </c>
      <c r="AO10" s="1">
        <v>1005.45</v>
      </c>
      <c r="AP10" s="1" t="str">
        <v>-9999 Invalid</v>
      </c>
      <c r="AQ10" s="1">
        <v>966.82</v>
      </c>
      <c r="AR10" s="1">
        <v>969.46</v>
      </c>
      <c r="AS10" s="1">
        <v>983.72</v>
      </c>
      <c r="AT10" s="1">
        <v>1011.56</v>
      </c>
      <c r="AU10" s="1">
        <v>1038.28</v>
      </c>
      <c r="AV10" s="1">
        <v>1055.48</v>
      </c>
      <c r="AW10" s="1">
        <v>1076.04</v>
      </c>
      <c r="AX10" s="1">
        <v>1099.3399999999999</v>
      </c>
      <c r="AY10" s="1">
        <v>1125.75</v>
      </c>
      <c r="AZ10" s="1">
        <v>1147.21</v>
      </c>
      <c r="BA10" s="1">
        <v>1167.95</v>
      </c>
      <c r="BB10" s="1">
        <v>1182.47</v>
      </c>
      <c r="BC10" s="1">
        <v>1203.6300000000001</v>
      </c>
      <c r="BD10" s="1">
        <v>1233.1099999999999</v>
      </c>
    </row>
    <row r="11" spans="2:56" x14ac:dyDescent="0.45">
      <c r="F11" s="79"/>
      <c r="G11" s="1">
        <v>1253.17</v>
      </c>
      <c r="H11" s="1" t="str">
        <v>-9999 Invalid</v>
      </c>
      <c r="I11" s="1">
        <v>1280.49</v>
      </c>
      <c r="J11" s="1">
        <v>1273.77</v>
      </c>
      <c r="K11" s="1">
        <v>1265.5999999999999</v>
      </c>
      <c r="L11" s="1">
        <v>1282.78</v>
      </c>
      <c r="M11" s="1">
        <v>1295.29</v>
      </c>
      <c r="N11" s="1">
        <v>1296.1099999999999</v>
      </c>
      <c r="O11" s="1">
        <v>1296.92</v>
      </c>
      <c r="P11" s="1">
        <v>1295.48</v>
      </c>
      <c r="Q11" s="1">
        <v>1277.1400000000001</v>
      </c>
      <c r="R11" s="1">
        <v>1255.94</v>
      </c>
      <c r="S11" s="1">
        <v>1241.04</v>
      </c>
      <c r="T11" s="1">
        <v>1237.98</v>
      </c>
      <c r="U11" s="1">
        <v>1233.44</v>
      </c>
      <c r="V11" s="1">
        <v>1224.96</v>
      </c>
      <c r="W11" s="1">
        <v>1224.42</v>
      </c>
      <c r="X11" s="1">
        <v>1211.24</v>
      </c>
      <c r="Y11" s="1">
        <v>1205.8800000000001</v>
      </c>
      <c r="Z11" s="1">
        <v>1195.19</v>
      </c>
      <c r="AA11" s="1">
        <v>1187.53</v>
      </c>
      <c r="AB11" s="1">
        <v>1178.6500000000001</v>
      </c>
      <c r="AC11" s="1">
        <v>1172.58</v>
      </c>
      <c r="AD11" s="1">
        <v>1160.04</v>
      </c>
      <c r="AE11" s="1">
        <v>1151.73</v>
      </c>
      <c r="AF11" s="1">
        <v>1145.8900000000001</v>
      </c>
      <c r="AG11" s="1">
        <v>1135.19</v>
      </c>
      <c r="AH11" s="1">
        <v>1124.8499999999999</v>
      </c>
      <c r="AI11" s="1">
        <v>1111</v>
      </c>
      <c r="AJ11" s="1">
        <v>1102.02</v>
      </c>
      <c r="AK11" s="1">
        <v>1082.1199999999999</v>
      </c>
      <c r="AL11" s="1">
        <v>1066.33</v>
      </c>
      <c r="AM11" s="1">
        <v>1038.81</v>
      </c>
      <c r="AN11" s="1">
        <v>1006.45</v>
      </c>
      <c r="AO11" s="1">
        <v>986.65</v>
      </c>
      <c r="AP11" s="1">
        <v>962.06</v>
      </c>
      <c r="AQ11" s="1">
        <v>966.86</v>
      </c>
      <c r="AR11" s="1">
        <v>984.06</v>
      </c>
      <c r="AS11" s="1">
        <v>999.94</v>
      </c>
      <c r="AT11" s="1">
        <v>1016.34</v>
      </c>
      <c r="AU11" s="1">
        <v>1033.76</v>
      </c>
      <c r="AV11" s="1">
        <v>1048.6400000000001</v>
      </c>
      <c r="AW11" s="1">
        <v>1072.58</v>
      </c>
      <c r="AX11" s="1">
        <v>1092.82</v>
      </c>
      <c r="AY11" s="1">
        <v>1117.6300000000001</v>
      </c>
      <c r="AZ11" s="1">
        <v>1133.67</v>
      </c>
      <c r="BA11" s="1">
        <v>1160.6500000000001</v>
      </c>
      <c r="BB11" s="1">
        <v>1187.95</v>
      </c>
      <c r="BC11" s="1">
        <v>1213.17</v>
      </c>
      <c r="BD11" s="1">
        <v>1241.8499999999999</v>
      </c>
    </row>
    <row r="12" spans="2:56" x14ac:dyDescent="0.45">
      <c r="B12" s="83" t="str" cm="1">
        <f t="array" ref="B12:E15">Qualityλ(DEM_input)</f>
        <v>Array</v>
      </c>
      <c r="C12" s="83" t="str">
        <v>All numbers</v>
      </c>
      <c r="D12" s="83" t="str">
        <v>Square Grid?</v>
      </c>
      <c r="E12" s="83" t="str">
        <v>'No Data' entries</v>
      </c>
      <c r="F12" s="79"/>
      <c r="G12" s="1">
        <v>1267.58</v>
      </c>
      <c r="H12" s="1">
        <v>1278.4100000000001</v>
      </c>
      <c r="I12" s="1">
        <v>1292.19</v>
      </c>
      <c r="J12" s="1">
        <v>1288.45</v>
      </c>
      <c r="K12" s="1">
        <v>1282.31</v>
      </c>
      <c r="L12" s="1">
        <v>1289.83</v>
      </c>
      <c r="M12" s="1">
        <v>1303.4000000000001</v>
      </c>
      <c r="N12" s="1">
        <v>1314.3</v>
      </c>
      <c r="O12" s="1">
        <v>1312.56</v>
      </c>
      <c r="P12" s="1">
        <v>1301.58</v>
      </c>
      <c r="Q12" s="1">
        <v>1282.3</v>
      </c>
      <c r="R12" s="1">
        <v>1268.94</v>
      </c>
      <c r="S12" s="1">
        <v>1263.9000000000001</v>
      </c>
      <c r="T12" s="1">
        <v>1259.81</v>
      </c>
      <c r="U12" s="1">
        <v>1252.97</v>
      </c>
      <c r="V12" s="1">
        <v>1249.1400000000001</v>
      </c>
      <c r="W12" s="1">
        <v>1244.76</v>
      </c>
      <c r="X12" s="1">
        <v>1232.95</v>
      </c>
      <c r="Y12" s="1">
        <v>1223.19</v>
      </c>
      <c r="Z12" s="1">
        <v>1209.73</v>
      </c>
      <c r="AA12" s="1">
        <v>1199.57</v>
      </c>
      <c r="AB12" s="1">
        <v>1184.21</v>
      </c>
      <c r="AC12" s="1">
        <v>1177.03</v>
      </c>
      <c r="AD12" s="1">
        <v>1166.99</v>
      </c>
      <c r="AE12" s="1">
        <v>1153.44</v>
      </c>
      <c r="AF12" s="1">
        <v>1143.1600000000001</v>
      </c>
      <c r="AG12" s="1" t="str">
        <v>-9999 Invalid</v>
      </c>
      <c r="AH12" s="1">
        <v>1116.99</v>
      </c>
      <c r="AI12" s="1">
        <v>1102.6600000000001</v>
      </c>
      <c r="AJ12" s="1">
        <v>1088.26</v>
      </c>
      <c r="AK12" s="1">
        <v>1070.1600000000001</v>
      </c>
      <c r="AL12" s="1">
        <v>1056.93</v>
      </c>
      <c r="AM12" s="1">
        <v>1025.45</v>
      </c>
      <c r="AN12" s="1">
        <v>990.41</v>
      </c>
      <c r="AO12" s="1">
        <v>963.23</v>
      </c>
      <c r="AP12" s="1">
        <v>962.23</v>
      </c>
      <c r="AQ12" s="1">
        <v>982.51</v>
      </c>
      <c r="AR12" s="1">
        <v>994.74</v>
      </c>
      <c r="AS12" s="1">
        <v>1008.82</v>
      </c>
      <c r="AT12" s="1">
        <v>1029.26</v>
      </c>
      <c r="AU12" s="1">
        <v>1048.57</v>
      </c>
      <c r="AV12" s="1">
        <v>1061.07</v>
      </c>
      <c r="AW12" s="1">
        <v>1079.3399999999999</v>
      </c>
      <c r="AX12" s="1">
        <v>1097.8599999999999</v>
      </c>
      <c r="AY12" s="1">
        <v>1125.6400000000001</v>
      </c>
      <c r="AZ12" s="1">
        <v>1144.78</v>
      </c>
      <c r="BA12" s="1">
        <v>1168.44</v>
      </c>
      <c r="BB12" s="1">
        <v>1199.7</v>
      </c>
      <c r="BC12" s="1">
        <v>1227.1199999999999</v>
      </c>
      <c r="BD12" s="1">
        <v>1246.5</v>
      </c>
    </row>
    <row r="13" spans="2:56" x14ac:dyDescent="0.45">
      <c r="B13" s="6" t="str">
        <v>þ</v>
      </c>
      <c r="C13" s="6" t="str">
        <v>x</v>
      </c>
      <c r="D13" s="6" t="str">
        <v>þ</v>
      </c>
      <c r="E13" s="83">
        <v>88</v>
      </c>
      <c r="F13" s="79"/>
      <c r="G13" s="1">
        <v>1283.04</v>
      </c>
      <c r="H13" s="1">
        <v>1286.5899999999999</v>
      </c>
      <c r="I13" s="1">
        <v>1301.83</v>
      </c>
      <c r="J13" s="1">
        <v>1303.27</v>
      </c>
      <c r="K13" s="1">
        <v>1300.81</v>
      </c>
      <c r="L13" s="1">
        <v>1306.73</v>
      </c>
      <c r="M13" s="1">
        <v>1320.4</v>
      </c>
      <c r="N13" s="1">
        <v>1335.54</v>
      </c>
      <c r="O13" s="1">
        <v>1329.52</v>
      </c>
      <c r="P13" s="1">
        <v>1307.08</v>
      </c>
      <c r="Q13" s="1">
        <v>1290.3399999999999</v>
      </c>
      <c r="R13" s="1">
        <v>1283.3399999999999</v>
      </c>
      <c r="S13" s="1">
        <v>1271.02</v>
      </c>
      <c r="T13" s="1">
        <v>1265.21</v>
      </c>
      <c r="U13" s="1" t="str">
        <v>-9999 Invalid</v>
      </c>
      <c r="V13" s="1">
        <v>1260.98</v>
      </c>
      <c r="W13" s="1">
        <v>1257.28</v>
      </c>
      <c r="X13" s="1">
        <v>1242.01</v>
      </c>
      <c r="Y13" s="1">
        <v>1222.71</v>
      </c>
      <c r="Z13" s="1">
        <v>1198.69</v>
      </c>
      <c r="AA13" s="1">
        <v>1185.23</v>
      </c>
      <c r="AB13" s="1">
        <v>1171.3900000000001</v>
      </c>
      <c r="AC13" s="1">
        <v>1162.49</v>
      </c>
      <c r="AD13" s="1">
        <v>1153.27</v>
      </c>
      <c r="AE13" s="1">
        <v>1144.78</v>
      </c>
      <c r="AF13" s="1">
        <v>1133.6199999999999</v>
      </c>
      <c r="AG13" s="1">
        <v>1115.6500000000001</v>
      </c>
      <c r="AH13" s="1">
        <v>1106.27</v>
      </c>
      <c r="AI13" s="1" t="str">
        <v>-9999 Invalid</v>
      </c>
      <c r="AJ13" s="1">
        <v>1075.82</v>
      </c>
      <c r="AK13" s="1">
        <v>1059.78</v>
      </c>
      <c r="AL13" s="1">
        <v>1044.33</v>
      </c>
      <c r="AM13" s="1">
        <v>1013.61</v>
      </c>
      <c r="AN13" s="1">
        <v>981.07</v>
      </c>
      <c r="AO13" s="1">
        <v>958.81</v>
      </c>
      <c r="AP13" s="1">
        <v>968.77</v>
      </c>
      <c r="AQ13" s="1">
        <v>992.31</v>
      </c>
      <c r="AR13" s="1">
        <v>1007.5</v>
      </c>
      <c r="AS13" s="1">
        <v>1018.92</v>
      </c>
      <c r="AT13" s="1">
        <v>1040.6199999999999</v>
      </c>
      <c r="AU13" s="1">
        <v>1061.03</v>
      </c>
      <c r="AV13" s="1">
        <v>1074.83</v>
      </c>
      <c r="AW13" s="1">
        <v>1093.3</v>
      </c>
      <c r="AX13" s="1">
        <v>1111.5999999999999</v>
      </c>
      <c r="AY13" s="1">
        <v>1133.7</v>
      </c>
      <c r="AZ13" s="1">
        <v>1151.44</v>
      </c>
      <c r="BA13" s="1">
        <v>1179.24</v>
      </c>
      <c r="BB13" s="1">
        <v>1215.1199999999999</v>
      </c>
      <c r="BC13" s="1">
        <v>1234.74</v>
      </c>
      <c r="BD13" s="1">
        <v>1230.8399999999999</v>
      </c>
    </row>
    <row r="14" spans="2:56" x14ac:dyDescent="0.45">
      <c r="B14" s="83" t="str">
        <v>Min Elevation</v>
      </c>
      <c r="C14" s="83" t="str">
        <v>Max Elevation</v>
      </c>
      <c r="D14" s="83" t="str">
        <v>Avg Elevation</v>
      </c>
      <c r="E14" s="83" t="str">
        <v>Elevation Entries</v>
      </c>
      <c r="F14" s="79"/>
      <c r="G14" s="1">
        <v>1300.05</v>
      </c>
      <c r="H14" s="1">
        <v>1300.33</v>
      </c>
      <c r="I14" s="1">
        <v>1311.93</v>
      </c>
      <c r="J14" s="1">
        <v>1320.73</v>
      </c>
      <c r="K14" s="1">
        <v>1321.5</v>
      </c>
      <c r="L14" s="1">
        <v>1329.88</v>
      </c>
      <c r="M14" s="1">
        <v>1342.05</v>
      </c>
      <c r="N14" s="1">
        <v>1342.67</v>
      </c>
      <c r="O14" s="1">
        <v>1321.15</v>
      </c>
      <c r="P14" s="1" t="str">
        <v>-9999 Invalid</v>
      </c>
      <c r="Q14" s="1">
        <v>1288.19</v>
      </c>
      <c r="R14" s="1">
        <v>1276.67</v>
      </c>
      <c r="S14" s="1">
        <v>1256.95</v>
      </c>
      <c r="T14" s="1">
        <v>1249.52</v>
      </c>
      <c r="U14" s="1" t="str">
        <v>-9999 Invalid</v>
      </c>
      <c r="V14" s="1">
        <v>1252.3599999999999</v>
      </c>
      <c r="W14" s="1">
        <v>1248.0999999999999</v>
      </c>
      <c r="X14" s="1">
        <v>1231.44</v>
      </c>
      <c r="Y14" s="1">
        <v>1216.0999999999999</v>
      </c>
      <c r="Z14" s="1">
        <v>1190.27</v>
      </c>
      <c r="AA14" s="1">
        <v>1173.5899999999999</v>
      </c>
      <c r="AB14" s="1">
        <v>1155.03</v>
      </c>
      <c r="AC14" s="1">
        <v>1148.0999999999999</v>
      </c>
      <c r="AD14" s="1">
        <v>1138.78</v>
      </c>
      <c r="AE14" s="1">
        <v>1133.8399999999999</v>
      </c>
      <c r="AF14" s="1">
        <v>1126.24</v>
      </c>
      <c r="AG14" s="1">
        <v>1113.04</v>
      </c>
      <c r="AH14" s="1">
        <v>1099.22</v>
      </c>
      <c r="AI14" s="1">
        <v>1077.51</v>
      </c>
      <c r="AJ14" s="1">
        <v>1065.4100000000001</v>
      </c>
      <c r="AK14" s="1">
        <v>1044.79</v>
      </c>
      <c r="AL14" s="1">
        <v>1020.57</v>
      </c>
      <c r="AM14" s="1">
        <v>995.89</v>
      </c>
      <c r="AN14" s="1">
        <v>961.93</v>
      </c>
      <c r="AO14" s="1">
        <v>954.47</v>
      </c>
      <c r="AP14" s="1">
        <v>975.59</v>
      </c>
      <c r="AQ14" s="1">
        <v>998.83</v>
      </c>
      <c r="AR14" s="1">
        <v>1019.18</v>
      </c>
      <c r="AS14" s="1">
        <v>1036.3399999999999</v>
      </c>
      <c r="AT14" s="1">
        <v>1050.96</v>
      </c>
      <c r="AU14" s="1">
        <v>1071.03</v>
      </c>
      <c r="AV14" s="1">
        <v>1084.43</v>
      </c>
      <c r="AW14" s="1">
        <v>1107.6099999999999</v>
      </c>
      <c r="AX14" s="1">
        <v>1123.83</v>
      </c>
      <c r="AY14" s="1">
        <v>1147.8</v>
      </c>
      <c r="AZ14" s="1">
        <v>1165.44</v>
      </c>
      <c r="BA14" s="1">
        <v>1192.0899999999999</v>
      </c>
      <c r="BB14" s="1">
        <v>1220.01</v>
      </c>
      <c r="BC14" s="1">
        <v>1218.9100000000001</v>
      </c>
      <c r="BD14" s="1">
        <v>1211.6400000000001</v>
      </c>
    </row>
    <row r="15" spans="2:56" x14ac:dyDescent="0.45">
      <c r="B15" s="84">
        <v>746.89</v>
      </c>
      <c r="C15" s="84">
        <v>1359.09</v>
      </c>
      <c r="D15" s="84">
        <v>1063.1508208955217</v>
      </c>
      <c r="E15" s="83">
        <v>2412</v>
      </c>
      <c r="F15" s="79"/>
      <c r="G15" s="1">
        <v>1318.03</v>
      </c>
      <c r="H15" s="1">
        <v>1320.33</v>
      </c>
      <c r="I15" s="1" t="str">
        <v>-9999 Invalid</v>
      </c>
      <c r="J15" s="1">
        <v>1341.91</v>
      </c>
      <c r="K15" s="1">
        <v>1343.82</v>
      </c>
      <c r="L15" s="1">
        <v>1345.62</v>
      </c>
      <c r="M15" s="1">
        <v>1338.83</v>
      </c>
      <c r="N15" s="1">
        <v>1320.75</v>
      </c>
      <c r="O15" s="1">
        <v>1302.07</v>
      </c>
      <c r="P15" s="1">
        <v>1289.9100000000001</v>
      </c>
      <c r="Q15" s="1">
        <v>1270.3499999999999</v>
      </c>
      <c r="R15" s="1">
        <v>1256.3499999999999</v>
      </c>
      <c r="S15" s="1">
        <v>1245.9100000000001</v>
      </c>
      <c r="T15" s="1">
        <v>1232.46</v>
      </c>
      <c r="U15" s="1">
        <v>1232.32</v>
      </c>
      <c r="V15" s="1">
        <v>1243.68</v>
      </c>
      <c r="W15" s="1">
        <v>1241.5999999999999</v>
      </c>
      <c r="X15" s="1">
        <v>1225.56</v>
      </c>
      <c r="Y15" s="1">
        <v>1208.9000000000001</v>
      </c>
      <c r="Z15" s="1">
        <v>1182.77</v>
      </c>
      <c r="AA15" s="1">
        <v>1162.25</v>
      </c>
      <c r="AB15" s="1">
        <v>1141.1500000000001</v>
      </c>
      <c r="AC15" s="1">
        <v>1132.22</v>
      </c>
      <c r="AD15" s="1">
        <v>1123.58</v>
      </c>
      <c r="AE15" s="1">
        <v>1120.1400000000001</v>
      </c>
      <c r="AF15" s="1">
        <v>1115.6600000000001</v>
      </c>
      <c r="AG15" s="1">
        <v>1109.0999999999999</v>
      </c>
      <c r="AH15" s="1">
        <v>1097</v>
      </c>
      <c r="AI15" s="1">
        <v>1073.51</v>
      </c>
      <c r="AJ15" s="1">
        <v>1058.1300000000001</v>
      </c>
      <c r="AK15" s="1">
        <v>1026.51</v>
      </c>
      <c r="AL15" s="1">
        <v>999.75</v>
      </c>
      <c r="AM15" s="1">
        <v>971.55</v>
      </c>
      <c r="AN15" s="1">
        <v>949.17</v>
      </c>
      <c r="AO15" s="1">
        <v>958.99</v>
      </c>
      <c r="AP15" s="1">
        <v>985.99</v>
      </c>
      <c r="AQ15" s="1">
        <v>1004.47</v>
      </c>
      <c r="AR15" s="1">
        <v>1027.68</v>
      </c>
      <c r="AS15" s="1">
        <v>1049.22</v>
      </c>
      <c r="AT15" s="1">
        <v>1065.4000000000001</v>
      </c>
      <c r="AU15" s="1">
        <v>1082.05</v>
      </c>
      <c r="AV15" s="1">
        <v>1095.25</v>
      </c>
      <c r="AW15" s="1">
        <v>1119.01</v>
      </c>
      <c r="AX15" s="1">
        <v>1136.9100000000001</v>
      </c>
      <c r="AY15" s="1">
        <v>1161.32</v>
      </c>
      <c r="AZ15" s="1">
        <v>1182.1600000000001</v>
      </c>
      <c r="BA15" s="1">
        <v>1202.53</v>
      </c>
      <c r="BB15" s="1">
        <v>1210.99</v>
      </c>
      <c r="BC15" s="1">
        <v>1205.3499999999999</v>
      </c>
      <c r="BD15" s="1" t="str">
        <v>-9999 Invalid</v>
      </c>
    </row>
    <row r="16" spans="2:56" x14ac:dyDescent="0.45">
      <c r="F16" s="79"/>
      <c r="G16" s="1">
        <v>1334.87</v>
      </c>
      <c r="H16" s="1">
        <v>1339.25</v>
      </c>
      <c r="I16" s="1">
        <v>1350.25</v>
      </c>
      <c r="J16" s="1">
        <v>1359.09</v>
      </c>
      <c r="K16" s="1">
        <v>1352.46</v>
      </c>
      <c r="L16" s="1">
        <v>1331.2</v>
      </c>
      <c r="M16" s="1">
        <v>1319.89</v>
      </c>
      <c r="N16" s="1">
        <v>1296.57</v>
      </c>
      <c r="O16" s="1">
        <v>1278.3900000000001</v>
      </c>
      <c r="P16" s="1">
        <v>1268.77</v>
      </c>
      <c r="Q16" s="1">
        <v>1252.83</v>
      </c>
      <c r="R16" s="1">
        <v>1242.03</v>
      </c>
      <c r="S16" s="1">
        <v>1233.77</v>
      </c>
      <c r="T16" s="1">
        <v>1225.3</v>
      </c>
      <c r="U16" s="1">
        <v>1219.3599999999999</v>
      </c>
      <c r="V16" s="1">
        <v>1234.3800000000001</v>
      </c>
      <c r="W16" s="1">
        <v>1235.6600000000001</v>
      </c>
      <c r="X16" s="1">
        <v>1218.98</v>
      </c>
      <c r="Y16" s="1">
        <v>1201.6199999999999</v>
      </c>
      <c r="Z16" s="1">
        <v>1173.49</v>
      </c>
      <c r="AA16" s="1">
        <v>1155.45</v>
      </c>
      <c r="AB16" s="1">
        <v>1134.55</v>
      </c>
      <c r="AC16" s="1">
        <v>1119.78</v>
      </c>
      <c r="AD16" s="1">
        <v>1107.46</v>
      </c>
      <c r="AE16" s="1">
        <v>1101.74</v>
      </c>
      <c r="AF16" s="1">
        <v>1099.8800000000001</v>
      </c>
      <c r="AG16" s="1">
        <v>1093.24</v>
      </c>
      <c r="AH16" s="1">
        <v>1083.9000000000001</v>
      </c>
      <c r="AI16" s="1">
        <v>1065.6099999999999</v>
      </c>
      <c r="AJ16" s="1">
        <v>1048.29</v>
      </c>
      <c r="AK16" s="1">
        <v>1014.23</v>
      </c>
      <c r="AL16" s="1">
        <v>987.29</v>
      </c>
      <c r="AM16" s="1">
        <v>953.35</v>
      </c>
      <c r="AN16" s="1">
        <v>950.85</v>
      </c>
      <c r="AO16" s="1">
        <v>973.99</v>
      </c>
      <c r="AP16" s="1">
        <v>994.35</v>
      </c>
      <c r="AQ16" s="1">
        <v>1009.15</v>
      </c>
      <c r="AR16" s="1">
        <v>1035.48</v>
      </c>
      <c r="AS16" s="1">
        <v>1053.82</v>
      </c>
      <c r="AT16" s="1">
        <v>1072.8</v>
      </c>
      <c r="AU16" s="1">
        <v>1091.45</v>
      </c>
      <c r="AV16" s="1">
        <v>1110.73</v>
      </c>
      <c r="AW16" s="1">
        <v>1131.97</v>
      </c>
      <c r="AX16" s="1">
        <v>1150.01</v>
      </c>
      <c r="AY16" s="1">
        <v>1175.8800000000001</v>
      </c>
      <c r="AZ16" s="1">
        <v>1192.8399999999999</v>
      </c>
      <c r="BA16" s="1">
        <v>1200.81</v>
      </c>
      <c r="BB16" s="1" t="str">
        <v>-9999 Invalid</v>
      </c>
      <c r="BC16" s="1">
        <v>1185.71</v>
      </c>
      <c r="BD16" s="1">
        <v>1173.06</v>
      </c>
    </row>
    <row r="17" spans="1:56" ht="17" thickBot="1" x14ac:dyDescent="0.5">
      <c r="A17" s="38"/>
      <c r="B17" s="85"/>
      <c r="C17" s="85"/>
      <c r="D17" s="85"/>
      <c r="E17" s="85"/>
      <c r="F17" s="86"/>
      <c r="G17" s="1">
        <v>1320.4</v>
      </c>
      <c r="H17" s="1">
        <v>1327.67</v>
      </c>
      <c r="I17" s="1">
        <v>1341.47</v>
      </c>
      <c r="J17" s="1">
        <v>1355.21</v>
      </c>
      <c r="K17" s="1">
        <v>1342.57</v>
      </c>
      <c r="L17" s="1">
        <v>1310.47</v>
      </c>
      <c r="M17" s="1">
        <v>1289.33</v>
      </c>
      <c r="N17" s="1">
        <v>1274.77</v>
      </c>
      <c r="O17" s="1">
        <v>1255.53</v>
      </c>
      <c r="P17" s="1">
        <v>1247.4100000000001</v>
      </c>
      <c r="Q17" s="1">
        <v>1239.93</v>
      </c>
      <c r="R17" s="1">
        <v>1231.27</v>
      </c>
      <c r="S17" s="1">
        <v>1219.19</v>
      </c>
      <c r="T17" s="1">
        <v>1215.3499999999999</v>
      </c>
      <c r="U17" s="1">
        <v>1208.51</v>
      </c>
      <c r="V17" s="1">
        <v>1223.3800000000001</v>
      </c>
      <c r="W17" s="1">
        <v>1230.08</v>
      </c>
      <c r="X17" s="1">
        <v>1213.55</v>
      </c>
      <c r="Y17" s="1">
        <v>1195.53</v>
      </c>
      <c r="Z17" s="1">
        <v>1167.8</v>
      </c>
      <c r="AA17" s="1">
        <v>1151.3800000000001</v>
      </c>
      <c r="AB17" s="1">
        <v>1131.22</v>
      </c>
      <c r="AC17" s="1">
        <v>1115.95</v>
      </c>
      <c r="AD17" s="1">
        <v>1090.1500000000001</v>
      </c>
      <c r="AE17" s="1">
        <v>1078.24</v>
      </c>
      <c r="AF17" s="1">
        <v>1080.22</v>
      </c>
      <c r="AG17" s="1">
        <v>1077.01</v>
      </c>
      <c r="AH17" s="1">
        <v>1071.49</v>
      </c>
      <c r="AI17" s="1">
        <v>1054.4000000000001</v>
      </c>
      <c r="AJ17" s="1">
        <v>1035.46</v>
      </c>
      <c r="AK17" s="1">
        <v>997.42</v>
      </c>
      <c r="AL17" s="1">
        <v>973.28</v>
      </c>
      <c r="AM17" s="1">
        <v>946.46</v>
      </c>
      <c r="AN17" s="1">
        <v>957.02</v>
      </c>
      <c r="AO17" s="1">
        <v>984.14</v>
      </c>
      <c r="AP17" s="1">
        <v>1004.23</v>
      </c>
      <c r="AQ17" s="1">
        <v>1021.19</v>
      </c>
      <c r="AR17" s="1">
        <v>1042.77</v>
      </c>
      <c r="AS17" s="1">
        <v>1058.6500000000001</v>
      </c>
      <c r="AT17" s="1">
        <v>1077.73</v>
      </c>
      <c r="AU17" s="1">
        <v>1099.9100000000001</v>
      </c>
      <c r="AV17" s="1">
        <v>1118.4100000000001</v>
      </c>
      <c r="AW17" s="1">
        <v>1142.73</v>
      </c>
      <c r="AX17" s="1">
        <v>1161.01</v>
      </c>
      <c r="AY17" s="1">
        <v>1185.71</v>
      </c>
      <c r="AZ17" s="1">
        <v>1191.9100000000001</v>
      </c>
      <c r="BA17" s="1" t="str">
        <v>-9999 Invalid</v>
      </c>
      <c r="BB17" s="1">
        <v>1175.27</v>
      </c>
      <c r="BC17" s="1">
        <v>1167.25</v>
      </c>
      <c r="BD17" s="1">
        <v>1157.06</v>
      </c>
    </row>
    <row r="18" spans="1:56" ht="17" thickTop="1" x14ac:dyDescent="0.45">
      <c r="F18" s="79"/>
      <c r="G18" s="1">
        <v>1295.8399999999999</v>
      </c>
      <c r="H18" s="1">
        <v>1307.95</v>
      </c>
      <c r="I18" s="1">
        <v>1323.01</v>
      </c>
      <c r="J18" s="1">
        <v>1346.61</v>
      </c>
      <c r="K18" s="1">
        <v>1338.87</v>
      </c>
      <c r="L18" s="1">
        <v>1311.19</v>
      </c>
      <c r="M18" s="1">
        <v>1286.8900000000001</v>
      </c>
      <c r="N18" s="1">
        <v>1257.6099999999999</v>
      </c>
      <c r="O18" s="1">
        <v>1236.5899999999999</v>
      </c>
      <c r="P18" s="1">
        <v>1228.8900000000001</v>
      </c>
      <c r="Q18" s="1">
        <v>1220.0899999999999</v>
      </c>
      <c r="R18" s="1">
        <v>1216.9100000000001</v>
      </c>
      <c r="S18" s="1">
        <v>1205.83</v>
      </c>
      <c r="T18" s="1">
        <v>1199.79</v>
      </c>
      <c r="U18" s="1">
        <v>1200.01</v>
      </c>
      <c r="V18" s="1">
        <v>1214.54</v>
      </c>
      <c r="W18" s="1">
        <v>1220.52</v>
      </c>
      <c r="X18" s="1">
        <v>1209.33</v>
      </c>
      <c r="Y18" s="1">
        <v>1195.45</v>
      </c>
      <c r="Z18" s="1">
        <v>1167</v>
      </c>
      <c r="AA18" s="1">
        <v>1149.22</v>
      </c>
      <c r="AB18" s="1">
        <v>1127.06</v>
      </c>
      <c r="AC18" s="1">
        <v>1110.4100000000001</v>
      </c>
      <c r="AD18" s="1">
        <v>1088.31</v>
      </c>
      <c r="AE18" s="1">
        <v>1067.3</v>
      </c>
      <c r="AF18" s="1">
        <v>1060.08</v>
      </c>
      <c r="AG18" s="1">
        <v>1057.53</v>
      </c>
      <c r="AH18" s="1">
        <v>1055.29</v>
      </c>
      <c r="AI18" s="1">
        <v>1039.3</v>
      </c>
      <c r="AJ18" s="1">
        <v>1015.28</v>
      </c>
      <c r="AK18" s="1">
        <v>982.08</v>
      </c>
      <c r="AL18" s="1">
        <v>959.54</v>
      </c>
      <c r="AM18" s="1">
        <v>940.7</v>
      </c>
      <c r="AN18" s="1">
        <v>969.1</v>
      </c>
      <c r="AO18" s="1">
        <v>989.14</v>
      </c>
      <c r="AP18" s="1">
        <v>1008.71</v>
      </c>
      <c r="AQ18" s="1">
        <v>1028.0899999999999</v>
      </c>
      <c r="AR18" s="1">
        <v>1052.9100000000001</v>
      </c>
      <c r="AS18" s="1">
        <v>1067.43</v>
      </c>
      <c r="AT18" s="1">
        <v>1086.97</v>
      </c>
      <c r="AU18" s="1">
        <v>1111.43</v>
      </c>
      <c r="AV18" s="1">
        <v>1125.01</v>
      </c>
      <c r="AW18" s="1">
        <v>1151.23</v>
      </c>
      <c r="AX18" s="1">
        <v>1168.0899999999999</v>
      </c>
      <c r="AY18" s="1">
        <v>1178.97</v>
      </c>
      <c r="AZ18" s="1">
        <v>1176.83</v>
      </c>
      <c r="BA18" s="1">
        <v>1170.55</v>
      </c>
      <c r="BB18" s="1">
        <v>1161.77</v>
      </c>
      <c r="BC18" s="1">
        <v>1152.97</v>
      </c>
      <c r="BD18" s="1">
        <v>1143.18</v>
      </c>
    </row>
    <row r="19" spans="1:56" x14ac:dyDescent="0.45">
      <c r="B19" s="80" t="s">
        <v>25</v>
      </c>
      <c r="F19" s="79"/>
      <c r="G19" s="1">
        <v>1276.94</v>
      </c>
      <c r="H19" s="1">
        <v>1298.99</v>
      </c>
      <c r="I19" s="1">
        <v>1314.45</v>
      </c>
      <c r="J19" s="1">
        <v>1343.23</v>
      </c>
      <c r="K19" s="1">
        <v>1347.83</v>
      </c>
      <c r="L19" s="1">
        <v>1319.13</v>
      </c>
      <c r="M19" s="1">
        <v>1292.25</v>
      </c>
      <c r="N19" s="1">
        <v>1262.77</v>
      </c>
      <c r="O19" s="1">
        <v>1239.69</v>
      </c>
      <c r="P19" s="1">
        <v>1219.51</v>
      </c>
      <c r="Q19" s="1">
        <v>1202.75</v>
      </c>
      <c r="R19" s="1">
        <v>1201.79</v>
      </c>
      <c r="S19" s="1">
        <v>1192.8900000000001</v>
      </c>
      <c r="T19" s="1">
        <v>1183.55</v>
      </c>
      <c r="U19" s="1">
        <v>1194.51</v>
      </c>
      <c r="V19" s="1">
        <v>1208.6400000000001</v>
      </c>
      <c r="W19" s="1">
        <v>1209.74</v>
      </c>
      <c r="X19" s="1">
        <v>1192.8699999999999</v>
      </c>
      <c r="Y19" s="1">
        <v>1188.93</v>
      </c>
      <c r="Z19" s="1">
        <v>1170.72</v>
      </c>
      <c r="AA19" s="1">
        <v>1152.8</v>
      </c>
      <c r="AB19" s="1">
        <v>1129.6199999999999</v>
      </c>
      <c r="AC19" s="1">
        <v>1113.0899999999999</v>
      </c>
      <c r="AD19" s="1">
        <v>1088.83</v>
      </c>
      <c r="AE19" s="1">
        <v>1069.48</v>
      </c>
      <c r="AF19" s="1">
        <v>1054.1199999999999</v>
      </c>
      <c r="AG19" s="1">
        <v>1038.21</v>
      </c>
      <c r="AH19" s="1">
        <v>1035.07</v>
      </c>
      <c r="AI19" s="1">
        <v>1013.44</v>
      </c>
      <c r="AJ19" s="1">
        <v>994.04</v>
      </c>
      <c r="AK19" s="1">
        <v>965.84</v>
      </c>
      <c r="AL19" s="1">
        <v>938.3</v>
      </c>
      <c r="AM19" s="1">
        <v>947.98</v>
      </c>
      <c r="AN19" s="1">
        <v>980.94</v>
      </c>
      <c r="AO19" s="1">
        <v>1001.5</v>
      </c>
      <c r="AP19" s="1">
        <v>1020.61</v>
      </c>
      <c r="AQ19" s="1">
        <v>1036.75</v>
      </c>
      <c r="AR19" s="1">
        <v>1060.01</v>
      </c>
      <c r="AS19" s="1">
        <v>1072.29</v>
      </c>
      <c r="AT19" s="1">
        <v>1093.51</v>
      </c>
      <c r="AU19" s="1">
        <v>1119.4100000000001</v>
      </c>
      <c r="AV19" s="1">
        <v>1136.53</v>
      </c>
      <c r="AW19" s="1" t="str">
        <v>-9999 Invalid</v>
      </c>
      <c r="AX19" s="1">
        <v>1169.79</v>
      </c>
      <c r="AY19" s="1">
        <v>1159.29</v>
      </c>
      <c r="AZ19" s="1" t="str">
        <v>-9999 Invalid</v>
      </c>
      <c r="BA19" s="1">
        <v>1153.03</v>
      </c>
      <c r="BB19" s="1">
        <v>1141.6300000000001</v>
      </c>
      <c r="BC19" s="1">
        <v>1134.05</v>
      </c>
      <c r="BD19" s="1">
        <v>1140.8</v>
      </c>
    </row>
    <row r="20" spans="1:56" x14ac:dyDescent="0.45">
      <c r="F20" s="79"/>
      <c r="G20" s="1">
        <v>1268.42</v>
      </c>
      <c r="H20" s="1">
        <v>1286.45</v>
      </c>
      <c r="I20" s="1">
        <v>1298.83</v>
      </c>
      <c r="J20" s="1">
        <v>1316.97</v>
      </c>
      <c r="K20" s="1">
        <v>1333.37</v>
      </c>
      <c r="L20" s="1">
        <v>1322.03</v>
      </c>
      <c r="M20" s="1">
        <v>1295.18</v>
      </c>
      <c r="N20" s="1">
        <v>1265.3800000000001</v>
      </c>
      <c r="O20" s="1">
        <v>1235.19</v>
      </c>
      <c r="P20" s="1">
        <v>1217.71</v>
      </c>
      <c r="Q20" s="1">
        <v>1196.05</v>
      </c>
      <c r="R20" s="1">
        <v>1182.3699999999999</v>
      </c>
      <c r="S20" s="1">
        <v>1185.05</v>
      </c>
      <c r="T20" s="1">
        <v>1173.2</v>
      </c>
      <c r="U20" s="1">
        <v>1187.96</v>
      </c>
      <c r="V20" s="1">
        <v>1196.42</v>
      </c>
      <c r="W20" s="1">
        <v>1189.72</v>
      </c>
      <c r="X20" s="1">
        <v>1168.8599999999999</v>
      </c>
      <c r="Y20" s="1">
        <v>1170.1199999999999</v>
      </c>
      <c r="Z20" s="1">
        <v>1168.0899999999999</v>
      </c>
      <c r="AA20" s="1">
        <v>1153.51</v>
      </c>
      <c r="AB20" s="1">
        <v>1131.5899999999999</v>
      </c>
      <c r="AC20" s="1">
        <v>1115.49</v>
      </c>
      <c r="AD20" s="1">
        <v>1089.95</v>
      </c>
      <c r="AE20" s="1">
        <v>1069.67</v>
      </c>
      <c r="AF20" s="1">
        <v>1056.1500000000001</v>
      </c>
      <c r="AG20" s="1">
        <v>1029.06</v>
      </c>
      <c r="AH20" s="1">
        <v>1011.56</v>
      </c>
      <c r="AI20" s="1">
        <v>993.34</v>
      </c>
      <c r="AJ20" s="1" t="str">
        <v>-9999 Invalid</v>
      </c>
      <c r="AK20" s="1">
        <v>938.64</v>
      </c>
      <c r="AL20" s="1">
        <v>936.83</v>
      </c>
      <c r="AM20" s="1">
        <v>955.09</v>
      </c>
      <c r="AN20" s="1">
        <v>984.64</v>
      </c>
      <c r="AO20" s="1">
        <v>1006.32</v>
      </c>
      <c r="AP20" s="1">
        <v>1029.8499999999999</v>
      </c>
      <c r="AQ20" s="1">
        <v>1049.77</v>
      </c>
      <c r="AR20" s="1">
        <v>1071.18</v>
      </c>
      <c r="AS20" s="1">
        <v>1084.6600000000001</v>
      </c>
      <c r="AT20" s="1">
        <v>1104.58</v>
      </c>
      <c r="AU20" s="1">
        <v>1127.69</v>
      </c>
      <c r="AV20" s="1">
        <v>1145.27</v>
      </c>
      <c r="AW20" s="1">
        <v>1164.9000000000001</v>
      </c>
      <c r="AX20" s="1">
        <v>1159.74</v>
      </c>
      <c r="AY20" s="1">
        <v>1141.72</v>
      </c>
      <c r="AZ20" s="1">
        <v>1139.26</v>
      </c>
      <c r="BA20" s="1">
        <v>1133.67</v>
      </c>
      <c r="BB20" s="1">
        <v>1128.3900000000001</v>
      </c>
      <c r="BC20" s="1">
        <v>1137.9100000000001</v>
      </c>
      <c r="BD20" s="1">
        <v>1152.79</v>
      </c>
    </row>
    <row r="21" spans="1:56" x14ac:dyDescent="0.45">
      <c r="B21" s="125" t="s">
        <v>26</v>
      </c>
      <c r="C21" s="125" t="s">
        <v>209</v>
      </c>
      <c r="D21" s="126" t="s">
        <v>27</v>
      </c>
      <c r="F21" s="79"/>
      <c r="G21" s="1">
        <v>1261.28</v>
      </c>
      <c r="H21" s="1">
        <v>1275.47</v>
      </c>
      <c r="I21" s="1">
        <v>1285.8499999999999</v>
      </c>
      <c r="J21" s="1">
        <v>1301.69</v>
      </c>
      <c r="K21" s="1">
        <v>1317.57</v>
      </c>
      <c r="L21" s="1">
        <v>1319.77</v>
      </c>
      <c r="M21" s="1">
        <v>1295.3599999999999</v>
      </c>
      <c r="N21" s="1">
        <v>1265.5999999999999</v>
      </c>
      <c r="O21" s="1">
        <v>1234.79</v>
      </c>
      <c r="P21" s="1">
        <v>1217.69</v>
      </c>
      <c r="Q21" s="1">
        <v>1195.43</v>
      </c>
      <c r="R21" s="1">
        <v>1180.47</v>
      </c>
      <c r="S21" s="1">
        <v>1175.79</v>
      </c>
      <c r="T21" s="1">
        <v>1170.58</v>
      </c>
      <c r="U21" s="1">
        <v>1182.1400000000001</v>
      </c>
      <c r="V21" s="1">
        <v>1186.92</v>
      </c>
      <c r="W21" s="1">
        <v>1174.46</v>
      </c>
      <c r="X21" s="1">
        <v>1154.96</v>
      </c>
      <c r="Y21" s="1">
        <v>1152.76</v>
      </c>
      <c r="Z21" s="1">
        <v>1159.33</v>
      </c>
      <c r="AA21" s="1">
        <v>1150.77</v>
      </c>
      <c r="AB21" s="1">
        <v>1128.8699999999999</v>
      </c>
      <c r="AC21" s="1">
        <v>1112.43</v>
      </c>
      <c r="AD21" s="1">
        <v>1084.67</v>
      </c>
      <c r="AE21" s="1">
        <v>1067.05</v>
      </c>
      <c r="AF21" s="1">
        <v>1055.27</v>
      </c>
      <c r="AG21" s="1">
        <v>1028.3399999999999</v>
      </c>
      <c r="AH21" s="1">
        <v>1002.84</v>
      </c>
      <c r="AI21" s="1">
        <v>977.8</v>
      </c>
      <c r="AJ21" s="1">
        <v>952.98</v>
      </c>
      <c r="AK21" s="1">
        <v>931.26</v>
      </c>
      <c r="AL21" s="1">
        <v>946.95</v>
      </c>
      <c r="AM21" s="1">
        <v>966.01</v>
      </c>
      <c r="AN21" s="1">
        <v>988.1</v>
      </c>
      <c r="AO21" s="1">
        <v>1008.94</v>
      </c>
      <c r="AP21" s="1">
        <v>1035.81</v>
      </c>
      <c r="AQ21" s="1">
        <v>1055.77</v>
      </c>
      <c r="AR21" s="1">
        <v>1078.76</v>
      </c>
      <c r="AS21" s="1">
        <v>1094.98</v>
      </c>
      <c r="AT21" s="1">
        <v>1116.6199999999999</v>
      </c>
      <c r="AU21" s="1">
        <v>1135.45</v>
      </c>
      <c r="AV21" s="1">
        <v>1151.75</v>
      </c>
      <c r="AW21" s="1">
        <v>1163.58</v>
      </c>
      <c r="AX21" s="1">
        <v>1151.1199999999999</v>
      </c>
      <c r="AY21" s="1">
        <v>1131.0999999999999</v>
      </c>
      <c r="AZ21" s="1">
        <v>1124.78</v>
      </c>
      <c r="BA21" s="1">
        <v>1121.51</v>
      </c>
      <c r="BB21" s="1">
        <v>1131.43</v>
      </c>
      <c r="BC21" s="1">
        <v>1145.43</v>
      </c>
      <c r="BD21" s="1">
        <v>1159.71</v>
      </c>
    </row>
    <row r="22" spans="1:56" x14ac:dyDescent="0.45">
      <c r="B22" s="44" t="s">
        <v>28</v>
      </c>
      <c r="C22" s="87" t="s">
        <v>206</v>
      </c>
      <c r="D22" s="88" t="s">
        <v>38</v>
      </c>
      <c r="F22" s="79"/>
      <c r="G22" s="1">
        <v>1244.3599999999999</v>
      </c>
      <c r="H22" s="1">
        <v>1255.8499999999999</v>
      </c>
      <c r="I22" s="1">
        <v>1264.93</v>
      </c>
      <c r="J22" s="1">
        <v>1278.47</v>
      </c>
      <c r="K22" s="1">
        <v>1288.47</v>
      </c>
      <c r="L22" s="1">
        <v>1304.3499999999999</v>
      </c>
      <c r="M22" s="1">
        <v>1293.04</v>
      </c>
      <c r="N22" s="1">
        <v>1265.9000000000001</v>
      </c>
      <c r="O22" s="1">
        <v>1239.1500000000001</v>
      </c>
      <c r="P22" s="1">
        <v>1222.77</v>
      </c>
      <c r="Q22" s="1">
        <v>1200.71</v>
      </c>
      <c r="R22" s="1">
        <v>1183.95</v>
      </c>
      <c r="S22" s="1">
        <v>1164.49</v>
      </c>
      <c r="T22" s="1">
        <v>1161.44</v>
      </c>
      <c r="U22" s="1">
        <v>1169.04</v>
      </c>
      <c r="V22" s="1">
        <v>1174.0999999999999</v>
      </c>
      <c r="W22" s="1">
        <v>1157.3399999999999</v>
      </c>
      <c r="X22" s="1">
        <v>1138.3800000000001</v>
      </c>
      <c r="Y22" s="1">
        <v>1134.6199999999999</v>
      </c>
      <c r="Z22" s="1">
        <v>1147.49</v>
      </c>
      <c r="AA22" s="1">
        <v>1134.75</v>
      </c>
      <c r="AB22" s="1">
        <v>1119.51</v>
      </c>
      <c r="AC22" s="1">
        <v>1104.69</v>
      </c>
      <c r="AD22" s="1">
        <v>1075.3499999999999</v>
      </c>
      <c r="AE22" s="1">
        <v>1054.47</v>
      </c>
      <c r="AF22" s="1">
        <v>1044.8499999999999</v>
      </c>
      <c r="AG22" s="1">
        <v>1019.36</v>
      </c>
      <c r="AH22" s="1">
        <v>994.24</v>
      </c>
      <c r="AI22" s="1">
        <v>957.5</v>
      </c>
      <c r="AJ22" s="1">
        <v>927.66</v>
      </c>
      <c r="AK22" s="1">
        <v>937.4</v>
      </c>
      <c r="AL22" s="1">
        <v>959.87</v>
      </c>
      <c r="AM22" s="1">
        <v>985.71</v>
      </c>
      <c r="AN22" s="1">
        <v>1006.64</v>
      </c>
      <c r="AO22" s="1">
        <v>1020.32</v>
      </c>
      <c r="AP22" s="1">
        <v>1044.33</v>
      </c>
      <c r="AQ22" s="1">
        <v>1062.8900000000001</v>
      </c>
      <c r="AR22" s="1">
        <v>1088.6400000000001</v>
      </c>
      <c r="AS22" s="1">
        <v>1105.52</v>
      </c>
      <c r="AT22" s="1">
        <v>1129.3800000000001</v>
      </c>
      <c r="AU22" s="1">
        <v>1151.6500000000001</v>
      </c>
      <c r="AV22" s="1">
        <v>1164.19</v>
      </c>
      <c r="AW22" s="1">
        <v>1154.4000000000001</v>
      </c>
      <c r="AX22" s="1">
        <v>1135.32</v>
      </c>
      <c r="AY22" s="1">
        <v>1119.52</v>
      </c>
      <c r="AZ22" s="1">
        <v>1113.26</v>
      </c>
      <c r="BA22" s="1">
        <v>1127.03</v>
      </c>
      <c r="BB22" s="1">
        <v>1141.75</v>
      </c>
      <c r="BC22" s="1">
        <v>1154.23</v>
      </c>
      <c r="BD22" s="1">
        <v>1164.01</v>
      </c>
    </row>
    <row r="23" spans="1:56" x14ac:dyDescent="0.45">
      <c r="B23" s="44" t="s">
        <v>29</v>
      </c>
      <c r="C23" s="44" t="s">
        <v>188</v>
      </c>
      <c r="D23" s="88" t="s">
        <v>39</v>
      </c>
      <c r="F23" s="79"/>
      <c r="G23" s="1">
        <v>1232.51</v>
      </c>
      <c r="H23" s="1">
        <v>1239.46</v>
      </c>
      <c r="I23" s="1">
        <v>1247.68</v>
      </c>
      <c r="J23" s="1">
        <v>1257.82</v>
      </c>
      <c r="K23" s="1">
        <v>1266.67</v>
      </c>
      <c r="L23" s="1">
        <v>1286.81</v>
      </c>
      <c r="M23" s="1">
        <v>1291.51</v>
      </c>
      <c r="N23" s="1">
        <v>1264.79</v>
      </c>
      <c r="O23" s="1">
        <v>1240.44</v>
      </c>
      <c r="P23" s="1">
        <v>1222.98</v>
      </c>
      <c r="Q23" s="1">
        <v>1202.83</v>
      </c>
      <c r="R23" s="1">
        <v>1191.73</v>
      </c>
      <c r="S23" s="1">
        <v>1170.49</v>
      </c>
      <c r="T23" s="1">
        <v>1153.8699999999999</v>
      </c>
      <c r="U23" s="1">
        <v>1156.3900000000001</v>
      </c>
      <c r="V23" s="1">
        <v>1161.29</v>
      </c>
      <c r="W23" s="1">
        <v>1140.6500000000001</v>
      </c>
      <c r="X23" s="1">
        <v>1123</v>
      </c>
      <c r="Y23" s="1">
        <v>1122.2</v>
      </c>
      <c r="Z23" s="1">
        <v>1127.3399999999999</v>
      </c>
      <c r="AA23" s="1">
        <v>1119.7</v>
      </c>
      <c r="AB23" s="1">
        <v>1108</v>
      </c>
      <c r="AC23" s="1">
        <v>1091.8699999999999</v>
      </c>
      <c r="AD23" s="1">
        <v>1068.8699999999999</v>
      </c>
      <c r="AE23" s="1">
        <v>1044.78</v>
      </c>
      <c r="AF23" s="1">
        <v>1026.1600000000001</v>
      </c>
      <c r="AG23" s="1">
        <v>1002.46</v>
      </c>
      <c r="AH23" s="1">
        <v>981.9</v>
      </c>
      <c r="AI23" s="1">
        <v>942.91</v>
      </c>
      <c r="AJ23" s="1">
        <v>924.41</v>
      </c>
      <c r="AK23" s="1">
        <v>943.93</v>
      </c>
      <c r="AL23" s="1">
        <v>970.03</v>
      </c>
      <c r="AM23" s="1">
        <v>998.05</v>
      </c>
      <c r="AN23" s="1">
        <v>1018.99</v>
      </c>
      <c r="AO23" s="1">
        <v>1037.75</v>
      </c>
      <c r="AP23" s="1">
        <v>1059.19</v>
      </c>
      <c r="AQ23" s="1">
        <v>1072.31</v>
      </c>
      <c r="AR23" s="1">
        <v>1097.1099999999999</v>
      </c>
      <c r="AS23" s="1">
        <v>1113.1500000000001</v>
      </c>
      <c r="AT23" s="1">
        <v>1136.4100000000001</v>
      </c>
      <c r="AU23" s="1">
        <v>1156.28</v>
      </c>
      <c r="AV23" s="1">
        <v>1158.76</v>
      </c>
      <c r="AW23" s="1">
        <v>1146.25</v>
      </c>
      <c r="AX23" s="1">
        <v>1129.33</v>
      </c>
      <c r="AY23" s="1">
        <v>1108.43</v>
      </c>
      <c r="AZ23" s="1">
        <v>1115.01</v>
      </c>
      <c r="BA23" s="1">
        <v>1134.1500000000001</v>
      </c>
      <c r="BB23" s="1">
        <v>1147.25</v>
      </c>
      <c r="BC23" s="1">
        <v>1150.27</v>
      </c>
      <c r="BD23" s="1">
        <v>1151.6300000000001</v>
      </c>
    </row>
    <row r="24" spans="1:56" x14ac:dyDescent="0.45">
      <c r="B24" s="44" t="s">
        <v>171</v>
      </c>
      <c r="C24" s="44" t="s">
        <v>205</v>
      </c>
      <c r="D24" s="88" t="s">
        <v>41</v>
      </c>
      <c r="F24" s="79"/>
      <c r="G24" s="1">
        <v>1217.77</v>
      </c>
      <c r="H24" s="1">
        <v>1224.8</v>
      </c>
      <c r="I24" s="1">
        <v>1232.94</v>
      </c>
      <c r="J24" s="1">
        <v>1240.44</v>
      </c>
      <c r="K24" s="1">
        <v>1248.03</v>
      </c>
      <c r="L24" s="1">
        <v>1265.57</v>
      </c>
      <c r="M24" s="1">
        <v>1278.19</v>
      </c>
      <c r="N24" s="1">
        <v>1261.9100000000001</v>
      </c>
      <c r="O24" s="1">
        <v>1240.68</v>
      </c>
      <c r="P24" s="1">
        <v>1225.7</v>
      </c>
      <c r="Q24" s="1">
        <v>1206.4100000000001</v>
      </c>
      <c r="R24" s="1">
        <v>1192.1099999999999</v>
      </c>
      <c r="S24" s="1">
        <v>1170.3900000000001</v>
      </c>
      <c r="T24" s="1">
        <v>1155.29</v>
      </c>
      <c r="U24" s="1">
        <v>1143.47</v>
      </c>
      <c r="V24" s="1">
        <v>1142.3900000000001</v>
      </c>
      <c r="W24" s="1">
        <v>1120.69</v>
      </c>
      <c r="X24" s="1">
        <v>1106.02</v>
      </c>
      <c r="Y24" s="1">
        <v>1110.18</v>
      </c>
      <c r="Z24" s="1">
        <v>1112.96</v>
      </c>
      <c r="AA24" s="1">
        <v>1106.44</v>
      </c>
      <c r="AB24" s="1">
        <v>1089.48</v>
      </c>
      <c r="AC24" s="1">
        <v>1075.19</v>
      </c>
      <c r="AD24" s="1">
        <v>1058.83</v>
      </c>
      <c r="AE24" s="1">
        <v>1036.42</v>
      </c>
      <c r="AF24" s="1">
        <v>1018.06</v>
      </c>
      <c r="AG24" s="1">
        <v>989.14</v>
      </c>
      <c r="AH24" s="1">
        <v>966.08</v>
      </c>
      <c r="AI24" s="1">
        <v>927.49</v>
      </c>
      <c r="AJ24" s="1">
        <v>924.51</v>
      </c>
      <c r="AK24" s="1">
        <v>950.51</v>
      </c>
      <c r="AL24" s="1">
        <v>976.59</v>
      </c>
      <c r="AM24" s="1">
        <v>1001.99</v>
      </c>
      <c r="AN24" s="1">
        <v>1026.51</v>
      </c>
      <c r="AO24" s="1">
        <v>1045.75</v>
      </c>
      <c r="AP24" s="1">
        <v>1072.71</v>
      </c>
      <c r="AQ24" s="1">
        <v>1085.53</v>
      </c>
      <c r="AR24" s="1">
        <v>1106.27</v>
      </c>
      <c r="AS24" s="1">
        <v>1117.55</v>
      </c>
      <c r="AT24" s="1">
        <v>1127.31</v>
      </c>
      <c r="AU24" s="1">
        <v>1138.3399999999999</v>
      </c>
      <c r="AV24" s="1">
        <v>1137.44</v>
      </c>
      <c r="AW24" s="1">
        <v>1133.75</v>
      </c>
      <c r="AX24" s="1">
        <v>1126.27</v>
      </c>
      <c r="AY24" s="1">
        <v>1108.05</v>
      </c>
      <c r="AZ24" s="1">
        <v>1113.23</v>
      </c>
      <c r="BA24" s="1">
        <v>1125.51</v>
      </c>
      <c r="BB24" s="1">
        <v>1132.21</v>
      </c>
      <c r="BC24" s="1">
        <v>1135.3900000000001</v>
      </c>
      <c r="BD24" s="1">
        <v>1138.47</v>
      </c>
    </row>
    <row r="25" spans="1:56" x14ac:dyDescent="0.45">
      <c r="B25" s="44" t="s">
        <v>45</v>
      </c>
      <c r="C25" s="44" t="s">
        <v>44</v>
      </c>
      <c r="D25" s="88" t="s">
        <v>46</v>
      </c>
      <c r="F25" s="79"/>
      <c r="G25" s="1">
        <v>1199.01</v>
      </c>
      <c r="H25" s="1">
        <v>1207.74</v>
      </c>
      <c r="I25" s="1">
        <v>1217.1600000000001</v>
      </c>
      <c r="J25" s="1">
        <v>1223.68</v>
      </c>
      <c r="K25" s="1">
        <v>1230.6500000000001</v>
      </c>
      <c r="L25" s="1">
        <v>1257.0899999999999</v>
      </c>
      <c r="M25" s="1">
        <v>1266.1199999999999</v>
      </c>
      <c r="N25" s="1">
        <v>1248.42</v>
      </c>
      <c r="O25" s="1">
        <v>1228.67</v>
      </c>
      <c r="P25" s="1">
        <v>1215.21</v>
      </c>
      <c r="Q25" s="1">
        <v>1198.3699999999999</v>
      </c>
      <c r="R25" s="1">
        <v>1180.21</v>
      </c>
      <c r="S25" s="1">
        <v>1158.75</v>
      </c>
      <c r="T25" s="1">
        <v>1151.06</v>
      </c>
      <c r="U25" s="1">
        <v>1137.48</v>
      </c>
      <c r="V25" s="1">
        <v>1121.18</v>
      </c>
      <c r="W25" s="1">
        <v>1105.04</v>
      </c>
      <c r="X25" s="1">
        <v>1089.8900000000001</v>
      </c>
      <c r="Y25" s="1">
        <v>1093.8499999999999</v>
      </c>
      <c r="Z25" s="1">
        <v>1091.0999999999999</v>
      </c>
      <c r="AA25" s="1">
        <v>1084</v>
      </c>
      <c r="AB25" s="1">
        <v>1073.94</v>
      </c>
      <c r="AC25" s="1">
        <v>1059.47</v>
      </c>
      <c r="AD25" s="1">
        <v>1044.47</v>
      </c>
      <c r="AE25" s="1">
        <v>1025.77</v>
      </c>
      <c r="AF25" s="1">
        <v>1004.47</v>
      </c>
      <c r="AG25" s="1">
        <v>978.94</v>
      </c>
      <c r="AH25" s="1" t="str">
        <v>-9999 Invalid</v>
      </c>
      <c r="AI25" s="1">
        <v>921.38</v>
      </c>
      <c r="AJ25" s="1">
        <v>925.92</v>
      </c>
      <c r="AK25" s="1">
        <v>955.96</v>
      </c>
      <c r="AL25" s="1">
        <v>980.27</v>
      </c>
      <c r="AM25" s="1">
        <v>1005.85</v>
      </c>
      <c r="AN25" s="1">
        <v>1032.28</v>
      </c>
      <c r="AO25" s="1">
        <v>1054.28</v>
      </c>
      <c r="AP25" s="1">
        <v>1076.46</v>
      </c>
      <c r="AQ25" s="1">
        <v>1087.56</v>
      </c>
      <c r="AR25" s="1">
        <v>1097.96</v>
      </c>
      <c r="AS25" s="1">
        <v>1101.22</v>
      </c>
      <c r="AT25" s="1">
        <v>1106.24</v>
      </c>
      <c r="AU25" s="1">
        <v>1126.3900000000001</v>
      </c>
      <c r="AV25" s="1">
        <v>1123.77</v>
      </c>
      <c r="AW25" s="1">
        <v>1116.75</v>
      </c>
      <c r="AX25" s="1">
        <v>1116.6300000000001</v>
      </c>
      <c r="AY25" s="1">
        <v>1102.76</v>
      </c>
      <c r="AZ25" s="1">
        <v>1097.5999999999999</v>
      </c>
      <c r="BA25" s="1">
        <v>1109.29</v>
      </c>
      <c r="BB25" s="1">
        <v>1116.45</v>
      </c>
      <c r="BC25" s="1">
        <v>1119.17</v>
      </c>
      <c r="BD25" s="1">
        <v>1122.32</v>
      </c>
    </row>
    <row r="26" spans="1:56" x14ac:dyDescent="0.45">
      <c r="B26" s="44" t="s">
        <v>30</v>
      </c>
      <c r="C26" s="44" t="s">
        <v>189</v>
      </c>
      <c r="D26" s="88" t="s">
        <v>39</v>
      </c>
      <c r="F26" s="79"/>
      <c r="G26" s="1">
        <v>1187.73</v>
      </c>
      <c r="H26" s="1">
        <v>1191.98</v>
      </c>
      <c r="I26" s="1">
        <v>1196.6400000000001</v>
      </c>
      <c r="J26" s="1">
        <v>1205.1600000000001</v>
      </c>
      <c r="K26" s="1">
        <v>1220.17</v>
      </c>
      <c r="L26" s="1">
        <v>1248.79</v>
      </c>
      <c r="M26" s="1">
        <v>1257.26</v>
      </c>
      <c r="N26" s="1">
        <v>1237.4000000000001</v>
      </c>
      <c r="O26" s="1">
        <v>1215.57</v>
      </c>
      <c r="P26" s="1">
        <v>1200.23</v>
      </c>
      <c r="Q26" s="1">
        <v>1186.57</v>
      </c>
      <c r="R26" s="1">
        <v>1171.8900000000001</v>
      </c>
      <c r="S26" s="1">
        <v>1148.55</v>
      </c>
      <c r="T26" s="1">
        <v>1142.1400000000001</v>
      </c>
      <c r="U26" s="1">
        <v>1138.1199999999999</v>
      </c>
      <c r="V26" s="1">
        <v>1122.0999999999999</v>
      </c>
      <c r="W26" s="1">
        <v>1091.1199999999999</v>
      </c>
      <c r="X26" s="1">
        <v>1069.67</v>
      </c>
      <c r="Y26" s="1">
        <v>1075.6300000000001</v>
      </c>
      <c r="Z26" s="1">
        <v>1068.0999999999999</v>
      </c>
      <c r="AA26" s="1">
        <v>1064.1199999999999</v>
      </c>
      <c r="AB26" s="1">
        <v>1056.44</v>
      </c>
      <c r="AC26" s="1">
        <v>1044.81</v>
      </c>
      <c r="AD26" s="1">
        <v>1023.27</v>
      </c>
      <c r="AE26" s="1">
        <v>1002.07</v>
      </c>
      <c r="AF26" s="1">
        <v>983.57</v>
      </c>
      <c r="AG26" s="1">
        <v>955.8</v>
      </c>
      <c r="AH26" s="1">
        <v>928.18</v>
      </c>
      <c r="AI26" s="1">
        <v>920.6</v>
      </c>
      <c r="AJ26" s="1">
        <v>944.56</v>
      </c>
      <c r="AK26" s="1">
        <v>969.46</v>
      </c>
      <c r="AL26" s="1">
        <v>986.21</v>
      </c>
      <c r="AM26" s="1">
        <v>1011.85</v>
      </c>
      <c r="AN26" s="1">
        <v>1032.56</v>
      </c>
      <c r="AO26" s="1">
        <v>1048.3599999999999</v>
      </c>
      <c r="AP26" s="1">
        <v>1055.18</v>
      </c>
      <c r="AQ26" s="1">
        <v>1060.8599999999999</v>
      </c>
      <c r="AR26" s="1">
        <v>1068</v>
      </c>
      <c r="AS26" s="1">
        <v>1073.6199999999999</v>
      </c>
      <c r="AT26" s="1">
        <v>1097.94</v>
      </c>
      <c r="AU26" s="1">
        <v>1108.6099999999999</v>
      </c>
      <c r="AV26" s="1">
        <v>1102.8699999999999</v>
      </c>
      <c r="AW26" s="1">
        <v>1094.97</v>
      </c>
      <c r="AX26" s="1">
        <v>1096.4100000000001</v>
      </c>
      <c r="AY26" s="1">
        <v>1093.3</v>
      </c>
      <c r="AZ26" s="1">
        <v>1090.0999999999999</v>
      </c>
      <c r="BA26" s="1">
        <v>1097.9100000000001</v>
      </c>
      <c r="BB26" s="1">
        <v>1100.73</v>
      </c>
      <c r="BC26" s="1">
        <v>1103.6500000000001</v>
      </c>
      <c r="BD26" s="1">
        <v>1109.48</v>
      </c>
    </row>
    <row r="27" spans="1:56" x14ac:dyDescent="0.45">
      <c r="B27" s="44" t="s">
        <v>91</v>
      </c>
      <c r="C27" s="44" t="s">
        <v>200</v>
      </c>
      <c r="D27" s="88" t="s">
        <v>41</v>
      </c>
      <c r="F27" s="79"/>
      <c r="G27" s="1">
        <v>1179.8900000000001</v>
      </c>
      <c r="H27" s="1">
        <v>1179.46</v>
      </c>
      <c r="I27" s="1">
        <v>1181.06</v>
      </c>
      <c r="J27" s="1">
        <v>1195.7</v>
      </c>
      <c r="K27" s="1">
        <v>1214.19</v>
      </c>
      <c r="L27" s="1">
        <v>1236.03</v>
      </c>
      <c r="M27" s="1">
        <v>1247.3800000000001</v>
      </c>
      <c r="N27" s="1">
        <v>1229.76</v>
      </c>
      <c r="O27" s="1">
        <v>1211.01</v>
      </c>
      <c r="P27" s="1">
        <v>1189.23</v>
      </c>
      <c r="Q27" s="1">
        <v>1169.33</v>
      </c>
      <c r="R27" s="1">
        <v>1156.6500000000001</v>
      </c>
      <c r="S27" s="1">
        <v>1142.6099999999999</v>
      </c>
      <c r="T27" s="1">
        <v>1130.92</v>
      </c>
      <c r="U27" s="1">
        <v>1129.1199999999999</v>
      </c>
      <c r="V27" s="1" t="str">
        <v>-9999 Invalid</v>
      </c>
      <c r="W27" s="1">
        <v>1091.5999999999999</v>
      </c>
      <c r="X27" s="1">
        <v>1055.5899999999999</v>
      </c>
      <c r="Y27" s="1">
        <v>1055.81</v>
      </c>
      <c r="Z27" s="1">
        <v>1044.04</v>
      </c>
      <c r="AA27" s="1">
        <v>1040.1199999999999</v>
      </c>
      <c r="AB27" s="1">
        <v>1034.54</v>
      </c>
      <c r="AC27" s="1">
        <v>1030.8499999999999</v>
      </c>
      <c r="AD27" s="1">
        <v>1012.41</v>
      </c>
      <c r="AE27" s="1">
        <v>978.09</v>
      </c>
      <c r="AF27" s="1">
        <v>957.01</v>
      </c>
      <c r="AG27" s="1">
        <v>924.32</v>
      </c>
      <c r="AH27" s="1">
        <v>912.38</v>
      </c>
      <c r="AI27" s="1">
        <v>933.24</v>
      </c>
      <c r="AJ27" s="1">
        <v>958.08</v>
      </c>
      <c r="AK27" s="1">
        <v>981.68</v>
      </c>
      <c r="AL27" s="1">
        <v>992.39</v>
      </c>
      <c r="AM27" s="1">
        <v>1005.59</v>
      </c>
      <c r="AN27" s="1">
        <v>1016.14</v>
      </c>
      <c r="AO27" s="1">
        <v>1023.6</v>
      </c>
      <c r="AP27" s="1">
        <v>1029.98</v>
      </c>
      <c r="AQ27" s="1">
        <v>1035.1400000000001</v>
      </c>
      <c r="AR27" s="1">
        <v>1042.46</v>
      </c>
      <c r="AS27" s="1">
        <v>1055.52</v>
      </c>
      <c r="AT27" s="1">
        <v>1077.8599999999999</v>
      </c>
      <c r="AU27" s="1">
        <v>1080.77</v>
      </c>
      <c r="AV27" s="1">
        <v>1075.3900000000001</v>
      </c>
      <c r="AW27" s="1">
        <v>1073.33</v>
      </c>
      <c r="AX27" s="1" t="str">
        <v>-9999 Invalid</v>
      </c>
      <c r="AY27" s="1">
        <v>1083.08</v>
      </c>
      <c r="AZ27" s="1">
        <v>1084.94</v>
      </c>
      <c r="BA27" s="1">
        <v>1096.1500000000001</v>
      </c>
      <c r="BB27" s="1">
        <v>1104.3499999999999</v>
      </c>
      <c r="BC27" s="1">
        <v>1109.43</v>
      </c>
      <c r="BD27" s="1">
        <v>1112.48</v>
      </c>
    </row>
    <row r="28" spans="1:56" x14ac:dyDescent="0.45">
      <c r="B28" s="44" t="s">
        <v>31</v>
      </c>
      <c r="C28" s="44" t="s">
        <v>190</v>
      </c>
      <c r="D28" s="88" t="s">
        <v>39</v>
      </c>
      <c r="F28" s="79"/>
      <c r="G28" s="1">
        <v>1171.1099999999999</v>
      </c>
      <c r="H28" s="1" t="str">
        <v>-9999 Invalid</v>
      </c>
      <c r="I28" s="1">
        <v>1168.54</v>
      </c>
      <c r="J28" s="1">
        <v>1186.96</v>
      </c>
      <c r="K28" s="1">
        <v>1204.44</v>
      </c>
      <c r="L28" s="1">
        <v>1227.52</v>
      </c>
      <c r="M28" s="1">
        <v>1236.5899999999999</v>
      </c>
      <c r="N28" s="1">
        <v>1225.1300000000001</v>
      </c>
      <c r="O28" s="1">
        <v>1202.6099999999999</v>
      </c>
      <c r="P28" s="1">
        <v>1182.33</v>
      </c>
      <c r="Q28" s="1">
        <v>1158.0999999999999</v>
      </c>
      <c r="R28" s="1">
        <v>1144.1400000000001</v>
      </c>
      <c r="S28" s="1">
        <v>1132.48</v>
      </c>
      <c r="T28" s="1">
        <v>1123.27</v>
      </c>
      <c r="U28" s="1">
        <v>1114.6300000000001</v>
      </c>
      <c r="V28" s="1">
        <v>1110.43</v>
      </c>
      <c r="W28" s="1">
        <v>1081.17</v>
      </c>
      <c r="X28" s="1">
        <v>1043.24</v>
      </c>
      <c r="Y28" s="1">
        <v>1036.76</v>
      </c>
      <c r="Z28" s="1">
        <v>1021.85</v>
      </c>
      <c r="AA28" s="1">
        <v>1014.83</v>
      </c>
      <c r="AB28" s="1">
        <v>1011.89</v>
      </c>
      <c r="AC28" s="1">
        <v>1015.91</v>
      </c>
      <c r="AD28" s="1">
        <v>1002.89</v>
      </c>
      <c r="AE28" s="1">
        <v>974.18</v>
      </c>
      <c r="AF28" s="1">
        <v>945.6</v>
      </c>
      <c r="AG28" s="1">
        <v>909.6</v>
      </c>
      <c r="AH28" s="1">
        <v>918.84</v>
      </c>
      <c r="AI28" s="1">
        <v>946.5</v>
      </c>
      <c r="AJ28" s="1" t="str">
        <v>-9999 Invalid</v>
      </c>
      <c r="AK28" s="1">
        <v>967.08</v>
      </c>
      <c r="AL28" s="1">
        <v>972.87</v>
      </c>
      <c r="AM28" s="1" t="str">
        <v>-9999 Invalid</v>
      </c>
      <c r="AN28" s="1">
        <v>987.61</v>
      </c>
      <c r="AO28" s="1">
        <v>994.89</v>
      </c>
      <c r="AP28" s="1">
        <v>1006.6</v>
      </c>
      <c r="AQ28" s="1">
        <v>1014.16</v>
      </c>
      <c r="AR28" s="1">
        <v>1026.8399999999999</v>
      </c>
      <c r="AS28" s="1">
        <v>1035.54</v>
      </c>
      <c r="AT28" s="1">
        <v>1046.6199999999999</v>
      </c>
      <c r="AU28" s="1">
        <v>1057.1400000000001</v>
      </c>
      <c r="AV28" s="1">
        <v>1064.98</v>
      </c>
      <c r="AW28" s="1">
        <v>1077.42</v>
      </c>
      <c r="AX28" s="1">
        <v>1083.76</v>
      </c>
      <c r="AY28" s="1">
        <v>1091.97</v>
      </c>
      <c r="AZ28" s="1">
        <v>1100.93</v>
      </c>
      <c r="BA28" s="1">
        <v>1111.76</v>
      </c>
      <c r="BB28" s="1">
        <v>1122.18</v>
      </c>
      <c r="BC28" s="1">
        <v>1124.1600000000001</v>
      </c>
      <c r="BD28" s="1">
        <v>1125.99</v>
      </c>
    </row>
    <row r="29" spans="1:56" x14ac:dyDescent="0.45">
      <c r="B29" s="44" t="s">
        <v>32</v>
      </c>
      <c r="C29" s="44" t="s">
        <v>196</v>
      </c>
      <c r="D29" s="88" t="s">
        <v>41</v>
      </c>
      <c r="F29" s="79"/>
      <c r="G29" s="1">
        <v>1160.1300000000001</v>
      </c>
      <c r="H29" s="1">
        <v>1151.48</v>
      </c>
      <c r="I29" s="1">
        <v>1155.9000000000001</v>
      </c>
      <c r="J29" s="1">
        <v>1175.94</v>
      </c>
      <c r="K29" s="1">
        <v>1191.3399999999999</v>
      </c>
      <c r="L29" s="1">
        <v>1218.3599999999999</v>
      </c>
      <c r="M29" s="1">
        <v>1230.93</v>
      </c>
      <c r="N29" s="1">
        <v>1222.77</v>
      </c>
      <c r="O29" s="1">
        <v>1195.33</v>
      </c>
      <c r="P29" s="1">
        <v>1177.43</v>
      </c>
      <c r="Q29" s="1">
        <v>1154.56</v>
      </c>
      <c r="R29" s="1">
        <v>1142.26</v>
      </c>
      <c r="S29" s="1">
        <v>1125.18</v>
      </c>
      <c r="T29" s="1">
        <v>1110.8900000000001</v>
      </c>
      <c r="U29" s="1">
        <v>1098.69</v>
      </c>
      <c r="V29" s="1">
        <v>1095.81</v>
      </c>
      <c r="W29" s="1">
        <v>1065.1099999999999</v>
      </c>
      <c r="X29" s="1">
        <v>1038.32</v>
      </c>
      <c r="Y29" s="1">
        <v>1020</v>
      </c>
      <c r="Z29" s="1">
        <v>1001.61</v>
      </c>
      <c r="AA29" s="1">
        <v>987.47</v>
      </c>
      <c r="AB29" s="1">
        <v>979.03</v>
      </c>
      <c r="AC29" s="1">
        <v>989.93</v>
      </c>
      <c r="AD29" s="1">
        <v>995.09</v>
      </c>
      <c r="AE29" s="1">
        <v>969.84</v>
      </c>
      <c r="AF29" s="1">
        <v>939.22</v>
      </c>
      <c r="AG29" s="1">
        <v>906.82</v>
      </c>
      <c r="AH29" s="1">
        <v>928</v>
      </c>
      <c r="AI29" s="1">
        <v>944.58</v>
      </c>
      <c r="AJ29" s="1">
        <v>938.92</v>
      </c>
      <c r="AK29" s="1">
        <v>946.2</v>
      </c>
      <c r="AL29" s="1">
        <v>956.15</v>
      </c>
      <c r="AM29" s="1">
        <v>968.93</v>
      </c>
      <c r="AN29" s="1">
        <v>982.35</v>
      </c>
      <c r="AO29" s="1">
        <v>998.75</v>
      </c>
      <c r="AP29" s="1">
        <v>1018.14</v>
      </c>
      <c r="AQ29" s="1">
        <v>1028.5999999999999</v>
      </c>
      <c r="AR29" s="1">
        <v>1039.3599999999999</v>
      </c>
      <c r="AS29" s="1">
        <v>1051.7</v>
      </c>
      <c r="AT29" s="1">
        <v>1066.3800000000001</v>
      </c>
      <c r="AU29" s="1">
        <v>1079</v>
      </c>
      <c r="AV29" s="1">
        <v>1082.82</v>
      </c>
      <c r="AW29" s="1">
        <v>1092.1199999999999</v>
      </c>
      <c r="AX29" s="1">
        <v>1100.42</v>
      </c>
      <c r="AY29" s="1">
        <v>1110.81</v>
      </c>
      <c r="AZ29" s="1">
        <v>1115.9100000000001</v>
      </c>
      <c r="BA29" s="1">
        <v>1123</v>
      </c>
      <c r="BB29" s="1">
        <v>1137</v>
      </c>
      <c r="BC29" s="1">
        <v>1138.6600000000001</v>
      </c>
      <c r="BD29" s="1">
        <v>1139.57</v>
      </c>
    </row>
    <row r="30" spans="1:56" x14ac:dyDescent="0.45">
      <c r="B30" s="44" t="s">
        <v>90</v>
      </c>
      <c r="C30" s="44" t="s">
        <v>199</v>
      </c>
      <c r="D30" s="88" t="s">
        <v>41</v>
      </c>
      <c r="F30" s="79"/>
      <c r="G30" s="1">
        <v>1153.8499999999999</v>
      </c>
      <c r="H30" s="1">
        <v>1142.46</v>
      </c>
      <c r="I30" s="1">
        <v>1144.74</v>
      </c>
      <c r="J30" s="1">
        <v>1164.74</v>
      </c>
      <c r="K30" s="1">
        <v>1180.02</v>
      </c>
      <c r="L30" s="1">
        <v>1202.52</v>
      </c>
      <c r="M30" s="1">
        <v>1222.99</v>
      </c>
      <c r="N30" s="1">
        <v>1222.99</v>
      </c>
      <c r="O30" s="1">
        <v>1200.4100000000001</v>
      </c>
      <c r="P30" s="1">
        <v>1182.69</v>
      </c>
      <c r="Q30" s="1">
        <v>1158.28</v>
      </c>
      <c r="R30" s="1">
        <v>1145.6400000000001</v>
      </c>
      <c r="S30" s="1" t="str">
        <v>-9999 Invalid</v>
      </c>
      <c r="T30" s="1">
        <v>1118.67</v>
      </c>
      <c r="U30" s="1">
        <v>1104.3499999999999</v>
      </c>
      <c r="V30" s="1">
        <v>1088.77</v>
      </c>
      <c r="W30" s="1">
        <v>1054.99</v>
      </c>
      <c r="X30" s="1">
        <v>1028.9000000000001</v>
      </c>
      <c r="Y30" s="1">
        <v>1014.7</v>
      </c>
      <c r="Z30" s="1">
        <v>992.05</v>
      </c>
      <c r="AA30" s="1">
        <v>979.15</v>
      </c>
      <c r="AB30" s="1">
        <v>962.89</v>
      </c>
      <c r="AC30" s="1">
        <v>961.67</v>
      </c>
      <c r="AD30" s="1">
        <v>973.17</v>
      </c>
      <c r="AE30" s="1">
        <v>957.92</v>
      </c>
      <c r="AF30" s="1">
        <v>924.68</v>
      </c>
      <c r="AG30" s="1">
        <v>907.86</v>
      </c>
      <c r="AH30" s="1">
        <v>928.82</v>
      </c>
      <c r="AI30" s="1">
        <v>927.24</v>
      </c>
      <c r="AJ30" s="1">
        <v>932.94</v>
      </c>
      <c r="AK30" s="1">
        <v>961.04</v>
      </c>
      <c r="AL30" s="1">
        <v>974.31</v>
      </c>
      <c r="AM30" s="1">
        <v>992.73</v>
      </c>
      <c r="AN30" s="1">
        <v>999.77</v>
      </c>
      <c r="AO30" s="1">
        <v>1013.15</v>
      </c>
      <c r="AP30" s="1">
        <v>1036.4000000000001</v>
      </c>
      <c r="AQ30" s="1">
        <v>1050.52</v>
      </c>
      <c r="AR30" s="1">
        <v>1060.02</v>
      </c>
      <c r="AS30" s="1">
        <v>1068.46</v>
      </c>
      <c r="AT30" s="1">
        <v>1085.72</v>
      </c>
      <c r="AU30" s="1">
        <v>1098.3399999999999</v>
      </c>
      <c r="AV30" s="1">
        <v>1103.2</v>
      </c>
      <c r="AW30" s="1">
        <v>1105.5</v>
      </c>
      <c r="AX30" s="1">
        <v>1113.22</v>
      </c>
      <c r="AY30" s="1">
        <v>1123.83</v>
      </c>
      <c r="AZ30" s="1">
        <v>1129.1300000000001</v>
      </c>
      <c r="BA30" s="1">
        <v>1136.6400000000001</v>
      </c>
      <c r="BB30" s="1" t="str">
        <v>-9999 Invalid</v>
      </c>
      <c r="BC30" s="1">
        <v>1148.72</v>
      </c>
      <c r="BD30" s="1">
        <v>1149.8699999999999</v>
      </c>
    </row>
    <row r="31" spans="1:56" x14ac:dyDescent="0.45">
      <c r="B31" s="44" t="s">
        <v>33</v>
      </c>
      <c r="C31" s="44" t="s">
        <v>195</v>
      </c>
      <c r="D31" s="88" t="s">
        <v>41</v>
      </c>
      <c r="F31" s="79"/>
      <c r="G31" s="1">
        <v>1158.79</v>
      </c>
      <c r="H31" s="1">
        <v>1141.6400000000001</v>
      </c>
      <c r="I31" s="1">
        <v>1134.58</v>
      </c>
      <c r="J31" s="1">
        <v>1152.96</v>
      </c>
      <c r="K31" s="1">
        <v>1170.76</v>
      </c>
      <c r="L31" s="1">
        <v>1189.54</v>
      </c>
      <c r="M31" s="1">
        <v>1206.29</v>
      </c>
      <c r="N31" s="1">
        <v>1222.83</v>
      </c>
      <c r="O31" s="1">
        <v>1204.6099999999999</v>
      </c>
      <c r="P31" s="1">
        <v>1189.83</v>
      </c>
      <c r="Q31" s="1">
        <v>1170.3900000000001</v>
      </c>
      <c r="R31" s="1">
        <v>1153.73</v>
      </c>
      <c r="S31" s="1">
        <v>1141.51</v>
      </c>
      <c r="T31" s="1">
        <v>1131.95</v>
      </c>
      <c r="U31" s="1">
        <v>1111.83</v>
      </c>
      <c r="V31" s="1">
        <v>1094.3</v>
      </c>
      <c r="W31" s="1">
        <v>1061.06</v>
      </c>
      <c r="X31" s="1">
        <v>1038.33</v>
      </c>
      <c r="Y31" s="1">
        <v>1026.1300000000001</v>
      </c>
      <c r="Z31" s="1">
        <v>1007.87</v>
      </c>
      <c r="AA31" s="1">
        <v>996.91</v>
      </c>
      <c r="AB31" s="1">
        <v>972.85</v>
      </c>
      <c r="AC31" s="1">
        <v>958.22</v>
      </c>
      <c r="AD31" s="1">
        <v>949.9</v>
      </c>
      <c r="AE31" s="1">
        <v>947.53</v>
      </c>
      <c r="AF31" s="1">
        <v>914.71</v>
      </c>
      <c r="AG31" s="1">
        <v>904.46</v>
      </c>
      <c r="AH31" s="1">
        <v>921.72</v>
      </c>
      <c r="AI31" s="1">
        <v>916.64</v>
      </c>
      <c r="AJ31" s="1">
        <v>935.4</v>
      </c>
      <c r="AK31" s="1">
        <v>966.18</v>
      </c>
      <c r="AL31" s="1">
        <v>987.45</v>
      </c>
      <c r="AM31" s="1">
        <v>1009.85</v>
      </c>
      <c r="AN31" s="1">
        <v>1021.32</v>
      </c>
      <c r="AO31" s="1">
        <v>1028.46</v>
      </c>
      <c r="AP31" s="1">
        <v>1047.67</v>
      </c>
      <c r="AQ31" s="1" t="str">
        <v>-9999 Invalid</v>
      </c>
      <c r="AR31" s="1">
        <v>1076.75</v>
      </c>
      <c r="AS31" s="1">
        <v>1083.27</v>
      </c>
      <c r="AT31" s="1">
        <v>1098.1099999999999</v>
      </c>
      <c r="AU31" s="1">
        <v>1115.2</v>
      </c>
      <c r="AV31" s="1">
        <v>1117.96</v>
      </c>
      <c r="AW31" s="1">
        <v>1112.51</v>
      </c>
      <c r="AX31" s="1">
        <v>1117.4100000000001</v>
      </c>
      <c r="AY31" s="1">
        <v>1127.8900000000001</v>
      </c>
      <c r="AZ31" s="1">
        <v>1134.83</v>
      </c>
      <c r="BA31" s="1">
        <v>1139.56</v>
      </c>
      <c r="BB31" s="1">
        <v>1133.9000000000001</v>
      </c>
      <c r="BC31" s="1">
        <v>1134.32</v>
      </c>
      <c r="BD31" s="1">
        <v>1144.3800000000001</v>
      </c>
    </row>
    <row r="32" spans="1:56" x14ac:dyDescent="0.45">
      <c r="B32" s="44" t="s">
        <v>34</v>
      </c>
      <c r="C32" s="44" t="s">
        <v>192</v>
      </c>
      <c r="D32" s="88" t="s">
        <v>39</v>
      </c>
      <c r="F32" s="79"/>
      <c r="G32" s="1">
        <v>1157.8499999999999</v>
      </c>
      <c r="H32" s="1">
        <v>1141.0999999999999</v>
      </c>
      <c r="I32" s="1">
        <v>1130.18</v>
      </c>
      <c r="J32" s="1">
        <v>1142.02</v>
      </c>
      <c r="K32" s="1">
        <v>1157.3800000000001</v>
      </c>
      <c r="L32" s="1">
        <v>1176.76</v>
      </c>
      <c r="M32" s="1">
        <v>1191.69</v>
      </c>
      <c r="N32" s="1">
        <v>1214.17</v>
      </c>
      <c r="O32" s="1">
        <v>1206.47</v>
      </c>
      <c r="P32" s="1">
        <v>1195.8499999999999</v>
      </c>
      <c r="Q32" s="1">
        <v>1177.95</v>
      </c>
      <c r="R32" s="1">
        <v>1163.19</v>
      </c>
      <c r="S32" s="1">
        <v>1145.03</v>
      </c>
      <c r="T32" s="1">
        <v>1129.6099999999999</v>
      </c>
      <c r="U32" s="1" t="str">
        <v>-9999 Invalid</v>
      </c>
      <c r="V32" s="1" t="str">
        <v>-9999 Invalid</v>
      </c>
      <c r="W32" s="1">
        <v>1074.06</v>
      </c>
      <c r="X32" s="1">
        <v>1054.03</v>
      </c>
      <c r="Y32" s="1">
        <v>1038.29</v>
      </c>
      <c r="Z32" s="1">
        <v>1022.75</v>
      </c>
      <c r="AA32" s="1">
        <v>1006.57</v>
      </c>
      <c r="AB32" s="1">
        <v>989.13</v>
      </c>
      <c r="AC32" s="1">
        <v>971.86</v>
      </c>
      <c r="AD32" s="1">
        <v>947.9</v>
      </c>
      <c r="AE32" s="1">
        <v>927.73</v>
      </c>
      <c r="AF32" s="1">
        <v>904.67</v>
      </c>
      <c r="AG32" s="1">
        <v>900.2</v>
      </c>
      <c r="AH32" s="1">
        <v>904.74</v>
      </c>
      <c r="AI32" s="1">
        <v>915.78</v>
      </c>
      <c r="AJ32" s="1">
        <v>934.44</v>
      </c>
      <c r="AK32" s="1">
        <v>964.42</v>
      </c>
      <c r="AL32" s="1">
        <v>988.19</v>
      </c>
      <c r="AM32" s="1">
        <v>1015.01</v>
      </c>
      <c r="AN32" s="1">
        <v>1037.7</v>
      </c>
      <c r="AO32" s="1">
        <v>1048.42</v>
      </c>
      <c r="AP32" s="1">
        <v>1064.1300000000001</v>
      </c>
      <c r="AQ32" s="1">
        <v>1076.23</v>
      </c>
      <c r="AR32" s="1">
        <v>1090.1099999999999</v>
      </c>
      <c r="AS32" s="1">
        <v>1100.49</v>
      </c>
      <c r="AT32" s="1">
        <v>1113.07</v>
      </c>
      <c r="AU32" s="1">
        <v>1124.2</v>
      </c>
      <c r="AV32" s="1">
        <v>1115.56</v>
      </c>
      <c r="AW32" s="1">
        <v>1102.69</v>
      </c>
      <c r="AX32" s="1">
        <v>1108.43</v>
      </c>
      <c r="AY32" s="1">
        <v>1122.93</v>
      </c>
      <c r="AZ32" s="1">
        <v>1129.73</v>
      </c>
      <c r="BA32" s="1">
        <v>1125.46</v>
      </c>
      <c r="BB32" s="1">
        <v>1115.18</v>
      </c>
      <c r="BC32" s="1">
        <v>1114.82</v>
      </c>
      <c r="BD32" s="1">
        <v>1133.6600000000001</v>
      </c>
    </row>
    <row r="33" spans="2:56" x14ac:dyDescent="0.45">
      <c r="B33" s="44" t="s">
        <v>35</v>
      </c>
      <c r="C33" s="44" t="s">
        <v>191</v>
      </c>
      <c r="D33" s="88" t="s">
        <v>39</v>
      </c>
      <c r="F33" s="79"/>
      <c r="G33" s="1">
        <v>1152.4100000000001</v>
      </c>
      <c r="H33" s="1">
        <v>1136.98</v>
      </c>
      <c r="I33" s="1">
        <v>1123.3399999999999</v>
      </c>
      <c r="J33" s="1">
        <v>1136.1400000000001</v>
      </c>
      <c r="K33" s="1">
        <v>1149.58</v>
      </c>
      <c r="L33" s="1">
        <v>1172.3</v>
      </c>
      <c r="M33" s="1">
        <v>1188.9100000000001</v>
      </c>
      <c r="N33" s="1">
        <v>1209.6099999999999</v>
      </c>
      <c r="O33" s="1">
        <v>1205.33</v>
      </c>
      <c r="P33" s="1">
        <v>1198.23</v>
      </c>
      <c r="Q33" s="1">
        <v>1182.21</v>
      </c>
      <c r="R33" s="1">
        <v>1170.23</v>
      </c>
      <c r="S33" s="1">
        <v>1148.1500000000001</v>
      </c>
      <c r="T33" s="1">
        <v>1134.51</v>
      </c>
      <c r="U33" s="1">
        <v>1118.49</v>
      </c>
      <c r="V33" s="1">
        <v>1101.6400000000001</v>
      </c>
      <c r="W33" s="1">
        <v>1080.5</v>
      </c>
      <c r="X33" s="1">
        <v>1061.53</v>
      </c>
      <c r="Y33" s="1">
        <v>1050.67</v>
      </c>
      <c r="Z33" s="1">
        <v>1028.23</v>
      </c>
      <c r="AA33" s="1" t="str">
        <v>-9999 Invalid</v>
      </c>
      <c r="AB33" s="1">
        <v>998.89</v>
      </c>
      <c r="AC33" s="1">
        <v>973.84</v>
      </c>
      <c r="AD33" s="1">
        <v>957.02</v>
      </c>
      <c r="AE33" s="1">
        <v>938.39</v>
      </c>
      <c r="AF33" s="1">
        <v>919.51</v>
      </c>
      <c r="AG33" s="1">
        <v>897.52</v>
      </c>
      <c r="AH33" s="1">
        <v>894.98</v>
      </c>
      <c r="AI33" s="1">
        <v>915.02</v>
      </c>
      <c r="AJ33" s="1">
        <v>935.1</v>
      </c>
      <c r="AK33" s="1">
        <v>963.32</v>
      </c>
      <c r="AL33" s="1">
        <v>985.89</v>
      </c>
      <c r="AM33" s="1">
        <v>1011.19</v>
      </c>
      <c r="AN33" s="1">
        <v>1039.82</v>
      </c>
      <c r="AO33" s="1">
        <v>1054.78</v>
      </c>
      <c r="AP33" s="1">
        <v>1073.1500000000001</v>
      </c>
      <c r="AQ33" s="1">
        <v>1085.43</v>
      </c>
      <c r="AR33" s="1">
        <v>1099.8699999999999</v>
      </c>
      <c r="AS33" s="1">
        <v>1112.93</v>
      </c>
      <c r="AT33" s="1">
        <v>1125.0899999999999</v>
      </c>
      <c r="AU33" s="1">
        <v>1112.94</v>
      </c>
      <c r="AV33" s="1">
        <v>1107.5</v>
      </c>
      <c r="AW33" s="1">
        <v>1090.93</v>
      </c>
      <c r="AX33" s="1">
        <v>1101.19</v>
      </c>
      <c r="AY33" s="1" t="str">
        <v>-9999 Invalid</v>
      </c>
      <c r="AZ33" s="1">
        <v>1117.97</v>
      </c>
      <c r="BA33" s="1">
        <v>1113.08</v>
      </c>
      <c r="BB33" s="1">
        <v>1102.96</v>
      </c>
      <c r="BC33" s="1">
        <v>1106.44</v>
      </c>
      <c r="BD33" s="1">
        <v>1124.92</v>
      </c>
    </row>
    <row r="34" spans="2:56" x14ac:dyDescent="0.45">
      <c r="B34" s="44" t="s">
        <v>89</v>
      </c>
      <c r="C34" s="44" t="s">
        <v>198</v>
      </c>
      <c r="D34" s="88" t="s">
        <v>41</v>
      </c>
      <c r="F34" s="79"/>
      <c r="G34" s="1">
        <v>1143.94</v>
      </c>
      <c r="H34" s="1">
        <v>1126.6099999999999</v>
      </c>
      <c r="I34" s="1">
        <v>1115.1300000000001</v>
      </c>
      <c r="J34" s="1">
        <v>1129.4100000000001</v>
      </c>
      <c r="K34" s="1">
        <v>1144.75</v>
      </c>
      <c r="L34" s="1">
        <v>1167.07</v>
      </c>
      <c r="M34" s="1">
        <v>1185.08</v>
      </c>
      <c r="N34" s="1">
        <v>1198.78</v>
      </c>
      <c r="O34" s="1">
        <v>1195.01</v>
      </c>
      <c r="P34" s="1">
        <v>1190.6099999999999</v>
      </c>
      <c r="Q34" s="1">
        <v>1183.83</v>
      </c>
      <c r="R34" s="1">
        <v>1175.43</v>
      </c>
      <c r="S34" s="1">
        <v>1156.95</v>
      </c>
      <c r="T34" s="1">
        <v>1145.3800000000001</v>
      </c>
      <c r="U34" s="1">
        <v>1126.3399999999999</v>
      </c>
      <c r="V34" s="1">
        <v>1109.67</v>
      </c>
      <c r="W34" s="1">
        <v>1088.79</v>
      </c>
      <c r="X34" s="1">
        <v>1077.01</v>
      </c>
      <c r="Y34" s="1">
        <v>1062.8699999999999</v>
      </c>
      <c r="Z34" s="1">
        <v>1041.43</v>
      </c>
      <c r="AA34" s="1">
        <v>1030.25</v>
      </c>
      <c r="AB34" s="1">
        <v>1008.07</v>
      </c>
      <c r="AC34" s="1">
        <v>998.31</v>
      </c>
      <c r="AD34" s="1">
        <v>973.67</v>
      </c>
      <c r="AE34" s="1">
        <v>951.09</v>
      </c>
      <c r="AF34" s="1">
        <v>936.13</v>
      </c>
      <c r="AG34" s="1">
        <v>909.51</v>
      </c>
      <c r="AH34" s="1">
        <v>893.39</v>
      </c>
      <c r="AI34" s="1">
        <v>913.55</v>
      </c>
      <c r="AJ34" s="1">
        <v>934.27</v>
      </c>
      <c r="AK34" s="1" t="str">
        <v>-9999 Invalid</v>
      </c>
      <c r="AL34" s="1">
        <v>983.05</v>
      </c>
      <c r="AM34" s="1">
        <v>1004.25</v>
      </c>
      <c r="AN34" s="1">
        <v>1034.17</v>
      </c>
      <c r="AO34" s="1">
        <v>1052.53</v>
      </c>
      <c r="AP34" s="1">
        <v>1075.01</v>
      </c>
      <c r="AQ34" s="1">
        <v>1090.5899999999999</v>
      </c>
      <c r="AR34" s="1">
        <v>1109.76</v>
      </c>
      <c r="AS34" s="1">
        <v>1118.3399999999999</v>
      </c>
      <c r="AT34" s="1">
        <v>1111.96</v>
      </c>
      <c r="AU34" s="1">
        <v>1090.3800000000001</v>
      </c>
      <c r="AV34" s="1">
        <v>1083.2</v>
      </c>
      <c r="AW34" s="1">
        <v>1071.23</v>
      </c>
      <c r="AX34" s="1">
        <v>1085.4100000000001</v>
      </c>
      <c r="AY34" s="1">
        <v>1099.6099999999999</v>
      </c>
      <c r="AZ34" s="1">
        <v>1099.8699999999999</v>
      </c>
      <c r="BA34" s="1">
        <v>1094.97</v>
      </c>
      <c r="BB34" s="1">
        <v>1085.49</v>
      </c>
      <c r="BC34" s="1">
        <v>1095.57</v>
      </c>
      <c r="BD34" s="1">
        <v>1113.4000000000001</v>
      </c>
    </row>
    <row r="35" spans="2:56" x14ac:dyDescent="0.45">
      <c r="B35" s="44" t="s">
        <v>170</v>
      </c>
      <c r="C35" s="44" t="s">
        <v>204</v>
      </c>
      <c r="D35" s="88" t="s">
        <v>41</v>
      </c>
      <c r="F35" s="79"/>
      <c r="G35" s="1">
        <v>1135.3</v>
      </c>
      <c r="H35" s="1">
        <v>1116.93</v>
      </c>
      <c r="I35" s="1">
        <v>1105.73</v>
      </c>
      <c r="J35" s="1">
        <v>1122.81</v>
      </c>
      <c r="K35" s="1">
        <v>1139.97</v>
      </c>
      <c r="L35" s="1">
        <v>1161.1099999999999</v>
      </c>
      <c r="M35" s="1">
        <v>1179.22</v>
      </c>
      <c r="N35" s="1">
        <v>1184.6199999999999</v>
      </c>
      <c r="O35" s="1">
        <v>1173.4100000000001</v>
      </c>
      <c r="P35" s="1">
        <v>1169.93</v>
      </c>
      <c r="Q35" s="1">
        <v>1164.33</v>
      </c>
      <c r="R35" s="1">
        <v>1160.51</v>
      </c>
      <c r="S35" s="1">
        <v>1155.6300000000001</v>
      </c>
      <c r="T35" s="1">
        <v>1147.76</v>
      </c>
      <c r="U35" s="1">
        <v>1131.2</v>
      </c>
      <c r="V35" s="1">
        <v>1118.05</v>
      </c>
      <c r="W35" s="1">
        <v>1105.25</v>
      </c>
      <c r="X35" s="1">
        <v>1091.25</v>
      </c>
      <c r="Y35" s="1">
        <v>1079.1099999999999</v>
      </c>
      <c r="Z35" s="1">
        <v>1061.1500000000001</v>
      </c>
      <c r="AA35" s="1">
        <v>1045.0899999999999</v>
      </c>
      <c r="AB35" s="1">
        <v>1028.01</v>
      </c>
      <c r="AC35" s="1">
        <v>1016.21</v>
      </c>
      <c r="AD35" s="1">
        <v>988.81</v>
      </c>
      <c r="AE35" s="1">
        <v>960.09</v>
      </c>
      <c r="AF35" s="1">
        <v>945.23</v>
      </c>
      <c r="AG35" s="1">
        <v>910.05</v>
      </c>
      <c r="AH35" s="1">
        <v>885.69</v>
      </c>
      <c r="AI35" s="1">
        <v>912.11</v>
      </c>
      <c r="AJ35" s="1">
        <v>933.15</v>
      </c>
      <c r="AK35" s="1">
        <v>963.13</v>
      </c>
      <c r="AL35" s="1">
        <v>980.29</v>
      </c>
      <c r="AM35" s="1">
        <v>997.13</v>
      </c>
      <c r="AN35" s="1">
        <v>1023.75</v>
      </c>
      <c r="AO35" s="1">
        <v>1045.51</v>
      </c>
      <c r="AP35" s="1" t="str">
        <v>-9999 Invalid</v>
      </c>
      <c r="AQ35" s="1">
        <v>1085.05</v>
      </c>
      <c r="AR35" s="1">
        <v>1106.48</v>
      </c>
      <c r="AS35" s="1">
        <v>1106.82</v>
      </c>
      <c r="AT35" s="1" t="str">
        <v>-9999 Invalid</v>
      </c>
      <c r="AU35" s="1">
        <v>1070.28</v>
      </c>
      <c r="AV35" s="1">
        <v>1060.08</v>
      </c>
      <c r="AW35" s="1">
        <v>1050.29</v>
      </c>
      <c r="AX35" s="1">
        <v>1063.95</v>
      </c>
      <c r="AY35" s="1">
        <v>1077.55</v>
      </c>
      <c r="AZ35" s="1">
        <v>1076.57</v>
      </c>
      <c r="BA35" s="1">
        <v>1072.23</v>
      </c>
      <c r="BB35" s="1">
        <v>1071.17</v>
      </c>
      <c r="BC35" s="1">
        <v>1084.55</v>
      </c>
      <c r="BD35" s="1">
        <v>1098.5</v>
      </c>
    </row>
    <row r="36" spans="2:56" x14ac:dyDescent="0.45">
      <c r="B36" s="44" t="s">
        <v>167</v>
      </c>
      <c r="C36" s="44" t="s">
        <v>203</v>
      </c>
      <c r="D36" s="88" t="s">
        <v>88</v>
      </c>
      <c r="F36" s="79"/>
      <c r="G36" s="1" t="str">
        <v>-9999 Invalid</v>
      </c>
      <c r="H36" s="1">
        <v>1105.48</v>
      </c>
      <c r="I36" s="1">
        <v>1097.3599999999999</v>
      </c>
      <c r="J36" s="1">
        <v>1115.46</v>
      </c>
      <c r="K36" s="1">
        <v>1133.79</v>
      </c>
      <c r="L36" s="1">
        <v>1155.55</v>
      </c>
      <c r="M36" s="1">
        <v>1171.81</v>
      </c>
      <c r="N36" s="1">
        <v>1171.29</v>
      </c>
      <c r="O36" s="1">
        <v>1151.25</v>
      </c>
      <c r="P36" s="1" t="str">
        <v>-9999 Invalid</v>
      </c>
      <c r="Q36" s="1">
        <v>1147.0999999999999</v>
      </c>
      <c r="R36" s="1">
        <v>1148.42</v>
      </c>
      <c r="S36" s="1">
        <v>1144.52</v>
      </c>
      <c r="T36" s="1">
        <v>1136.94</v>
      </c>
      <c r="U36" s="1">
        <v>1126.3</v>
      </c>
      <c r="V36" s="1">
        <v>1118.95</v>
      </c>
      <c r="W36" s="1">
        <v>1111.95</v>
      </c>
      <c r="X36" s="1">
        <v>1102.53</v>
      </c>
      <c r="Y36" s="1">
        <v>1093.47</v>
      </c>
      <c r="Z36" s="1">
        <v>1076.28</v>
      </c>
      <c r="AA36" s="1">
        <v>1062.08</v>
      </c>
      <c r="AB36" s="1">
        <v>1038.76</v>
      </c>
      <c r="AC36" s="1">
        <v>1021.94</v>
      </c>
      <c r="AD36" s="1">
        <v>996.56</v>
      </c>
      <c r="AE36" s="1">
        <v>963.28</v>
      </c>
      <c r="AF36" s="1" t="str">
        <v>-9999 Invalid</v>
      </c>
      <c r="AG36" s="1">
        <v>906.64</v>
      </c>
      <c r="AH36" s="1">
        <v>884.58</v>
      </c>
      <c r="AI36" s="1">
        <v>909.36</v>
      </c>
      <c r="AJ36" s="1">
        <v>931.16</v>
      </c>
      <c r="AK36" s="1">
        <v>949.1</v>
      </c>
      <c r="AL36" s="1">
        <v>960.52</v>
      </c>
      <c r="AM36" s="1" t="str">
        <v>-9999 Invalid</v>
      </c>
      <c r="AN36" s="1">
        <v>1013.46</v>
      </c>
      <c r="AO36" s="1">
        <v>1037.8</v>
      </c>
      <c r="AP36" s="1" t="str">
        <v>-9999 Invalid</v>
      </c>
      <c r="AQ36" s="1">
        <v>1077.54</v>
      </c>
      <c r="AR36" s="1">
        <v>1094.53</v>
      </c>
      <c r="AS36" s="1">
        <v>1087.8699999999999</v>
      </c>
      <c r="AT36" s="1">
        <v>1071.3499999999999</v>
      </c>
      <c r="AU36" s="1">
        <v>1051.97</v>
      </c>
      <c r="AV36" s="1">
        <v>1037.27</v>
      </c>
      <c r="AW36" s="1">
        <v>1033.58</v>
      </c>
      <c r="AX36" s="1">
        <v>1043.3</v>
      </c>
      <c r="AY36" s="1">
        <v>1050.92</v>
      </c>
      <c r="AZ36" s="1">
        <v>1050.2</v>
      </c>
      <c r="BA36" s="1">
        <v>1047.79</v>
      </c>
      <c r="BB36" s="1">
        <v>1063.73</v>
      </c>
      <c r="BC36" s="1">
        <v>1072.29</v>
      </c>
      <c r="BD36" s="1">
        <v>1085.04</v>
      </c>
    </row>
    <row r="37" spans="2:56" x14ac:dyDescent="0.45">
      <c r="B37" s="44" t="s">
        <v>93</v>
      </c>
      <c r="C37" s="44" t="s">
        <v>202</v>
      </c>
      <c r="D37" s="88" t="s">
        <v>41</v>
      </c>
      <c r="F37" s="79"/>
      <c r="G37" s="1">
        <v>1119.98</v>
      </c>
      <c r="H37" s="1">
        <v>1097.26</v>
      </c>
      <c r="I37" s="1">
        <v>1092.3599999999999</v>
      </c>
      <c r="J37" s="1">
        <v>1110.3</v>
      </c>
      <c r="K37" s="1">
        <v>1127.47</v>
      </c>
      <c r="L37" s="1">
        <v>1149.1500000000001</v>
      </c>
      <c r="M37" s="1">
        <v>1164.5899999999999</v>
      </c>
      <c r="N37" s="1">
        <v>1156.33</v>
      </c>
      <c r="O37" s="1">
        <v>1134.05</v>
      </c>
      <c r="P37" s="1">
        <v>1128.67</v>
      </c>
      <c r="Q37" s="1">
        <v>1130.7</v>
      </c>
      <c r="R37" s="1">
        <v>1135.96</v>
      </c>
      <c r="S37" s="1">
        <v>1132.4000000000001</v>
      </c>
      <c r="T37" s="1">
        <v>1126.3599999999999</v>
      </c>
      <c r="U37" s="1">
        <v>1116.78</v>
      </c>
      <c r="V37" s="1">
        <v>1110.3900000000001</v>
      </c>
      <c r="W37" s="1">
        <v>1104.1099999999999</v>
      </c>
      <c r="X37" s="1">
        <v>1097.4100000000001</v>
      </c>
      <c r="Y37" s="1">
        <v>1086.29</v>
      </c>
      <c r="Z37" s="1">
        <v>1067.6199999999999</v>
      </c>
      <c r="AA37" s="1">
        <v>1053.7</v>
      </c>
      <c r="AB37" s="1">
        <v>1033.5</v>
      </c>
      <c r="AC37" s="1">
        <v>1016.28</v>
      </c>
      <c r="AD37" s="1">
        <v>992.16</v>
      </c>
      <c r="AE37" s="1">
        <v>959.24</v>
      </c>
      <c r="AF37" s="1">
        <v>937.96</v>
      </c>
      <c r="AG37" s="1">
        <v>904.7</v>
      </c>
      <c r="AH37" s="1">
        <v>877.76</v>
      </c>
      <c r="AI37" s="1">
        <v>897.76</v>
      </c>
      <c r="AJ37" s="1">
        <v>916.52</v>
      </c>
      <c r="AK37" s="1">
        <v>927.92</v>
      </c>
      <c r="AL37" s="1">
        <v>950.14</v>
      </c>
      <c r="AM37" s="1">
        <v>980.4</v>
      </c>
      <c r="AN37" s="1">
        <v>1007.68</v>
      </c>
      <c r="AO37" s="1">
        <v>1027.8399999999999</v>
      </c>
      <c r="AP37" s="1">
        <v>1052.28</v>
      </c>
      <c r="AQ37" s="1">
        <v>1071.42</v>
      </c>
      <c r="AR37" s="1">
        <v>1077.6500000000001</v>
      </c>
      <c r="AS37" s="1">
        <v>1065.6300000000001</v>
      </c>
      <c r="AT37" s="1">
        <v>1053.73</v>
      </c>
      <c r="AU37" s="1">
        <v>1039.3699999999999</v>
      </c>
      <c r="AV37" s="1">
        <v>1023.19</v>
      </c>
      <c r="AW37" s="1">
        <v>1014.72</v>
      </c>
      <c r="AX37" s="1">
        <v>1022</v>
      </c>
      <c r="AY37" s="1">
        <v>1028.1199999999999</v>
      </c>
      <c r="AZ37" s="1">
        <v>1026.96</v>
      </c>
      <c r="BA37" s="1">
        <v>1035.3699999999999</v>
      </c>
      <c r="BB37" s="1">
        <v>1051.75</v>
      </c>
      <c r="BC37" s="1">
        <v>1066.0899999999999</v>
      </c>
      <c r="BD37" s="1">
        <v>1084.42</v>
      </c>
    </row>
    <row r="38" spans="2:56" x14ac:dyDescent="0.45">
      <c r="B38" s="44" t="s">
        <v>92</v>
      </c>
      <c r="C38" s="44" t="s">
        <v>201</v>
      </c>
      <c r="D38" s="88" t="s">
        <v>41</v>
      </c>
      <c r="F38" s="79"/>
      <c r="G38" s="1">
        <v>1115.5</v>
      </c>
      <c r="H38" s="1">
        <v>1091.1199999999999</v>
      </c>
      <c r="I38" s="1">
        <v>1084.18</v>
      </c>
      <c r="J38" s="1">
        <v>1105.26</v>
      </c>
      <c r="K38" s="1">
        <v>1121.1300000000001</v>
      </c>
      <c r="L38" s="1">
        <v>1142.6500000000001</v>
      </c>
      <c r="M38" s="1">
        <v>1153.57</v>
      </c>
      <c r="N38" s="1">
        <v>1143.49</v>
      </c>
      <c r="O38" s="1">
        <v>1123.3699999999999</v>
      </c>
      <c r="P38" s="1">
        <v>1109.07</v>
      </c>
      <c r="Q38" s="1">
        <v>1114.08</v>
      </c>
      <c r="R38" s="1">
        <v>1123.7</v>
      </c>
      <c r="S38" s="1">
        <v>1121.6199999999999</v>
      </c>
      <c r="T38" s="1" t="str">
        <v>-9999 Invalid</v>
      </c>
      <c r="U38" s="1">
        <v>1101.74</v>
      </c>
      <c r="V38" s="1">
        <v>1090.27</v>
      </c>
      <c r="W38" s="1">
        <v>1084.81</v>
      </c>
      <c r="X38" s="1">
        <v>1079.8499999999999</v>
      </c>
      <c r="Y38" s="1">
        <v>1073.1500000000001</v>
      </c>
      <c r="Z38" s="1">
        <v>1053.48</v>
      </c>
      <c r="AA38" s="1">
        <v>1037.24</v>
      </c>
      <c r="AB38" s="1">
        <v>1014.38</v>
      </c>
      <c r="AC38" s="1">
        <v>1003.22</v>
      </c>
      <c r="AD38" s="1">
        <v>981.36</v>
      </c>
      <c r="AE38" s="1">
        <v>949.54</v>
      </c>
      <c r="AF38" s="1">
        <v>934.58</v>
      </c>
      <c r="AG38" s="1">
        <v>899.48</v>
      </c>
      <c r="AH38" s="1">
        <v>869.38</v>
      </c>
      <c r="AI38" s="1">
        <v>875.66</v>
      </c>
      <c r="AJ38" s="1">
        <v>892.8</v>
      </c>
      <c r="AK38" s="1">
        <v>923.28</v>
      </c>
      <c r="AL38" s="1">
        <v>944.68</v>
      </c>
      <c r="AM38" s="1">
        <v>973.1</v>
      </c>
      <c r="AN38" s="1">
        <v>997.62</v>
      </c>
      <c r="AO38" s="1">
        <v>1015.9</v>
      </c>
      <c r="AP38" s="1">
        <v>1044.44</v>
      </c>
      <c r="AQ38" s="1" t="str">
        <v>-9999 Invalid</v>
      </c>
      <c r="AR38" s="1">
        <v>1057.01</v>
      </c>
      <c r="AS38" s="1">
        <v>1043.03</v>
      </c>
      <c r="AT38" s="1">
        <v>1031.27</v>
      </c>
      <c r="AU38" s="1">
        <v>1024.23</v>
      </c>
      <c r="AV38" s="1">
        <v>1008.47</v>
      </c>
      <c r="AW38" s="1">
        <v>994.32</v>
      </c>
      <c r="AX38" s="1">
        <v>1001.38</v>
      </c>
      <c r="AY38" s="1">
        <v>1006.48</v>
      </c>
      <c r="AZ38" s="1">
        <v>1020.46</v>
      </c>
      <c r="BA38" s="1">
        <v>1040.3900000000001</v>
      </c>
      <c r="BB38" s="1">
        <v>1058.67</v>
      </c>
      <c r="BC38" s="1">
        <v>1072.29</v>
      </c>
      <c r="BD38" s="1">
        <v>1084.98</v>
      </c>
    </row>
    <row r="39" spans="2:56" x14ac:dyDescent="0.45">
      <c r="B39" s="44" t="s">
        <v>36</v>
      </c>
      <c r="C39" s="44" t="s">
        <v>197</v>
      </c>
      <c r="D39" s="88" t="s">
        <v>41</v>
      </c>
      <c r="F39" s="79"/>
      <c r="G39" s="1">
        <v>1109.29</v>
      </c>
      <c r="H39" s="1">
        <v>1085.26</v>
      </c>
      <c r="I39" s="1">
        <v>1074.76</v>
      </c>
      <c r="J39" s="1">
        <v>1096.8599999999999</v>
      </c>
      <c r="K39" s="1">
        <v>1111.47</v>
      </c>
      <c r="L39" s="1">
        <v>1132.31</v>
      </c>
      <c r="M39" s="1">
        <v>1137.8699999999999</v>
      </c>
      <c r="N39" s="1">
        <v>1127.23</v>
      </c>
      <c r="O39" s="1">
        <v>1109.51</v>
      </c>
      <c r="P39" s="1">
        <v>1095.23</v>
      </c>
      <c r="Q39" s="1">
        <v>1104.3800000000001</v>
      </c>
      <c r="R39" s="1">
        <v>1109.82</v>
      </c>
      <c r="S39" s="1">
        <v>1107.96</v>
      </c>
      <c r="T39" s="1">
        <v>1099.51</v>
      </c>
      <c r="U39" s="1">
        <v>1082.23</v>
      </c>
      <c r="V39" s="1">
        <v>1075.3900000000001</v>
      </c>
      <c r="W39" s="1">
        <v>1067.3900000000001</v>
      </c>
      <c r="X39" s="1">
        <v>1061.8</v>
      </c>
      <c r="Y39" s="1">
        <v>1054.1199999999999</v>
      </c>
      <c r="Z39" s="1">
        <v>1037.3499999999999</v>
      </c>
      <c r="AA39" s="1">
        <v>1022.99</v>
      </c>
      <c r="AB39" s="1">
        <v>998.21</v>
      </c>
      <c r="AC39" s="1">
        <v>984.81</v>
      </c>
      <c r="AD39" s="1">
        <v>963.35</v>
      </c>
      <c r="AE39" s="1">
        <v>939.18</v>
      </c>
      <c r="AF39" s="1" t="str">
        <v>-9999 Invalid</v>
      </c>
      <c r="AG39" s="1">
        <v>897.45</v>
      </c>
      <c r="AH39" s="1">
        <v>874.83</v>
      </c>
      <c r="AI39" s="1">
        <v>869.69</v>
      </c>
      <c r="AJ39" s="1">
        <v>890.15</v>
      </c>
      <c r="AK39" s="1">
        <v>916.65</v>
      </c>
      <c r="AL39" s="1">
        <v>933.28</v>
      </c>
      <c r="AM39" s="1">
        <v>960.68</v>
      </c>
      <c r="AN39" s="1" t="str">
        <v>-9999 Invalid</v>
      </c>
      <c r="AO39" s="1">
        <v>1008.3</v>
      </c>
      <c r="AP39" s="1">
        <v>1036.8399999999999</v>
      </c>
      <c r="AQ39" s="1">
        <v>1052.8399999999999</v>
      </c>
      <c r="AR39" s="1">
        <v>1042.2</v>
      </c>
      <c r="AS39" s="1">
        <v>1025.1199999999999</v>
      </c>
      <c r="AT39" s="1">
        <v>999.76</v>
      </c>
      <c r="AU39" s="1" t="str">
        <v>-9999 Invalid</v>
      </c>
      <c r="AV39" s="1">
        <v>994.71</v>
      </c>
      <c r="AW39" s="1">
        <v>976.13</v>
      </c>
      <c r="AX39" s="1">
        <v>985.49</v>
      </c>
      <c r="AY39" s="1">
        <v>1000.92</v>
      </c>
      <c r="AZ39" s="1">
        <v>1023.34</v>
      </c>
      <c r="BA39" s="1">
        <v>1046.56</v>
      </c>
      <c r="BB39" s="1">
        <v>1066.8399999999999</v>
      </c>
      <c r="BC39" s="1">
        <v>1077.08</v>
      </c>
      <c r="BD39" s="1">
        <v>1075.93</v>
      </c>
    </row>
    <row r="40" spans="2:56" x14ac:dyDescent="0.45">
      <c r="B40" s="44" t="s">
        <v>37</v>
      </c>
      <c r="C40" s="44" t="s">
        <v>193</v>
      </c>
      <c r="D40" s="88" t="s">
        <v>39</v>
      </c>
      <c r="F40" s="79"/>
      <c r="G40" s="1">
        <v>1100.19</v>
      </c>
      <c r="H40" s="1">
        <v>1079.3399999999999</v>
      </c>
      <c r="I40" s="1">
        <v>1070.52</v>
      </c>
      <c r="J40" s="1">
        <v>1087.18</v>
      </c>
      <c r="K40" s="1" t="str">
        <v>-9999 Invalid</v>
      </c>
      <c r="L40" s="1" t="str">
        <v>-9999 Invalid</v>
      </c>
      <c r="M40" s="1">
        <v>1119.57</v>
      </c>
      <c r="N40" s="1">
        <v>1109.9100000000001</v>
      </c>
      <c r="O40" s="1">
        <v>1094.25</v>
      </c>
      <c r="P40" s="1">
        <v>1080.6500000000001</v>
      </c>
      <c r="Q40" s="1">
        <v>1089.26</v>
      </c>
      <c r="R40" s="1">
        <v>1093.42</v>
      </c>
      <c r="S40" s="1">
        <v>1088.1600000000001</v>
      </c>
      <c r="T40" s="1">
        <v>1077.71</v>
      </c>
      <c r="U40" s="1">
        <v>1060.93</v>
      </c>
      <c r="V40" s="1">
        <v>1055.69</v>
      </c>
      <c r="W40" s="1">
        <v>1045.81</v>
      </c>
      <c r="X40" s="1">
        <v>1047</v>
      </c>
      <c r="Y40" s="1">
        <v>1042.6199999999999</v>
      </c>
      <c r="Z40" s="1">
        <v>1022.41</v>
      </c>
      <c r="AA40" s="1">
        <v>1003.99</v>
      </c>
      <c r="AB40" s="1">
        <v>975.63</v>
      </c>
      <c r="AC40" s="1">
        <v>962.21</v>
      </c>
      <c r="AD40" s="1">
        <v>949.63</v>
      </c>
      <c r="AE40" s="1">
        <v>927.16</v>
      </c>
      <c r="AF40" s="1">
        <v>908.56</v>
      </c>
      <c r="AG40" s="1">
        <v>881.63</v>
      </c>
      <c r="AH40" s="1">
        <v>860.93</v>
      </c>
      <c r="AI40" s="1">
        <v>878.27</v>
      </c>
      <c r="AJ40" s="1">
        <v>891.23</v>
      </c>
      <c r="AK40" s="1">
        <v>911.03</v>
      </c>
      <c r="AL40" s="1">
        <v>930.7</v>
      </c>
      <c r="AM40" s="1">
        <v>958.58</v>
      </c>
      <c r="AN40" s="1">
        <v>982.32</v>
      </c>
      <c r="AO40" s="1">
        <v>1001.28</v>
      </c>
      <c r="AP40" s="1">
        <v>1030.96</v>
      </c>
      <c r="AQ40" s="1">
        <v>1041.1400000000001</v>
      </c>
      <c r="AR40" s="1">
        <v>1025</v>
      </c>
      <c r="AS40" s="1">
        <v>1011.44</v>
      </c>
      <c r="AT40" s="1">
        <v>998.94</v>
      </c>
      <c r="AU40" s="1">
        <v>979.61</v>
      </c>
      <c r="AV40" s="1">
        <v>977.79</v>
      </c>
      <c r="AW40" s="1">
        <v>966.89</v>
      </c>
      <c r="AX40" s="1">
        <v>973.47</v>
      </c>
      <c r="AY40" s="1" t="str">
        <v>-9999 Invalid</v>
      </c>
      <c r="AZ40" s="1">
        <v>1019.92</v>
      </c>
      <c r="BA40" s="1">
        <v>1046.76</v>
      </c>
      <c r="BB40" s="1">
        <v>1070.0999999999999</v>
      </c>
      <c r="BC40" s="1">
        <v>1073.24</v>
      </c>
      <c r="BD40" s="1">
        <v>1061.1099999999999</v>
      </c>
    </row>
    <row r="41" spans="2:56" x14ac:dyDescent="0.45">
      <c r="B41" s="44" t="s">
        <v>40</v>
      </c>
      <c r="C41" s="44" t="s">
        <v>194</v>
      </c>
      <c r="D41" s="88" t="s">
        <v>39</v>
      </c>
      <c r="F41" s="79"/>
      <c r="G41" s="1">
        <v>1085.43</v>
      </c>
      <c r="H41" s="1">
        <v>1069.82</v>
      </c>
      <c r="I41" s="1">
        <v>1060.76</v>
      </c>
      <c r="J41" s="1">
        <v>1068.6600000000001</v>
      </c>
      <c r="K41" s="1">
        <v>1081.6099999999999</v>
      </c>
      <c r="L41" s="1">
        <v>1092.21</v>
      </c>
      <c r="M41" s="1">
        <v>1097.81</v>
      </c>
      <c r="N41" s="1">
        <v>1092.8900000000001</v>
      </c>
      <c r="O41" s="1">
        <v>1075.21</v>
      </c>
      <c r="P41" s="1">
        <v>1063.07</v>
      </c>
      <c r="Q41" s="1">
        <v>1070.98</v>
      </c>
      <c r="R41" s="1">
        <v>1072.58</v>
      </c>
      <c r="S41" s="1">
        <v>1065.6400000000001</v>
      </c>
      <c r="T41" s="1">
        <v>1051.3699999999999</v>
      </c>
      <c r="U41" s="1" t="str">
        <v>-9999 Invalid</v>
      </c>
      <c r="V41" s="1">
        <v>1031.1300000000001</v>
      </c>
      <c r="W41" s="1">
        <v>1020.77</v>
      </c>
      <c r="X41" s="1">
        <v>1026.7</v>
      </c>
      <c r="Y41" s="1">
        <v>1028.9000000000001</v>
      </c>
      <c r="Z41" s="1">
        <v>1014.19</v>
      </c>
      <c r="AA41" s="1">
        <v>996.93</v>
      </c>
      <c r="AB41" s="1">
        <v>970.81</v>
      </c>
      <c r="AC41" s="1">
        <v>954.07</v>
      </c>
      <c r="AD41" s="1">
        <v>928.19</v>
      </c>
      <c r="AE41" s="1">
        <v>920.82</v>
      </c>
      <c r="AF41" s="1">
        <v>900.6</v>
      </c>
      <c r="AG41" s="1">
        <v>863.21</v>
      </c>
      <c r="AH41" s="1">
        <v>867.99</v>
      </c>
      <c r="AI41" s="1">
        <v>898.13</v>
      </c>
      <c r="AJ41" s="1">
        <v>913.11</v>
      </c>
      <c r="AK41" s="1">
        <v>926.17</v>
      </c>
      <c r="AL41" s="1">
        <v>936.5</v>
      </c>
      <c r="AM41" s="1">
        <v>957.34</v>
      </c>
      <c r="AN41" s="1">
        <v>980.82</v>
      </c>
      <c r="AO41" s="1">
        <v>999.9</v>
      </c>
      <c r="AP41" s="1">
        <v>1026.82</v>
      </c>
      <c r="AQ41" s="1">
        <v>1019.04</v>
      </c>
      <c r="AR41" s="1" t="str">
        <v>-9999 Invalid</v>
      </c>
      <c r="AS41" s="1">
        <v>996.3</v>
      </c>
      <c r="AT41" s="1">
        <v>984.46</v>
      </c>
      <c r="AU41" s="1">
        <v>968.41</v>
      </c>
      <c r="AV41" s="1">
        <v>962.81</v>
      </c>
      <c r="AW41" s="1">
        <v>959.15</v>
      </c>
      <c r="AX41" s="1">
        <v>971.01</v>
      </c>
      <c r="AY41" s="1" t="str">
        <v>-9999 Invalid</v>
      </c>
      <c r="AZ41" s="1">
        <v>1017.74</v>
      </c>
      <c r="BA41" s="1">
        <v>1046.48</v>
      </c>
      <c r="BB41" s="1">
        <v>1062.0999999999999</v>
      </c>
      <c r="BC41" s="1">
        <v>1053.02</v>
      </c>
      <c r="BD41" s="1">
        <v>1039.57</v>
      </c>
    </row>
    <row r="42" spans="2:56" x14ac:dyDescent="0.45">
      <c r="F42" s="79"/>
      <c r="G42" s="1">
        <v>1060.68</v>
      </c>
      <c r="H42" s="1">
        <v>1046.8599999999999</v>
      </c>
      <c r="I42" s="1">
        <v>1053.08</v>
      </c>
      <c r="J42" s="1">
        <v>1045.0999999999999</v>
      </c>
      <c r="K42" s="1">
        <v>1054.6099999999999</v>
      </c>
      <c r="L42" s="1">
        <v>1073.6500000000001</v>
      </c>
      <c r="M42" s="1">
        <v>1078.67</v>
      </c>
      <c r="N42" s="1">
        <v>1070.77</v>
      </c>
      <c r="O42" s="1">
        <v>1047.72</v>
      </c>
      <c r="P42" s="1">
        <v>1051.06</v>
      </c>
      <c r="Q42" s="1" t="str">
        <v>-9999 Invalid</v>
      </c>
      <c r="R42" s="1">
        <v>1048.27</v>
      </c>
      <c r="S42" s="1">
        <v>1039.69</v>
      </c>
      <c r="T42" s="1">
        <v>1029.45</v>
      </c>
      <c r="U42" s="1">
        <v>1012.95</v>
      </c>
      <c r="V42" s="1">
        <v>1007.36</v>
      </c>
      <c r="W42" s="1">
        <v>1002.46</v>
      </c>
      <c r="X42" s="1">
        <v>1007.41</v>
      </c>
      <c r="Y42" s="1">
        <v>1017.97</v>
      </c>
      <c r="Z42" s="1">
        <v>1007.91</v>
      </c>
      <c r="AA42" s="1">
        <v>993.51</v>
      </c>
      <c r="AB42" s="1">
        <v>968.01</v>
      </c>
      <c r="AC42" s="1">
        <v>952.45</v>
      </c>
      <c r="AD42" s="1">
        <v>923.71</v>
      </c>
      <c r="AE42" s="1">
        <v>902.42</v>
      </c>
      <c r="AF42" s="1">
        <v>889.16</v>
      </c>
      <c r="AG42" s="1">
        <v>853.56</v>
      </c>
      <c r="AH42" s="1">
        <v>870.36</v>
      </c>
      <c r="AI42" s="1">
        <v>900.39</v>
      </c>
      <c r="AJ42" s="1">
        <v>919.15</v>
      </c>
      <c r="AK42" s="1">
        <v>937.31</v>
      </c>
      <c r="AL42" s="1">
        <v>951.23</v>
      </c>
      <c r="AM42" s="1">
        <v>967.69</v>
      </c>
      <c r="AN42" s="1">
        <v>984.81</v>
      </c>
      <c r="AO42" s="1">
        <v>1001.63</v>
      </c>
      <c r="AP42" s="1">
        <v>1015.92</v>
      </c>
      <c r="AQ42" s="1">
        <v>1002.06</v>
      </c>
      <c r="AR42" s="1">
        <v>981.73</v>
      </c>
      <c r="AS42" s="1">
        <v>976.87</v>
      </c>
      <c r="AT42" s="1">
        <v>970.15</v>
      </c>
      <c r="AU42" s="1">
        <v>956.78</v>
      </c>
      <c r="AV42" s="1">
        <v>945.7</v>
      </c>
      <c r="AW42" s="1">
        <v>950.39</v>
      </c>
      <c r="AX42" s="1">
        <v>969.51</v>
      </c>
      <c r="AY42" s="1">
        <v>994.74</v>
      </c>
      <c r="AZ42" s="1">
        <v>1015.6</v>
      </c>
      <c r="BA42" s="1">
        <v>1044.93</v>
      </c>
      <c r="BB42" s="1">
        <v>1046.6500000000001</v>
      </c>
      <c r="BC42" s="1">
        <v>1035.29</v>
      </c>
      <c r="BD42" s="1">
        <v>1022.68</v>
      </c>
    </row>
    <row r="43" spans="2:56" x14ac:dyDescent="0.45">
      <c r="F43" s="79"/>
      <c r="G43" s="1">
        <v>1078.18</v>
      </c>
      <c r="H43" s="1">
        <v>1051.5</v>
      </c>
      <c r="I43" s="1">
        <v>1040.78</v>
      </c>
      <c r="J43" s="1" t="str">
        <v>-9999 Invalid</v>
      </c>
      <c r="K43" s="1">
        <v>1039.67</v>
      </c>
      <c r="L43" s="1">
        <v>1060.6300000000001</v>
      </c>
      <c r="M43" s="1">
        <v>1061.1500000000001</v>
      </c>
      <c r="N43" s="1">
        <v>1044.29</v>
      </c>
      <c r="O43" s="1">
        <v>1029.18</v>
      </c>
      <c r="P43" s="1">
        <v>1041.56</v>
      </c>
      <c r="Q43" s="1">
        <v>1035.99</v>
      </c>
      <c r="R43" s="1">
        <v>1031.29</v>
      </c>
      <c r="S43" s="1">
        <v>1018.99</v>
      </c>
      <c r="T43" s="1">
        <v>1009.03</v>
      </c>
      <c r="U43" s="1">
        <v>998.39</v>
      </c>
      <c r="V43" s="1">
        <v>987.72</v>
      </c>
      <c r="W43" s="1">
        <v>984.06</v>
      </c>
      <c r="X43" s="1">
        <v>996.31</v>
      </c>
      <c r="Y43" s="1">
        <v>1005.85</v>
      </c>
      <c r="Z43" s="1">
        <v>998.81</v>
      </c>
      <c r="AA43" s="1">
        <v>985.43</v>
      </c>
      <c r="AB43" s="1">
        <v>964.13</v>
      </c>
      <c r="AC43" s="1">
        <v>947.09</v>
      </c>
      <c r="AD43" s="1">
        <v>920.03</v>
      </c>
      <c r="AE43" s="1" t="str">
        <v>-9999 Invalid</v>
      </c>
      <c r="AF43" s="1">
        <v>866.24</v>
      </c>
      <c r="AG43" s="1">
        <v>852.28</v>
      </c>
      <c r="AH43" s="1">
        <v>869.76</v>
      </c>
      <c r="AI43" s="1">
        <v>897.47</v>
      </c>
      <c r="AJ43" s="1">
        <v>919.51</v>
      </c>
      <c r="AK43" s="1">
        <v>940.01</v>
      </c>
      <c r="AL43" s="1">
        <v>954.55</v>
      </c>
      <c r="AM43" s="1">
        <v>974.07</v>
      </c>
      <c r="AN43" s="1">
        <v>992.29</v>
      </c>
      <c r="AO43" s="1">
        <v>1004.57</v>
      </c>
      <c r="AP43" s="1">
        <v>1000.62</v>
      </c>
      <c r="AQ43" s="1">
        <v>987.08</v>
      </c>
      <c r="AR43" s="1">
        <v>967.95</v>
      </c>
      <c r="AS43" s="1">
        <v>957.07</v>
      </c>
      <c r="AT43" s="1">
        <v>951.65</v>
      </c>
      <c r="AU43" s="1">
        <v>941.48</v>
      </c>
      <c r="AV43" s="1">
        <v>930.26</v>
      </c>
      <c r="AW43" s="1">
        <v>949.81</v>
      </c>
      <c r="AX43" s="1">
        <v>967.83</v>
      </c>
      <c r="AY43" s="1">
        <v>992.3</v>
      </c>
      <c r="AZ43" s="1">
        <v>1014.38</v>
      </c>
      <c r="BA43" s="1">
        <v>1033.93</v>
      </c>
      <c r="BB43" s="1">
        <v>1024.73</v>
      </c>
      <c r="BC43" s="1">
        <v>1016.55</v>
      </c>
      <c r="BD43" s="1">
        <v>1005.04</v>
      </c>
    </row>
    <row r="44" spans="2:56" x14ac:dyDescent="0.45">
      <c r="F44" s="79"/>
      <c r="G44" s="1">
        <v>1100.78</v>
      </c>
      <c r="H44" s="1">
        <v>1065.99</v>
      </c>
      <c r="I44" s="1">
        <v>1040.1300000000001</v>
      </c>
      <c r="J44" s="1">
        <v>1025.9100000000001</v>
      </c>
      <c r="K44" s="1">
        <v>1029.03</v>
      </c>
      <c r="L44" s="1">
        <v>1043.1099999999999</v>
      </c>
      <c r="M44" s="1">
        <v>1041.76</v>
      </c>
      <c r="N44" s="1">
        <v>1021.78</v>
      </c>
      <c r="O44" s="1" t="str">
        <v>-9999 Invalid</v>
      </c>
      <c r="P44" s="1">
        <v>1020.01</v>
      </c>
      <c r="Q44" s="1">
        <v>1013.78</v>
      </c>
      <c r="R44" s="1">
        <v>1008.58</v>
      </c>
      <c r="S44" s="1">
        <v>996.76</v>
      </c>
      <c r="T44" s="1">
        <v>985.41</v>
      </c>
      <c r="U44" s="1">
        <v>979.35</v>
      </c>
      <c r="V44" s="1">
        <v>971.26</v>
      </c>
      <c r="W44" s="1">
        <v>964.1</v>
      </c>
      <c r="X44" s="1">
        <v>982.54</v>
      </c>
      <c r="Y44" s="1">
        <v>987.04</v>
      </c>
      <c r="Z44" s="1" t="str">
        <v>-9999 Invalid</v>
      </c>
      <c r="AA44" s="1">
        <v>976.09</v>
      </c>
      <c r="AB44" s="1">
        <v>953.87</v>
      </c>
      <c r="AC44" s="1">
        <v>932.44</v>
      </c>
      <c r="AD44" s="1">
        <v>906.46</v>
      </c>
      <c r="AE44" s="1">
        <v>870.29</v>
      </c>
      <c r="AF44" s="1">
        <v>849.09</v>
      </c>
      <c r="AG44" s="1">
        <v>861.82</v>
      </c>
      <c r="AH44" s="1">
        <v>877.3</v>
      </c>
      <c r="AI44" s="1">
        <v>899.49</v>
      </c>
      <c r="AJ44" s="1">
        <v>912.29</v>
      </c>
      <c r="AK44" s="1">
        <v>932.31</v>
      </c>
      <c r="AL44" s="1">
        <v>944.2</v>
      </c>
      <c r="AM44" s="1">
        <v>966.6</v>
      </c>
      <c r="AN44" s="1">
        <v>986.28</v>
      </c>
      <c r="AO44" s="1">
        <v>999.2</v>
      </c>
      <c r="AP44" s="1">
        <v>998.24</v>
      </c>
      <c r="AQ44" s="1">
        <v>981.32</v>
      </c>
      <c r="AR44" s="1">
        <v>960.72</v>
      </c>
      <c r="AS44" s="1">
        <v>947.48</v>
      </c>
      <c r="AT44" s="1">
        <v>934.34</v>
      </c>
      <c r="AU44" s="1">
        <v>925.95</v>
      </c>
      <c r="AV44" s="1">
        <v>926.21</v>
      </c>
      <c r="AW44" s="1">
        <v>949.31</v>
      </c>
      <c r="AX44" s="1">
        <v>966.11</v>
      </c>
      <c r="AY44" s="1">
        <v>991.17</v>
      </c>
      <c r="AZ44" s="1">
        <v>1011.19</v>
      </c>
      <c r="BA44" s="1">
        <v>1016.86</v>
      </c>
      <c r="BB44" s="1">
        <v>1006.8</v>
      </c>
      <c r="BC44" s="1">
        <v>997.04</v>
      </c>
      <c r="BD44" s="1">
        <v>989.1</v>
      </c>
    </row>
    <row r="45" spans="2:56" x14ac:dyDescent="0.45">
      <c r="F45" s="79"/>
      <c r="G45" s="1">
        <v>1109.48</v>
      </c>
      <c r="H45" s="1">
        <v>1075.45</v>
      </c>
      <c r="I45" s="1">
        <v>1046.99</v>
      </c>
      <c r="J45" s="1">
        <v>1025.83</v>
      </c>
      <c r="K45" s="1">
        <v>1022.57</v>
      </c>
      <c r="L45" s="1">
        <v>1031.6500000000001</v>
      </c>
      <c r="M45" s="1" t="str">
        <v>-9999 Invalid</v>
      </c>
      <c r="N45" s="1">
        <v>1008.46</v>
      </c>
      <c r="O45" s="1">
        <v>1004.21</v>
      </c>
      <c r="P45" s="1">
        <v>1004.59</v>
      </c>
      <c r="Q45" s="1">
        <v>999.52</v>
      </c>
      <c r="R45" s="1">
        <v>994.2</v>
      </c>
      <c r="S45" s="1">
        <v>983.68</v>
      </c>
      <c r="T45" s="1">
        <v>972.19</v>
      </c>
      <c r="U45" s="1">
        <v>966.49</v>
      </c>
      <c r="V45" s="1">
        <v>959.26</v>
      </c>
      <c r="W45" s="1">
        <v>951.14</v>
      </c>
      <c r="X45" s="1">
        <v>966.94</v>
      </c>
      <c r="Y45" s="1">
        <v>970.32</v>
      </c>
      <c r="Z45" s="1">
        <v>974.43</v>
      </c>
      <c r="AA45" s="1">
        <v>967.49</v>
      </c>
      <c r="AB45" s="1">
        <v>942.61</v>
      </c>
      <c r="AC45" s="1">
        <v>921.72</v>
      </c>
      <c r="AD45" s="1">
        <v>896.92</v>
      </c>
      <c r="AE45" s="1">
        <v>861.71</v>
      </c>
      <c r="AF45" s="1">
        <v>843.57</v>
      </c>
      <c r="AG45" s="1">
        <v>868.16</v>
      </c>
      <c r="AH45" s="1">
        <v>881.78</v>
      </c>
      <c r="AI45" s="1">
        <v>896.77</v>
      </c>
      <c r="AJ45" s="1">
        <v>904.75</v>
      </c>
      <c r="AK45" s="1" t="str">
        <v>-9999 Invalid</v>
      </c>
      <c r="AL45" s="1">
        <v>930.04</v>
      </c>
      <c r="AM45" s="1">
        <v>952.74</v>
      </c>
      <c r="AN45" s="1" t="str">
        <v>-9999 Invalid</v>
      </c>
      <c r="AO45" s="1">
        <v>993.48</v>
      </c>
      <c r="AP45" s="1">
        <v>998.8</v>
      </c>
      <c r="AQ45" s="1">
        <v>983.18</v>
      </c>
      <c r="AR45" s="1">
        <v>962.82</v>
      </c>
      <c r="AS45" s="1">
        <v>948.94</v>
      </c>
      <c r="AT45" s="1">
        <v>929.64</v>
      </c>
      <c r="AU45" s="1">
        <v>913.55</v>
      </c>
      <c r="AV45" s="1">
        <v>926.07</v>
      </c>
      <c r="AW45" s="1">
        <v>948.37</v>
      </c>
      <c r="AX45" s="1">
        <v>964.87</v>
      </c>
      <c r="AY45" s="1">
        <v>990.41</v>
      </c>
      <c r="AZ45" s="1">
        <v>1007.61</v>
      </c>
      <c r="BA45" s="1">
        <v>1006.7</v>
      </c>
      <c r="BB45" s="1">
        <v>995.36</v>
      </c>
      <c r="BC45" s="1">
        <v>980.42</v>
      </c>
      <c r="BD45" s="1">
        <v>987.48</v>
      </c>
    </row>
    <row r="46" spans="2:56" x14ac:dyDescent="0.45">
      <c r="F46" s="79"/>
      <c r="G46" s="1">
        <v>1114.54</v>
      </c>
      <c r="H46" s="1">
        <v>1083.69</v>
      </c>
      <c r="I46" s="1">
        <v>1059.95</v>
      </c>
      <c r="J46" s="1">
        <v>1042.45</v>
      </c>
      <c r="K46" s="1">
        <v>1024.01</v>
      </c>
      <c r="L46" s="1">
        <v>1012.17</v>
      </c>
      <c r="M46" s="1">
        <v>1010.68</v>
      </c>
      <c r="N46" s="1">
        <v>995.42</v>
      </c>
      <c r="O46" s="1">
        <v>983.83</v>
      </c>
      <c r="P46" s="1">
        <v>981.53</v>
      </c>
      <c r="Q46" s="1">
        <v>975.7</v>
      </c>
      <c r="R46" s="1">
        <v>972.42</v>
      </c>
      <c r="S46" s="1">
        <v>965.94</v>
      </c>
      <c r="T46" s="1">
        <v>956.65</v>
      </c>
      <c r="U46" s="1">
        <v>944.13</v>
      </c>
      <c r="V46" s="1">
        <v>935.82</v>
      </c>
      <c r="W46" s="1">
        <v>931.64</v>
      </c>
      <c r="X46" s="1">
        <v>940.42</v>
      </c>
      <c r="Y46" s="1">
        <v>951.08</v>
      </c>
      <c r="Z46" s="1">
        <v>958.45</v>
      </c>
      <c r="AA46" s="1">
        <v>954.91</v>
      </c>
      <c r="AB46" s="1">
        <v>928.89</v>
      </c>
      <c r="AC46" s="1">
        <v>906.66</v>
      </c>
      <c r="AD46" s="1">
        <v>879.48</v>
      </c>
      <c r="AE46" s="1">
        <v>846.89</v>
      </c>
      <c r="AF46" s="1">
        <v>841.15</v>
      </c>
      <c r="AG46" s="1">
        <v>864.6</v>
      </c>
      <c r="AH46" s="1">
        <v>872.66</v>
      </c>
      <c r="AI46" s="1">
        <v>871.09</v>
      </c>
      <c r="AJ46" s="1">
        <v>871.41</v>
      </c>
      <c r="AK46" s="1">
        <v>889.69</v>
      </c>
      <c r="AL46" s="1">
        <v>912.38</v>
      </c>
      <c r="AM46" s="1">
        <v>937.14</v>
      </c>
      <c r="AN46" s="1">
        <v>968.48</v>
      </c>
      <c r="AO46" s="1">
        <v>984.84</v>
      </c>
      <c r="AP46" s="1">
        <v>993.74</v>
      </c>
      <c r="AQ46" s="1">
        <v>981.08</v>
      </c>
      <c r="AR46" s="1">
        <v>963.7</v>
      </c>
      <c r="AS46" s="1">
        <v>947.62</v>
      </c>
      <c r="AT46" s="1">
        <v>924.92</v>
      </c>
      <c r="AU46" s="1">
        <v>909.91</v>
      </c>
      <c r="AV46" s="1">
        <v>924.83</v>
      </c>
      <c r="AW46" s="1">
        <v>946.93</v>
      </c>
      <c r="AX46" s="1">
        <v>962.83</v>
      </c>
      <c r="AY46" s="1">
        <v>989.07</v>
      </c>
      <c r="AZ46" s="1">
        <v>1000.75</v>
      </c>
      <c r="BA46" s="1">
        <v>991.42</v>
      </c>
      <c r="BB46" s="1">
        <v>976.84</v>
      </c>
      <c r="BC46" s="1">
        <v>966.5</v>
      </c>
      <c r="BD46" s="1">
        <v>972.62</v>
      </c>
    </row>
    <row r="47" spans="2:56" x14ac:dyDescent="0.45">
      <c r="G47" s="1">
        <v>1117.43</v>
      </c>
      <c r="H47" s="1">
        <v>1088.1500000000001</v>
      </c>
      <c r="I47" s="1">
        <v>1077.05</v>
      </c>
      <c r="J47" s="1">
        <v>1051.4100000000001</v>
      </c>
      <c r="K47" s="1">
        <v>1031.97</v>
      </c>
      <c r="L47" s="1">
        <v>1010.85</v>
      </c>
      <c r="M47" s="1">
        <v>998.72</v>
      </c>
      <c r="N47" s="1">
        <v>986.52</v>
      </c>
      <c r="O47" s="1">
        <v>965.53</v>
      </c>
      <c r="P47" s="1">
        <v>958.11</v>
      </c>
      <c r="Q47" s="1">
        <v>950.99</v>
      </c>
      <c r="R47" s="1">
        <v>956.25</v>
      </c>
      <c r="S47" s="1" t="str">
        <v>-9999 Invalid</v>
      </c>
      <c r="T47" s="1">
        <v>938.19</v>
      </c>
      <c r="U47" s="1">
        <v>915.57</v>
      </c>
      <c r="V47" s="1">
        <v>906.09</v>
      </c>
      <c r="W47" s="1">
        <v>902.69</v>
      </c>
      <c r="X47" s="1">
        <v>911.58</v>
      </c>
      <c r="Y47" s="1">
        <v>922.48</v>
      </c>
      <c r="Z47" s="1">
        <v>935.71</v>
      </c>
      <c r="AA47" s="1">
        <v>936.71</v>
      </c>
      <c r="AB47" s="1">
        <v>918.23</v>
      </c>
      <c r="AC47" s="1">
        <v>899.5</v>
      </c>
      <c r="AD47" s="1">
        <v>868.82</v>
      </c>
      <c r="AE47" s="1">
        <v>843.47</v>
      </c>
      <c r="AF47" s="1">
        <v>835.59</v>
      </c>
      <c r="AG47" s="1">
        <v>828.78</v>
      </c>
      <c r="AH47" s="1">
        <v>828.76</v>
      </c>
      <c r="AI47" s="1">
        <v>822.97</v>
      </c>
      <c r="AJ47" s="1">
        <v>834.77</v>
      </c>
      <c r="AK47" s="1">
        <v>877.27</v>
      </c>
      <c r="AL47" s="1">
        <v>901.76</v>
      </c>
      <c r="AM47" s="1">
        <v>929.72</v>
      </c>
      <c r="AN47" s="1">
        <v>960.92</v>
      </c>
      <c r="AO47" s="1">
        <v>977.28</v>
      </c>
      <c r="AP47" s="1">
        <v>982.37</v>
      </c>
      <c r="AQ47" s="1">
        <v>971.43</v>
      </c>
      <c r="AR47" s="1">
        <v>954.89</v>
      </c>
      <c r="AS47" s="1">
        <v>939.63</v>
      </c>
      <c r="AT47" s="1">
        <v>915.75</v>
      </c>
      <c r="AU47" s="1">
        <v>900.47</v>
      </c>
      <c r="AV47" s="1">
        <v>920.83</v>
      </c>
      <c r="AW47" s="1">
        <v>945.02</v>
      </c>
      <c r="AX47" s="1">
        <v>961.5</v>
      </c>
      <c r="AY47" s="1">
        <v>987.12</v>
      </c>
      <c r="AZ47" s="1">
        <v>988.8</v>
      </c>
      <c r="BA47" s="1">
        <v>977.94</v>
      </c>
      <c r="BB47" s="1">
        <v>965.9</v>
      </c>
      <c r="BC47" s="1">
        <v>957.42</v>
      </c>
      <c r="BD47" s="1">
        <v>965.53</v>
      </c>
    </row>
    <row r="48" spans="2:56" x14ac:dyDescent="0.45">
      <c r="G48" s="1">
        <v>1127.29</v>
      </c>
      <c r="H48" s="1">
        <v>1103.27</v>
      </c>
      <c r="I48" s="1">
        <v>1085.1099999999999</v>
      </c>
      <c r="J48" s="1">
        <v>1068.47</v>
      </c>
      <c r="K48" s="1">
        <v>1051.3900000000001</v>
      </c>
      <c r="L48" s="1">
        <v>1030.25</v>
      </c>
      <c r="M48" s="1">
        <v>1011.18</v>
      </c>
      <c r="N48" s="1">
        <v>988.76</v>
      </c>
      <c r="O48" s="1">
        <v>963.77</v>
      </c>
      <c r="P48" s="1">
        <v>965.25</v>
      </c>
      <c r="Q48" s="1">
        <v>954.17</v>
      </c>
      <c r="R48" s="1" t="str">
        <v>-9999 Invalid</v>
      </c>
      <c r="S48" s="1">
        <v>931.03</v>
      </c>
      <c r="T48" s="1">
        <v>912.63</v>
      </c>
      <c r="U48" s="1">
        <v>901.27</v>
      </c>
      <c r="V48" s="1">
        <v>907.47</v>
      </c>
      <c r="W48" s="1">
        <v>887.51</v>
      </c>
      <c r="X48" s="1">
        <v>876.92</v>
      </c>
      <c r="Y48" s="1">
        <v>888.56</v>
      </c>
      <c r="Z48" s="1">
        <v>900.97</v>
      </c>
      <c r="AA48" s="1">
        <v>908.13</v>
      </c>
      <c r="AB48" s="1">
        <v>909.57</v>
      </c>
      <c r="AC48" s="1" t="str">
        <v>-9999 Invalid</v>
      </c>
      <c r="AD48" s="1">
        <v>884.36</v>
      </c>
      <c r="AE48" s="1">
        <v>870.25</v>
      </c>
      <c r="AF48" s="1" t="str">
        <v>-9999 Invalid</v>
      </c>
      <c r="AG48" s="1">
        <v>855.1</v>
      </c>
      <c r="AH48" s="1">
        <v>847.3</v>
      </c>
      <c r="AI48" s="1">
        <v>824.05</v>
      </c>
      <c r="AJ48" s="1">
        <v>826.87</v>
      </c>
      <c r="AK48" s="1">
        <v>867.47</v>
      </c>
      <c r="AL48" s="1">
        <v>891.38</v>
      </c>
      <c r="AM48" s="1">
        <v>924.1</v>
      </c>
      <c r="AN48" s="1">
        <v>952.84</v>
      </c>
      <c r="AO48" s="1">
        <v>970.18</v>
      </c>
      <c r="AP48" s="1">
        <v>969.15</v>
      </c>
      <c r="AQ48" s="1">
        <v>957.87</v>
      </c>
      <c r="AR48" s="1">
        <v>941.37</v>
      </c>
      <c r="AS48" s="1">
        <v>927.21</v>
      </c>
      <c r="AT48" s="1">
        <v>905.29</v>
      </c>
      <c r="AU48" s="1">
        <v>892.23</v>
      </c>
      <c r="AV48" s="1">
        <v>915.43</v>
      </c>
      <c r="AW48" s="1">
        <v>942.64</v>
      </c>
      <c r="AX48" s="1">
        <v>959.82</v>
      </c>
      <c r="AY48" s="1">
        <v>978.14</v>
      </c>
      <c r="AZ48" s="1">
        <v>975.12</v>
      </c>
      <c r="BA48" s="1">
        <v>964.86</v>
      </c>
      <c r="BB48" s="1">
        <v>952</v>
      </c>
      <c r="BC48" s="1">
        <v>948.06</v>
      </c>
      <c r="BD48" s="1" t="str">
        <v>-9999 Invalid</v>
      </c>
    </row>
    <row r="49" spans="7:56" x14ac:dyDescent="0.45">
      <c r="G49" s="1">
        <v>1145.72</v>
      </c>
      <c r="H49" s="1">
        <v>1120.8499999999999</v>
      </c>
      <c r="I49" s="1">
        <v>1105.47</v>
      </c>
      <c r="J49" s="1">
        <v>1081.53</v>
      </c>
      <c r="K49" s="1">
        <v>1065.05</v>
      </c>
      <c r="L49" s="1">
        <v>1043.51</v>
      </c>
      <c r="M49" s="1">
        <v>1026.04</v>
      </c>
      <c r="N49" s="1">
        <v>1001.54</v>
      </c>
      <c r="O49" s="1">
        <v>984.69</v>
      </c>
      <c r="P49" s="1">
        <v>995.85</v>
      </c>
      <c r="Q49" s="1" t="str">
        <v>-9999 Invalid</v>
      </c>
      <c r="R49" s="1">
        <v>952.99</v>
      </c>
      <c r="S49" s="1" t="str">
        <v>-9999 Invalid</v>
      </c>
      <c r="T49" s="1">
        <v>910.99</v>
      </c>
      <c r="U49" s="1">
        <v>928.29</v>
      </c>
      <c r="V49" s="1" t="str">
        <v>-9999 Invalid</v>
      </c>
      <c r="W49" s="1">
        <v>901.85</v>
      </c>
      <c r="X49" s="1">
        <v>885.94</v>
      </c>
      <c r="Y49" s="1">
        <v>870.68</v>
      </c>
      <c r="Z49" s="1">
        <v>868.63</v>
      </c>
      <c r="AA49" s="1">
        <v>878.33</v>
      </c>
      <c r="AB49" s="1">
        <v>889.93</v>
      </c>
      <c r="AC49" s="1">
        <v>895</v>
      </c>
      <c r="AD49" s="1">
        <v>897.28</v>
      </c>
      <c r="AE49" s="1">
        <v>892.01</v>
      </c>
      <c r="AF49" s="1">
        <v>884.25</v>
      </c>
      <c r="AG49" s="1">
        <v>871.48</v>
      </c>
      <c r="AH49" s="1">
        <v>855.78</v>
      </c>
      <c r="AI49" s="1">
        <v>816.55</v>
      </c>
      <c r="AJ49" s="1">
        <v>832.93</v>
      </c>
      <c r="AK49" s="1">
        <v>868.67</v>
      </c>
      <c r="AL49" s="1">
        <v>893.12</v>
      </c>
      <c r="AM49" s="1">
        <v>922.68</v>
      </c>
      <c r="AN49" s="1">
        <v>948.78</v>
      </c>
      <c r="AO49" s="1">
        <v>963.6</v>
      </c>
      <c r="AP49" s="1">
        <v>956.61</v>
      </c>
      <c r="AQ49" s="1">
        <v>944.11</v>
      </c>
      <c r="AR49" s="1">
        <v>925.01</v>
      </c>
      <c r="AS49" s="1">
        <v>911.21</v>
      </c>
      <c r="AT49" s="1">
        <v>889.63</v>
      </c>
      <c r="AU49" s="1">
        <v>887.69</v>
      </c>
      <c r="AV49" s="1">
        <v>907.75</v>
      </c>
      <c r="AW49" s="1">
        <v>937.94</v>
      </c>
      <c r="AX49" s="1">
        <v>954.7</v>
      </c>
      <c r="AY49" s="1">
        <v>963.46</v>
      </c>
      <c r="AZ49" s="1">
        <v>958.68</v>
      </c>
      <c r="BA49" s="1">
        <v>946.64</v>
      </c>
      <c r="BB49" s="1">
        <v>935.8</v>
      </c>
      <c r="BC49" s="1">
        <v>944.8</v>
      </c>
      <c r="BD49" s="1">
        <v>967.01</v>
      </c>
    </row>
    <row r="50" spans="7:56" x14ac:dyDescent="0.45">
      <c r="G50" s="1">
        <v>1160.6099999999999</v>
      </c>
      <c r="H50" s="1">
        <v>1135.8800000000001</v>
      </c>
      <c r="I50" s="1">
        <v>1120</v>
      </c>
      <c r="J50" s="1">
        <v>1093.92</v>
      </c>
      <c r="K50" s="1">
        <v>1076.46</v>
      </c>
      <c r="L50" s="1">
        <v>1052.32</v>
      </c>
      <c r="M50" s="1">
        <v>1035.3</v>
      </c>
      <c r="N50" s="1">
        <v>1026.28</v>
      </c>
      <c r="O50" s="1">
        <v>1016.97</v>
      </c>
      <c r="P50" s="1">
        <v>1017.63</v>
      </c>
      <c r="Q50" s="1">
        <v>1004.08</v>
      </c>
      <c r="R50" s="1">
        <v>982.46</v>
      </c>
      <c r="S50" s="1" t="str">
        <v>-9999 Invalid</v>
      </c>
      <c r="T50" s="1">
        <v>942.73</v>
      </c>
      <c r="U50" s="1">
        <v>950.17</v>
      </c>
      <c r="V50" s="1">
        <v>948.3</v>
      </c>
      <c r="W50" s="1">
        <v>929.52</v>
      </c>
      <c r="X50" s="1">
        <v>906.21</v>
      </c>
      <c r="Y50" s="1">
        <v>897.13</v>
      </c>
      <c r="Z50" s="1">
        <v>856.4</v>
      </c>
      <c r="AA50" s="1">
        <v>847.04</v>
      </c>
      <c r="AB50" s="1">
        <v>855.16</v>
      </c>
      <c r="AC50" s="1">
        <v>860.8</v>
      </c>
      <c r="AD50" s="1">
        <v>867.44</v>
      </c>
      <c r="AE50" s="1">
        <v>872.79</v>
      </c>
      <c r="AF50" s="1">
        <v>873.39</v>
      </c>
      <c r="AG50" s="1">
        <v>862.6</v>
      </c>
      <c r="AH50" s="1">
        <v>842.28</v>
      </c>
      <c r="AI50" s="1">
        <v>815.8</v>
      </c>
      <c r="AJ50" s="1">
        <v>842.32</v>
      </c>
      <c r="AK50" s="1">
        <v>872.26</v>
      </c>
      <c r="AL50" s="1">
        <v>894.45</v>
      </c>
      <c r="AM50" s="1">
        <v>925.79</v>
      </c>
      <c r="AN50" s="1">
        <v>947.68</v>
      </c>
      <c r="AO50" s="1">
        <v>957.8</v>
      </c>
      <c r="AP50" s="1">
        <v>943.46</v>
      </c>
      <c r="AQ50" s="1">
        <v>928.82</v>
      </c>
      <c r="AR50" s="1">
        <v>906.74</v>
      </c>
      <c r="AS50" s="1">
        <v>888.24</v>
      </c>
      <c r="AT50" s="1">
        <v>866.2</v>
      </c>
      <c r="AU50" s="1">
        <v>882.57</v>
      </c>
      <c r="AV50" s="1">
        <v>902.31</v>
      </c>
      <c r="AW50" s="1">
        <v>932.7</v>
      </c>
      <c r="AX50" s="1">
        <v>948.62</v>
      </c>
      <c r="AY50" s="1">
        <v>945.98</v>
      </c>
      <c r="AZ50" s="1">
        <v>935.58</v>
      </c>
      <c r="BA50" s="1">
        <v>922.03</v>
      </c>
      <c r="BB50" s="1">
        <v>927.29</v>
      </c>
      <c r="BC50" s="1">
        <v>946.39</v>
      </c>
      <c r="BD50" s="1">
        <v>964.81</v>
      </c>
    </row>
    <row r="51" spans="7:56" x14ac:dyDescent="0.45">
      <c r="G51" s="1">
        <v>1176.99</v>
      </c>
      <c r="H51" s="1" t="str">
        <v>-9999 Invalid</v>
      </c>
      <c r="I51" s="1">
        <v>1132.98</v>
      </c>
      <c r="J51" s="1">
        <v>1107.0999999999999</v>
      </c>
      <c r="K51" s="1">
        <v>1088.6600000000001</v>
      </c>
      <c r="L51" s="1" t="str">
        <v>-9999 Invalid</v>
      </c>
      <c r="M51" s="1">
        <v>1066.8800000000001</v>
      </c>
      <c r="N51" s="1">
        <v>1051.3599999999999</v>
      </c>
      <c r="O51" s="1">
        <v>1049.81</v>
      </c>
      <c r="P51" s="1">
        <v>1031.81</v>
      </c>
      <c r="Q51" s="1">
        <v>1015.68</v>
      </c>
      <c r="R51" s="1">
        <v>998.3</v>
      </c>
      <c r="S51" s="1">
        <v>972.52</v>
      </c>
      <c r="T51" s="1">
        <v>976.31</v>
      </c>
      <c r="U51" s="1">
        <v>969.21</v>
      </c>
      <c r="V51" s="1" t="str">
        <v>-9999 Invalid</v>
      </c>
      <c r="W51" s="1">
        <v>949.42</v>
      </c>
      <c r="X51" s="1">
        <v>932.93</v>
      </c>
      <c r="Y51" s="1">
        <v>915.11</v>
      </c>
      <c r="Z51" s="1">
        <v>873.4</v>
      </c>
      <c r="AA51" s="1" t="str">
        <v>-9999 Invalid</v>
      </c>
      <c r="AB51" s="1">
        <v>840.34</v>
      </c>
      <c r="AC51" s="1">
        <v>831.78</v>
      </c>
      <c r="AD51" s="1">
        <v>834.78</v>
      </c>
      <c r="AE51" s="1">
        <v>834.65</v>
      </c>
      <c r="AF51" s="1">
        <v>834.03</v>
      </c>
      <c r="AG51" s="1">
        <v>835.46</v>
      </c>
      <c r="AH51" s="1">
        <v>810.12</v>
      </c>
      <c r="AI51" s="1">
        <v>844</v>
      </c>
      <c r="AJ51" s="1">
        <v>862.1</v>
      </c>
      <c r="AK51" s="1">
        <v>890</v>
      </c>
      <c r="AL51" s="1">
        <v>906.93</v>
      </c>
      <c r="AM51" s="1" t="str">
        <v>-9999 Invalid</v>
      </c>
      <c r="AN51" s="1">
        <v>946.62</v>
      </c>
      <c r="AO51" s="1">
        <v>948.82</v>
      </c>
      <c r="AP51" s="1">
        <v>931.72</v>
      </c>
      <c r="AQ51" s="1">
        <v>912.36</v>
      </c>
      <c r="AR51" s="1">
        <v>888.62</v>
      </c>
      <c r="AS51" s="1">
        <v>870.2</v>
      </c>
      <c r="AT51" s="1">
        <v>854.24</v>
      </c>
      <c r="AU51" s="1">
        <v>877.65</v>
      </c>
      <c r="AV51" s="1">
        <v>893.33</v>
      </c>
      <c r="AW51" s="1" t="str">
        <v>-9999 Invalid</v>
      </c>
      <c r="AX51" s="1">
        <v>936.42</v>
      </c>
      <c r="AY51" s="1">
        <v>925.58</v>
      </c>
      <c r="AZ51" s="1" t="str">
        <v>-9999 Invalid</v>
      </c>
      <c r="BA51" s="1">
        <v>902.61</v>
      </c>
      <c r="BB51" s="1">
        <v>926.39</v>
      </c>
      <c r="BC51" s="1">
        <v>942.65</v>
      </c>
      <c r="BD51" s="1">
        <v>953.11</v>
      </c>
    </row>
    <row r="52" spans="7:56" x14ac:dyDescent="0.45">
      <c r="G52" s="1">
        <v>1196.69</v>
      </c>
      <c r="H52" s="1">
        <v>1169.32</v>
      </c>
      <c r="I52" s="1">
        <v>1150.22</v>
      </c>
      <c r="J52" s="1">
        <v>1125.0999999999999</v>
      </c>
      <c r="K52" s="1">
        <v>1102.74</v>
      </c>
      <c r="L52" s="1">
        <v>1098.6400000000001</v>
      </c>
      <c r="M52" s="1">
        <v>1094.3800000000001</v>
      </c>
      <c r="N52" s="1">
        <v>1083.3399999999999</v>
      </c>
      <c r="O52" s="1">
        <v>1082.8699999999999</v>
      </c>
      <c r="P52" s="1">
        <v>1073.75</v>
      </c>
      <c r="Q52" s="1">
        <v>1025.3</v>
      </c>
      <c r="R52" s="1">
        <v>1015.48</v>
      </c>
      <c r="S52" s="1">
        <v>1011.66</v>
      </c>
      <c r="T52" s="1">
        <v>1006.63</v>
      </c>
      <c r="U52" s="1">
        <v>995.61</v>
      </c>
      <c r="V52" s="1">
        <v>979.24</v>
      </c>
      <c r="W52" s="1">
        <v>970.08</v>
      </c>
      <c r="X52" s="1">
        <v>956.37</v>
      </c>
      <c r="Y52" s="1">
        <v>933.85</v>
      </c>
      <c r="Z52" s="1">
        <v>896.9</v>
      </c>
      <c r="AA52" s="1">
        <v>877.96</v>
      </c>
      <c r="AB52" s="1">
        <v>871.4</v>
      </c>
      <c r="AC52" s="1">
        <v>842.42</v>
      </c>
      <c r="AD52" s="1">
        <v>809.78</v>
      </c>
      <c r="AE52" s="1">
        <v>802.75</v>
      </c>
      <c r="AF52" s="1">
        <v>802.25</v>
      </c>
      <c r="AG52" s="1">
        <v>809.3</v>
      </c>
      <c r="AH52" s="1">
        <v>824.6</v>
      </c>
      <c r="AI52" s="1">
        <v>854.46</v>
      </c>
      <c r="AJ52" s="1">
        <v>874.54</v>
      </c>
      <c r="AK52" s="1">
        <v>896.34</v>
      </c>
      <c r="AL52" s="1">
        <v>913.73</v>
      </c>
      <c r="AM52" s="1" t="str">
        <v>-9999 Invalid</v>
      </c>
      <c r="AN52" s="1">
        <v>942.12</v>
      </c>
      <c r="AO52" s="1">
        <v>939.38</v>
      </c>
      <c r="AP52" s="1">
        <v>921.9</v>
      </c>
      <c r="AQ52" s="1" t="str">
        <v>-9999 Invalid</v>
      </c>
      <c r="AR52" s="1" t="str">
        <v>-9999 Invalid</v>
      </c>
      <c r="AS52" s="1">
        <v>854.7</v>
      </c>
      <c r="AT52" s="1">
        <v>846.34</v>
      </c>
      <c r="AU52" s="1">
        <v>873.43</v>
      </c>
      <c r="AV52" s="1">
        <v>889.19</v>
      </c>
      <c r="AW52" s="1">
        <v>913.16</v>
      </c>
      <c r="AX52" s="1">
        <v>916.96</v>
      </c>
      <c r="AY52" s="1">
        <v>899.68</v>
      </c>
      <c r="AZ52" s="1">
        <v>890.2</v>
      </c>
      <c r="BA52" s="1" t="str">
        <v>-9999 Invalid</v>
      </c>
      <c r="BB52" s="1">
        <v>911.99</v>
      </c>
      <c r="BC52" s="1">
        <v>920.55</v>
      </c>
      <c r="BD52" s="1">
        <v>927.91</v>
      </c>
    </row>
    <row r="53" spans="7:56" x14ac:dyDescent="0.45">
      <c r="G53" s="1">
        <v>1216.3399999999999</v>
      </c>
      <c r="H53" s="1">
        <v>1188.24</v>
      </c>
      <c r="I53" s="1">
        <v>1167.02</v>
      </c>
      <c r="J53" s="1">
        <v>1140.44</v>
      </c>
      <c r="K53" s="1">
        <v>1130.6600000000001</v>
      </c>
      <c r="L53" s="1">
        <v>1130.04</v>
      </c>
      <c r="M53" s="1">
        <v>1123.71</v>
      </c>
      <c r="N53" s="1">
        <v>1110.03</v>
      </c>
      <c r="O53" s="1">
        <v>1112.07</v>
      </c>
      <c r="P53" s="1">
        <v>1105.71</v>
      </c>
      <c r="Q53" s="1">
        <v>1081.72</v>
      </c>
      <c r="R53" s="1">
        <v>1066.52</v>
      </c>
      <c r="S53" s="1">
        <v>1041</v>
      </c>
      <c r="T53" s="1">
        <v>1025.3800000000001</v>
      </c>
      <c r="U53" s="1">
        <v>1013.12</v>
      </c>
      <c r="V53" s="1">
        <v>1008.54</v>
      </c>
      <c r="W53" s="1">
        <v>996.14</v>
      </c>
      <c r="X53" s="1" t="str">
        <v>-9999 Invalid</v>
      </c>
      <c r="Y53" s="1">
        <v>956.45</v>
      </c>
      <c r="Z53" s="1">
        <v>916.06</v>
      </c>
      <c r="AA53" s="1">
        <v>907.54</v>
      </c>
      <c r="AB53" s="1">
        <v>882.72</v>
      </c>
      <c r="AC53" s="1">
        <v>851.32</v>
      </c>
      <c r="AD53" s="1">
        <v>810.02</v>
      </c>
      <c r="AE53" s="1">
        <v>799.42</v>
      </c>
      <c r="AF53" s="1">
        <v>808.42</v>
      </c>
      <c r="AG53" s="1">
        <v>817.55</v>
      </c>
      <c r="AH53" s="1">
        <v>823.11</v>
      </c>
      <c r="AI53" s="1">
        <v>848.11</v>
      </c>
      <c r="AJ53" s="1">
        <v>869.43</v>
      </c>
      <c r="AK53" s="1">
        <v>892.31</v>
      </c>
      <c r="AL53" s="1">
        <v>911.08</v>
      </c>
      <c r="AM53" s="1">
        <v>929.24</v>
      </c>
      <c r="AN53" s="1">
        <v>933</v>
      </c>
      <c r="AO53" s="1">
        <v>927.1</v>
      </c>
      <c r="AP53" s="1">
        <v>909.94</v>
      </c>
      <c r="AQ53" s="1">
        <v>895.94</v>
      </c>
      <c r="AR53" s="1">
        <v>861.54</v>
      </c>
      <c r="AS53" s="1">
        <v>842.86</v>
      </c>
      <c r="AT53" s="1">
        <v>842.94</v>
      </c>
      <c r="AU53" s="1">
        <v>868.93</v>
      </c>
      <c r="AV53" s="1">
        <v>886.35</v>
      </c>
      <c r="AW53" s="1">
        <v>892.76</v>
      </c>
      <c r="AX53" s="1">
        <v>875.12</v>
      </c>
      <c r="AY53" s="1">
        <v>861.45</v>
      </c>
      <c r="AZ53" s="1">
        <v>855.89</v>
      </c>
      <c r="BA53" s="1">
        <v>877.08</v>
      </c>
      <c r="BB53" s="1">
        <v>874.26</v>
      </c>
      <c r="BC53" s="1">
        <v>877.3</v>
      </c>
      <c r="BD53" s="1">
        <v>894.96</v>
      </c>
    </row>
    <row r="54" spans="7:56" x14ac:dyDescent="0.45">
      <c r="G54" s="1">
        <v>1228.6600000000001</v>
      </c>
      <c r="H54" s="1">
        <v>1198.76</v>
      </c>
      <c r="I54" s="1">
        <v>1182.0999999999999</v>
      </c>
      <c r="J54" s="1">
        <v>1167.5</v>
      </c>
      <c r="K54" s="1">
        <v>1159.42</v>
      </c>
      <c r="L54" s="1">
        <v>1155.1199999999999</v>
      </c>
      <c r="M54" s="1">
        <v>1148.83</v>
      </c>
      <c r="N54" s="1">
        <v>1142.1500000000001</v>
      </c>
      <c r="O54" s="1">
        <v>1141.05</v>
      </c>
      <c r="P54" s="1">
        <v>1131.19</v>
      </c>
      <c r="Q54" s="1">
        <v>1110.0999999999999</v>
      </c>
      <c r="R54" s="1">
        <v>1107.06</v>
      </c>
      <c r="S54" s="1">
        <v>1094.68</v>
      </c>
      <c r="T54" s="1">
        <v>1070.82</v>
      </c>
      <c r="U54" s="1">
        <v>1033.26</v>
      </c>
      <c r="V54" s="1">
        <v>1026.9000000000001</v>
      </c>
      <c r="W54" s="1">
        <v>1012.18</v>
      </c>
      <c r="X54" s="1">
        <v>995.85</v>
      </c>
      <c r="Y54" s="1">
        <v>976.17</v>
      </c>
      <c r="Z54" s="1">
        <v>945.02</v>
      </c>
      <c r="AA54" s="1">
        <v>929.08</v>
      </c>
      <c r="AB54" s="1">
        <v>898.12</v>
      </c>
      <c r="AC54" s="1">
        <v>865.68</v>
      </c>
      <c r="AD54" s="1">
        <v>846.48</v>
      </c>
      <c r="AE54" s="1">
        <v>806.86</v>
      </c>
      <c r="AF54" s="1">
        <v>795.24</v>
      </c>
      <c r="AG54" s="1">
        <v>794.87</v>
      </c>
      <c r="AH54" s="1">
        <v>805.93</v>
      </c>
      <c r="AI54" s="1">
        <v>834.49</v>
      </c>
      <c r="AJ54" s="1">
        <v>856.31</v>
      </c>
      <c r="AK54" s="1">
        <v>879.79</v>
      </c>
      <c r="AL54" s="1">
        <v>895.96</v>
      </c>
      <c r="AM54" s="1">
        <v>917.58</v>
      </c>
      <c r="AN54" s="1">
        <v>919.74</v>
      </c>
      <c r="AO54" s="1">
        <v>910.46</v>
      </c>
      <c r="AP54" s="1">
        <v>892.38</v>
      </c>
      <c r="AQ54" s="1">
        <v>874.26</v>
      </c>
      <c r="AR54" s="1">
        <v>851.06</v>
      </c>
      <c r="AS54" s="1">
        <v>828.44</v>
      </c>
      <c r="AT54" s="1">
        <v>839.96</v>
      </c>
      <c r="AU54" s="1">
        <v>861.41</v>
      </c>
      <c r="AV54" s="1">
        <v>870.81</v>
      </c>
      <c r="AW54" s="1">
        <v>854.02</v>
      </c>
      <c r="AX54" s="1">
        <v>840.64</v>
      </c>
      <c r="AY54" s="1">
        <v>821.09</v>
      </c>
      <c r="AZ54" s="1">
        <v>817.65</v>
      </c>
      <c r="BA54" s="1">
        <v>845.04</v>
      </c>
      <c r="BB54" s="1">
        <v>844.88</v>
      </c>
      <c r="BC54" s="1">
        <v>845.18</v>
      </c>
      <c r="BD54" s="1">
        <v>859.58</v>
      </c>
    </row>
    <row r="55" spans="7:56" x14ac:dyDescent="0.45">
      <c r="G55" s="1">
        <v>1240.31</v>
      </c>
      <c r="H55" s="1">
        <v>1219.0999999999999</v>
      </c>
      <c r="I55" s="1">
        <v>1204.76</v>
      </c>
      <c r="J55" s="1">
        <v>1197</v>
      </c>
      <c r="K55" s="1">
        <v>1194.9000000000001</v>
      </c>
      <c r="L55" s="1">
        <v>1187.5999999999999</v>
      </c>
      <c r="M55" s="1">
        <v>1180.31</v>
      </c>
      <c r="N55" s="1">
        <v>1173.67</v>
      </c>
      <c r="O55" s="1">
        <v>1170.07</v>
      </c>
      <c r="P55" s="1">
        <v>1155.95</v>
      </c>
      <c r="Q55" s="1">
        <v>1137.1600000000001</v>
      </c>
      <c r="R55" s="1">
        <v>1134.68</v>
      </c>
      <c r="S55" s="1">
        <v>1117.6199999999999</v>
      </c>
      <c r="T55" s="1">
        <v>1100.76</v>
      </c>
      <c r="U55" s="1" t="str">
        <v>-9999 Invalid</v>
      </c>
      <c r="V55" s="1">
        <v>1049.55</v>
      </c>
      <c r="W55" s="1">
        <v>1027.49</v>
      </c>
      <c r="X55" s="1">
        <v>1007.59</v>
      </c>
      <c r="Y55" s="1">
        <v>992.93</v>
      </c>
      <c r="Z55" s="1">
        <v>969.23</v>
      </c>
      <c r="AA55" s="1">
        <v>947.49</v>
      </c>
      <c r="AB55" s="1">
        <v>921.27</v>
      </c>
      <c r="AC55" s="1">
        <v>896.07</v>
      </c>
      <c r="AD55" s="1">
        <v>877.41</v>
      </c>
      <c r="AE55" s="1" t="str">
        <v>-9999 Invalid</v>
      </c>
      <c r="AF55" s="1">
        <v>824.74</v>
      </c>
      <c r="AG55" s="1">
        <v>793.12</v>
      </c>
      <c r="AH55" s="1">
        <v>788.74</v>
      </c>
      <c r="AI55" s="1" t="str">
        <v>-9999 Invalid</v>
      </c>
      <c r="AJ55" s="1">
        <v>838.1</v>
      </c>
      <c r="AK55" s="1">
        <v>866.66</v>
      </c>
      <c r="AL55" s="1">
        <v>881.43</v>
      </c>
      <c r="AM55" s="1">
        <v>902.09</v>
      </c>
      <c r="AN55" s="1">
        <v>908.21</v>
      </c>
      <c r="AO55" s="1">
        <v>897.53</v>
      </c>
      <c r="AP55" s="1">
        <v>873.77</v>
      </c>
      <c r="AQ55" s="1">
        <v>857.07</v>
      </c>
      <c r="AR55" s="1">
        <v>830.5</v>
      </c>
      <c r="AS55" s="1">
        <v>812.88</v>
      </c>
      <c r="AT55" s="1">
        <v>835.9</v>
      </c>
      <c r="AU55" s="1">
        <v>850.1</v>
      </c>
      <c r="AV55" s="1" t="str">
        <v>-9999 Invalid</v>
      </c>
      <c r="AW55" s="1">
        <v>815.57</v>
      </c>
      <c r="AX55" s="1" t="str">
        <v>-9999 Invalid</v>
      </c>
      <c r="AY55" s="1">
        <v>779.29</v>
      </c>
      <c r="AZ55" s="1">
        <v>788.19</v>
      </c>
      <c r="BA55" s="1">
        <v>805.47</v>
      </c>
      <c r="BB55" s="1">
        <v>809.07</v>
      </c>
      <c r="BC55" s="1">
        <v>818.51</v>
      </c>
      <c r="BD55" s="1">
        <v>840.83</v>
      </c>
    </row>
    <row r="56" spans="7:56" x14ac:dyDescent="0.45">
      <c r="G56" s="1">
        <v>1259.3499999999999</v>
      </c>
      <c r="H56" s="1">
        <v>1238.76</v>
      </c>
      <c r="I56" s="1">
        <v>1232.7</v>
      </c>
      <c r="J56" s="1" t="str">
        <v>-9999 Invalid</v>
      </c>
      <c r="K56" s="1">
        <v>1226.46</v>
      </c>
      <c r="L56" s="1" t="str">
        <v>-9999 Invalid</v>
      </c>
      <c r="M56" s="1">
        <v>1212.53</v>
      </c>
      <c r="N56" s="1">
        <v>1206.01</v>
      </c>
      <c r="O56" s="1">
        <v>1193.45</v>
      </c>
      <c r="P56" s="1">
        <v>1179.3499999999999</v>
      </c>
      <c r="Q56" s="1">
        <v>1160.92</v>
      </c>
      <c r="R56" s="1">
        <v>1151.68</v>
      </c>
      <c r="S56" s="1">
        <v>1135.02</v>
      </c>
      <c r="T56" s="1">
        <v>1119.56</v>
      </c>
      <c r="U56" s="1">
        <v>1091.0999999999999</v>
      </c>
      <c r="V56" s="1">
        <v>1068.47</v>
      </c>
      <c r="W56" s="1">
        <v>1042.95</v>
      </c>
      <c r="X56" s="1">
        <v>1021.65</v>
      </c>
      <c r="Y56" s="1">
        <v>1006.29</v>
      </c>
      <c r="Z56" s="1">
        <v>981.51</v>
      </c>
      <c r="AA56" s="1">
        <v>963.83</v>
      </c>
      <c r="AB56" s="1">
        <v>935.03</v>
      </c>
      <c r="AC56" s="1">
        <v>921.61</v>
      </c>
      <c r="AD56" s="1">
        <v>903.21</v>
      </c>
      <c r="AE56" s="1">
        <v>871.76</v>
      </c>
      <c r="AF56" s="1">
        <v>850.34</v>
      </c>
      <c r="AG56" s="1">
        <v>810.66</v>
      </c>
      <c r="AH56" s="1">
        <v>790.52</v>
      </c>
      <c r="AI56" s="1">
        <v>789.5</v>
      </c>
      <c r="AJ56" s="1">
        <v>817.6</v>
      </c>
      <c r="AK56" s="1">
        <v>851</v>
      </c>
      <c r="AL56" s="1">
        <v>867.63</v>
      </c>
      <c r="AM56" s="1">
        <v>888.65</v>
      </c>
      <c r="AN56" s="1">
        <v>898.67</v>
      </c>
      <c r="AO56" s="1">
        <v>890.43</v>
      </c>
      <c r="AP56" s="1">
        <v>864.41</v>
      </c>
      <c r="AQ56" s="1">
        <v>844.61</v>
      </c>
      <c r="AR56" s="1" t="str">
        <v>-9999 Invalid</v>
      </c>
      <c r="AS56" s="1">
        <v>798.26</v>
      </c>
      <c r="AT56" s="1">
        <v>822.52</v>
      </c>
      <c r="AU56" s="1">
        <v>817.54</v>
      </c>
      <c r="AV56" s="1">
        <v>799.78</v>
      </c>
      <c r="AW56" s="1">
        <v>782.23</v>
      </c>
      <c r="AX56" s="1">
        <v>761.53</v>
      </c>
      <c r="AY56" s="1">
        <v>746.89</v>
      </c>
      <c r="AZ56" s="1">
        <v>766.79</v>
      </c>
      <c r="BA56" s="1">
        <v>777.89</v>
      </c>
      <c r="BB56" s="1">
        <v>790.57</v>
      </c>
      <c r="BC56" s="1">
        <v>801.95</v>
      </c>
      <c r="BD56" s="1">
        <v>826.15</v>
      </c>
    </row>
  </sheetData>
  <sortState xmlns:xlrd2="http://schemas.microsoft.com/office/spreadsheetml/2017/richdata2" ref="B22:C41">
    <sortCondition ref="B22:B41"/>
  </sortState>
  <conditionalFormatting sqref="B12">
    <cfRule type="cellIs" dxfId="95" priority="1" operator="equal">
      <formula>"Please Input DEM"</formula>
    </cfRule>
  </conditionalFormatting>
  <conditionalFormatting sqref="B13:D13">
    <cfRule type="cellIs" dxfId="94" priority="3" operator="equal">
      <formula>"x"</formula>
    </cfRule>
    <cfRule type="cellIs" dxfId="93" priority="4" operator="equal">
      <formula>"þ"</formula>
    </cfRule>
  </conditionalFormatting>
  <conditionalFormatting sqref="B12:E15">
    <cfRule type="expression" dxfId="92" priority="2">
      <formula>LEN($C$12)&lt;&gt;0</formula>
    </cfRule>
  </conditionalFormatting>
  <pageMargins left="0.7" right="0.7" top="0.75" bottom="0.75" header="0.3" footer="0.3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E07F2-9D60-4A71-B426-5C918B015F76}">
  <sheetPr codeName="Sheet4">
    <tabColor rgb="FF12501A"/>
  </sheetPr>
  <dimension ref="A1:CL51"/>
  <sheetViews>
    <sheetView showGridLines="0" tabSelected="1" zoomScale="60" zoomScaleNormal="60" workbookViewId="0">
      <selection activeCell="I3" sqref="I3"/>
    </sheetView>
  </sheetViews>
  <sheetFormatPr defaultColWidth="3.61328125" defaultRowHeight="21" customHeight="1" x14ac:dyDescent="0.45"/>
  <cols>
    <col min="1" max="1" width="4.07421875" style="3" customWidth="1"/>
    <col min="2" max="2" width="2.23046875" style="1" customWidth="1"/>
    <col min="3" max="3" width="24.3046875" style="32" bestFit="1" customWidth="1"/>
    <col min="4" max="4" width="26.84375" style="32" bestFit="1" customWidth="1"/>
    <col min="5" max="5" width="38.84375" style="32" customWidth="1"/>
    <col min="6" max="6" width="30.921875" style="32" customWidth="1"/>
    <col min="7" max="7" width="5" style="1" customWidth="1"/>
    <col min="8" max="8" width="3.61328125" style="2" customWidth="1"/>
    <col min="9" max="72" width="3.61328125" style="2"/>
    <col min="73" max="16384" width="3.61328125" style="3"/>
  </cols>
  <sheetData>
    <row r="1" spans="1:90" ht="21" customHeight="1" x14ac:dyDescent="0.45">
      <c r="A1" s="59"/>
      <c r="B1" s="58"/>
      <c r="C1" s="58"/>
      <c r="D1" s="58"/>
      <c r="E1" s="58"/>
      <c r="F1" s="58"/>
    </row>
    <row r="2" spans="1:90" ht="24" customHeight="1" x14ac:dyDescent="0.45">
      <c r="A2" s="59"/>
      <c r="B2" s="89"/>
      <c r="C2" s="157" t="s">
        <v>22</v>
      </c>
      <c r="D2" s="157" t="s">
        <v>223</v>
      </c>
      <c r="E2" s="157" t="s">
        <v>210</v>
      </c>
      <c r="F2" s="158" t="s">
        <v>211</v>
      </c>
      <c r="G2" s="35"/>
      <c r="H2" s="167" t="str" cm="1">
        <f t="array" ref="H2:BE51">Terrainλ(DEM_input,cellsize_input,fn_input)</f>
        <v/>
      </c>
      <c r="I2" s="36" t="str">
        <v/>
      </c>
      <c r="J2" s="36" t="str">
        <v/>
      </c>
      <c r="K2" s="36" t="str">
        <v/>
      </c>
      <c r="L2" s="36" t="str">
        <v/>
      </c>
      <c r="M2" s="36" t="str">
        <v/>
      </c>
      <c r="N2" s="36" t="str">
        <v/>
      </c>
      <c r="O2" s="36" t="str">
        <v/>
      </c>
      <c r="P2" s="36" t="str">
        <v/>
      </c>
      <c r="Q2" s="36" t="str">
        <v/>
      </c>
      <c r="R2" s="36" t="str">
        <v/>
      </c>
      <c r="S2" s="36" t="str">
        <v/>
      </c>
      <c r="T2" s="36" t="str">
        <v/>
      </c>
      <c r="U2" s="36" t="str">
        <v/>
      </c>
      <c r="V2" s="36" t="str">
        <v/>
      </c>
      <c r="W2" s="36" t="str">
        <v/>
      </c>
      <c r="X2" s="36" t="str">
        <v/>
      </c>
      <c r="Y2" s="36" t="str">
        <v/>
      </c>
      <c r="Z2" s="36" t="str">
        <v/>
      </c>
      <c r="AA2" s="36" t="str">
        <v/>
      </c>
      <c r="AB2" s="36" t="str">
        <v/>
      </c>
      <c r="AC2" s="36" t="str">
        <v/>
      </c>
      <c r="AD2" s="36" t="str">
        <v/>
      </c>
      <c r="AE2" s="36" t="str">
        <v/>
      </c>
      <c r="AF2" s="36" t="str">
        <v/>
      </c>
      <c r="AG2" s="36" t="str">
        <v/>
      </c>
      <c r="AH2" s="36" t="str">
        <v/>
      </c>
      <c r="AI2" s="36" t="str">
        <v/>
      </c>
      <c r="AJ2" s="36" t="str">
        <v/>
      </c>
      <c r="AK2" s="36" t="str">
        <v/>
      </c>
      <c r="AL2" s="36" t="str">
        <v/>
      </c>
      <c r="AM2" s="36" t="str">
        <v/>
      </c>
      <c r="AN2" s="36" t="str">
        <v/>
      </c>
      <c r="AO2" s="36" t="str">
        <v/>
      </c>
      <c r="AP2" s="36" t="str">
        <v/>
      </c>
      <c r="AQ2" s="36" t="str">
        <v/>
      </c>
      <c r="AR2" s="36" t="str">
        <v/>
      </c>
      <c r="AS2" s="36" t="str">
        <v/>
      </c>
      <c r="AT2" s="36" t="str">
        <v/>
      </c>
      <c r="AU2" s="36" t="str">
        <v/>
      </c>
      <c r="AV2" s="36" t="str">
        <v/>
      </c>
      <c r="AW2" s="36" t="str">
        <v/>
      </c>
      <c r="AX2" s="36" t="str">
        <v/>
      </c>
      <c r="AY2" s="36" t="str">
        <v/>
      </c>
      <c r="AZ2" s="36" t="str">
        <v/>
      </c>
      <c r="BA2" s="36" t="str">
        <v/>
      </c>
      <c r="BB2" s="36" t="str">
        <v/>
      </c>
      <c r="BC2" s="36" t="str">
        <v/>
      </c>
      <c r="BD2" s="36" t="str">
        <v/>
      </c>
      <c r="BE2" s="36" t="str">
        <v/>
      </c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</row>
    <row r="3" spans="1:90" ht="21" customHeight="1" x14ac:dyDescent="0.45">
      <c r="A3" s="59"/>
      <c r="B3" s="90"/>
      <c r="C3" s="150" t="str" cm="1">
        <f t="array" ref="C3:D7">terrain_summary</f>
        <v xml:space="preserve"> No Data </v>
      </c>
      <c r="D3" s="153">
        <v>632</v>
      </c>
      <c r="E3" s="91" t="str" cm="1">
        <f t="array" aca="1" ref="E3:F4" ca="1">DEM_Title</f>
        <v>DEM.DeathValley</v>
      </c>
      <c r="F3" s="92" t="str">
        <f ca="1"/>
        <v>50x50</v>
      </c>
      <c r="G3" s="35"/>
      <c r="H3" s="2" t="str">
        <v/>
      </c>
      <c r="I3" s="2">
        <v>5.4598366976459705</v>
      </c>
      <c r="J3" s="2">
        <v>5.6901903669454926E-2</v>
      </c>
      <c r="K3" s="2">
        <v>0.63012327025913983</v>
      </c>
      <c r="L3" s="2">
        <v>5.5869799413400836</v>
      </c>
      <c r="M3" s="2" t="str">
        <v/>
      </c>
      <c r="N3" s="2" t="str">
        <v/>
      </c>
      <c r="O3" s="2" t="str">
        <v/>
      </c>
      <c r="P3" s="2">
        <v>5.3694124428587982</v>
      </c>
      <c r="Q3" s="2">
        <v>6.1248896142515354</v>
      </c>
      <c r="R3" s="2">
        <v>1.2067369391746752</v>
      </c>
      <c r="S3" s="2">
        <v>1.3243455578608687</v>
      </c>
      <c r="T3" s="2">
        <v>1.2772321382057163</v>
      </c>
      <c r="U3" s="2">
        <v>1.1298958992314294</v>
      </c>
      <c r="V3" s="2">
        <v>0.68850433164247016</v>
      </c>
      <c r="W3" s="2">
        <v>0.16986328268152626</v>
      </c>
      <c r="X3" s="2" t="str">
        <v/>
      </c>
      <c r="Y3" s="2">
        <v>0.19492490397517817</v>
      </c>
      <c r="Z3" s="2" t="str">
        <v/>
      </c>
      <c r="AA3" s="2">
        <v>0.2865850015983093</v>
      </c>
      <c r="AB3" s="2">
        <v>0.44543854887556555</v>
      </c>
      <c r="AC3" s="2" t="str">
        <v/>
      </c>
      <c r="AD3" s="2" t="str">
        <v/>
      </c>
      <c r="AE3" s="2" t="str">
        <v/>
      </c>
      <c r="AF3" s="2">
        <v>0.3340909086988269</v>
      </c>
      <c r="AG3" s="2">
        <v>6.241880999595735E-2</v>
      </c>
      <c r="AH3" s="2">
        <v>0.45484104063340064</v>
      </c>
      <c r="AI3" s="2">
        <v>0.76199863866458106</v>
      </c>
      <c r="AJ3" s="2">
        <v>0.77943380766637793</v>
      </c>
      <c r="AK3" s="2">
        <v>0.58867175553640982</v>
      </c>
      <c r="AL3" s="2">
        <v>0.45860620934628488</v>
      </c>
      <c r="AM3" s="2">
        <v>0.73947710845154269</v>
      </c>
      <c r="AN3" s="2">
        <v>0.98475796811726946</v>
      </c>
      <c r="AO3" s="2">
        <v>1.0342310329622149</v>
      </c>
      <c r="AP3" s="2">
        <v>1.2416546756769589</v>
      </c>
      <c r="AQ3" s="2">
        <v>1.6722369485509869</v>
      </c>
      <c r="AR3" s="2">
        <v>3.7242159958575152</v>
      </c>
      <c r="AS3" s="2">
        <v>3.8204988766123757</v>
      </c>
      <c r="AT3" s="2">
        <v>3.8079497664776074</v>
      </c>
      <c r="AU3" s="2">
        <v>4.0617380203177929</v>
      </c>
      <c r="AV3" s="2">
        <v>4.2053405766110519</v>
      </c>
      <c r="AW3" s="2">
        <v>4.2131518046926617</v>
      </c>
      <c r="AX3" s="2">
        <v>4.1636849953476833</v>
      </c>
      <c r="AY3" s="2">
        <v>4.2095433038094594</v>
      </c>
      <c r="AZ3" s="2">
        <v>4.3200542386445893</v>
      </c>
      <c r="BA3" s="2">
        <v>4.4717287993900428</v>
      </c>
      <c r="BB3" s="2">
        <v>4.6738493767361406</v>
      </c>
      <c r="BC3" s="2">
        <v>4.6584046118036184</v>
      </c>
      <c r="BD3" s="2" t="str">
        <v/>
      </c>
      <c r="BE3" s="2" t="str">
        <v/>
      </c>
    </row>
    <row r="4" spans="1:90" ht="21" customHeight="1" x14ac:dyDescent="0.45">
      <c r="A4" s="59"/>
      <c r="B4" s="90"/>
      <c r="C4" s="150" t="str">
        <v>Hollow</v>
      </c>
      <c r="D4" s="153">
        <v>257</v>
      </c>
      <c r="E4" s="94" t="str">
        <f ca="1"/>
        <v>36.5053891,-117.0794078</v>
      </c>
      <c r="F4" s="95" t="str">
        <f ca="1"/>
        <v>2.5 sq km</v>
      </c>
      <c r="G4" s="35"/>
      <c r="H4" s="2" t="str">
        <v/>
      </c>
      <c r="I4" s="2">
        <v>5.4377512690425887</v>
      </c>
      <c r="J4" s="2">
        <v>1.1270241032061135E-2</v>
      </c>
      <c r="K4" s="2">
        <v>0.60932415932590822</v>
      </c>
      <c r="L4" s="2">
        <v>5.5076633658713678</v>
      </c>
      <c r="M4" s="2" t="str">
        <v/>
      </c>
      <c r="N4" s="2">
        <v>0.14020694608366296</v>
      </c>
      <c r="O4" s="2" t="str">
        <v/>
      </c>
      <c r="P4" s="2">
        <v>5.625155474021053</v>
      </c>
      <c r="Q4" s="2">
        <v>0.12176963880214486</v>
      </c>
      <c r="R4" s="2">
        <v>1.2265228464144506</v>
      </c>
      <c r="S4" s="2">
        <v>1.3109057046789689</v>
      </c>
      <c r="T4" s="2">
        <v>1.2031542219245159</v>
      </c>
      <c r="U4" s="2">
        <v>0.81967138020619157</v>
      </c>
      <c r="V4" s="2">
        <v>0.39590990255611447</v>
      </c>
      <c r="W4" s="2">
        <v>0.1877080265309046</v>
      </c>
      <c r="X4" s="2" t="str">
        <v/>
      </c>
      <c r="Y4" s="2" t="str">
        <v/>
      </c>
      <c r="Z4" s="2" t="str">
        <v/>
      </c>
      <c r="AA4" s="2">
        <v>0.33783361087426433</v>
      </c>
      <c r="AB4" s="2">
        <v>0.40382267961064694</v>
      </c>
      <c r="AC4" s="2" t="str">
        <v/>
      </c>
      <c r="AD4" s="2">
        <v>0.50564364007843587</v>
      </c>
      <c r="AE4" s="2" t="str">
        <v/>
      </c>
      <c r="AF4" s="2">
        <v>0.31885453005737802</v>
      </c>
      <c r="AG4" s="2">
        <v>0.15261850605524219</v>
      </c>
      <c r="AH4" s="2">
        <v>0.58263352762279697</v>
      </c>
      <c r="AI4" s="2" t="str">
        <v/>
      </c>
      <c r="AJ4" s="2" t="str">
        <v/>
      </c>
      <c r="AK4" s="2" t="str">
        <v/>
      </c>
      <c r="AL4" s="2">
        <v>0.69899238649918549</v>
      </c>
      <c r="AM4" s="2">
        <v>1.1066465417398863</v>
      </c>
      <c r="AN4" s="2">
        <v>1.4422572562460618</v>
      </c>
      <c r="AO4" s="2">
        <v>1.6228557423627503</v>
      </c>
      <c r="AP4" s="2" t="str">
        <v/>
      </c>
      <c r="AQ4" s="2" t="str">
        <v/>
      </c>
      <c r="AR4" s="2" t="str">
        <v/>
      </c>
      <c r="AS4" s="2">
        <v>3.92214938908434</v>
      </c>
      <c r="AT4" s="2">
        <v>4.0590470083335601</v>
      </c>
      <c r="AU4" s="2">
        <v>4.2566531165154942</v>
      </c>
      <c r="AV4" s="2">
        <v>4.2430278304032587</v>
      </c>
      <c r="AW4" s="2">
        <v>4.109990151265575</v>
      </c>
      <c r="AX4" s="2">
        <v>4.03613031364974</v>
      </c>
      <c r="AY4" s="2">
        <v>4.130450965448432</v>
      </c>
      <c r="AZ4" s="2">
        <v>4.2257981439973724</v>
      </c>
      <c r="BA4" s="2">
        <v>4.25432408654199</v>
      </c>
      <c r="BB4" s="2">
        <v>4.238691162012393</v>
      </c>
      <c r="BC4" s="2">
        <v>3.9929706511523877</v>
      </c>
      <c r="BD4" s="2" t="str">
        <v/>
      </c>
      <c r="BE4" s="2" t="str">
        <v/>
      </c>
    </row>
    <row r="5" spans="1:90" ht="21" customHeight="1" x14ac:dyDescent="0.45">
      <c r="A5" s="59"/>
      <c r="B5" s="90"/>
      <c r="C5" s="150" t="str">
        <v>Shoulder</v>
      </c>
      <c r="D5" s="153">
        <v>565</v>
      </c>
      <c r="E5" s="75"/>
      <c r="F5" s="96"/>
      <c r="G5" s="35"/>
      <c r="H5" s="2" t="str">
        <v/>
      </c>
      <c r="I5" s="2" t="str">
        <v/>
      </c>
      <c r="J5" s="2" t="str">
        <v/>
      </c>
      <c r="K5" s="2">
        <v>0.49516838768654553</v>
      </c>
      <c r="L5" s="2">
        <v>5.7558614639391372</v>
      </c>
      <c r="M5" s="2" t="str">
        <v/>
      </c>
      <c r="N5" s="2" t="str">
        <v/>
      </c>
      <c r="O5" s="2" t="str">
        <v/>
      </c>
      <c r="P5" s="2">
        <v>5.9536135682269888</v>
      </c>
      <c r="Q5" s="2">
        <v>0.51462698897029435</v>
      </c>
      <c r="R5" s="2">
        <v>1.2293302404944271</v>
      </c>
      <c r="S5" s="2">
        <v>1.2252942205149102</v>
      </c>
      <c r="T5" s="2">
        <v>0.89196315188002262</v>
      </c>
      <c r="U5" s="2">
        <v>0.37998910833787025</v>
      </c>
      <c r="V5" s="2">
        <v>0.2668080352108303</v>
      </c>
      <c r="W5" s="2">
        <v>0.20904031215977539</v>
      </c>
      <c r="X5" s="2">
        <v>0.27569650638615423</v>
      </c>
      <c r="Y5" s="2">
        <v>0.26395571835289522</v>
      </c>
      <c r="Z5" s="2">
        <v>0.24004097351390713</v>
      </c>
      <c r="AA5" s="2">
        <v>0.33306419137847137</v>
      </c>
      <c r="AB5" s="2">
        <v>0.37198157937321114</v>
      </c>
      <c r="AC5" s="2" t="str">
        <v/>
      </c>
      <c r="AD5" s="2" t="str">
        <v/>
      </c>
      <c r="AE5" s="2" t="str">
        <v/>
      </c>
      <c r="AF5" s="2">
        <v>0.36079062222733721</v>
      </c>
      <c r="AG5" s="2">
        <v>0.37134098331910581</v>
      </c>
      <c r="AH5" s="2">
        <v>0.76800092143715382</v>
      </c>
      <c r="AI5" s="2" t="str">
        <v/>
      </c>
      <c r="AJ5" s="2">
        <v>0.98069057161615336</v>
      </c>
      <c r="AK5" s="2" t="str">
        <v/>
      </c>
      <c r="AL5" s="2">
        <v>1.4299378202931239</v>
      </c>
      <c r="AM5" s="2">
        <v>1.8101864416488205</v>
      </c>
      <c r="AN5" s="2">
        <v>1.9541393985874191</v>
      </c>
      <c r="AO5" s="2">
        <v>2.1063536287526934</v>
      </c>
      <c r="AP5" s="2" t="str">
        <v/>
      </c>
      <c r="AQ5" s="2">
        <v>2.1123293205016882</v>
      </c>
      <c r="AR5" s="2" t="str">
        <v/>
      </c>
      <c r="AS5" s="2">
        <v>4.7106190707283968</v>
      </c>
      <c r="AT5" s="2">
        <v>4.7139087360535576</v>
      </c>
      <c r="AU5" s="2">
        <v>4.5603918291071599</v>
      </c>
      <c r="AV5" s="2">
        <v>4.3214529429497563</v>
      </c>
      <c r="AW5" s="2">
        <v>4.1702854869775816</v>
      </c>
      <c r="AX5" s="2">
        <v>4.1877684224474123</v>
      </c>
      <c r="AY5" s="2">
        <v>4.2584247355926372</v>
      </c>
      <c r="AZ5" s="2">
        <v>4.2380872844092492</v>
      </c>
      <c r="BA5" s="2">
        <v>4.1767683618290965</v>
      </c>
      <c r="BB5" s="2">
        <v>4.16788283965702</v>
      </c>
      <c r="BC5" s="2">
        <v>4.1771421662900723</v>
      </c>
      <c r="BD5" s="2" t="str">
        <v/>
      </c>
      <c r="BE5" s="2" t="str">
        <v/>
      </c>
    </row>
    <row r="6" spans="1:90" ht="21" customHeight="1" x14ac:dyDescent="0.45">
      <c r="A6" s="59"/>
      <c r="B6" s="90"/>
      <c r="C6" s="150" t="str">
        <v>Slope</v>
      </c>
      <c r="D6" s="153">
        <v>592</v>
      </c>
      <c r="E6" s="75"/>
      <c r="F6" s="97"/>
      <c r="G6" s="35"/>
      <c r="H6" s="2" t="str">
        <v/>
      </c>
      <c r="I6" s="2">
        <v>5.4475473113330981</v>
      </c>
      <c r="J6" s="2" t="str">
        <v/>
      </c>
      <c r="K6" s="2">
        <v>0.44068437185444054</v>
      </c>
      <c r="L6" s="2">
        <v>5.9849127150340395</v>
      </c>
      <c r="M6" s="2">
        <v>5.3919092571194076</v>
      </c>
      <c r="N6" s="2">
        <v>5.7710048571073083</v>
      </c>
      <c r="O6" s="2">
        <v>6.168221585113713</v>
      </c>
      <c r="P6" s="2">
        <v>3.8480679587048185E-2</v>
      </c>
      <c r="Q6" s="2">
        <v>0.86229195137947723</v>
      </c>
      <c r="R6" s="2">
        <v>1.2187932165096951</v>
      </c>
      <c r="S6" s="2">
        <v>1.0025119293650795</v>
      </c>
      <c r="T6" s="2">
        <v>0.50630318885426373</v>
      </c>
      <c r="U6" s="2">
        <v>0.22156445537801783</v>
      </c>
      <c r="V6" s="2">
        <v>0.26751117022513549</v>
      </c>
      <c r="W6" s="2">
        <v>0.20243561797529955</v>
      </c>
      <c r="X6" s="2">
        <v>0.28916857647171401</v>
      </c>
      <c r="Y6" s="2">
        <v>0.3645566702844496</v>
      </c>
      <c r="Z6" s="2">
        <v>0.38441062168308143</v>
      </c>
      <c r="AA6" s="2">
        <v>0.49754737935970922</v>
      </c>
      <c r="AB6" s="2">
        <v>0.58122262341402287</v>
      </c>
      <c r="AC6" s="2">
        <v>0.62771760703574764</v>
      </c>
      <c r="AD6" s="2">
        <v>0.6941240043021526</v>
      </c>
      <c r="AE6" s="2">
        <v>0.81632642182610948</v>
      </c>
      <c r="AF6" s="2">
        <v>0.82374946851872044</v>
      </c>
      <c r="AG6" s="2" t="str">
        <v/>
      </c>
      <c r="AH6" s="2" t="str">
        <v/>
      </c>
      <c r="AI6" s="2" t="str">
        <v/>
      </c>
      <c r="AJ6" s="2" t="str">
        <v/>
      </c>
      <c r="AK6" s="2" t="str">
        <v/>
      </c>
      <c r="AL6" s="2">
        <v>2.0718421005459424</v>
      </c>
      <c r="AM6" s="2">
        <v>2.0698785546456064</v>
      </c>
      <c r="AN6" s="2">
        <v>2.0398415817156614</v>
      </c>
      <c r="AO6" s="2">
        <v>2.1710513066279455</v>
      </c>
      <c r="AP6" s="2" t="str">
        <v/>
      </c>
      <c r="AQ6" s="2" t="str">
        <v/>
      </c>
      <c r="AR6" s="2" t="str">
        <v/>
      </c>
      <c r="AS6" s="2">
        <v>5.4082503771276915</v>
      </c>
      <c r="AT6" s="2">
        <v>5.2957679080767148</v>
      </c>
      <c r="AU6" s="2">
        <v>5.124472214884614</v>
      </c>
      <c r="AV6" s="2">
        <v>5.0153833986713732</v>
      </c>
      <c r="AW6" s="2">
        <v>4.8802544698865287</v>
      </c>
      <c r="AX6" s="2">
        <v>4.7756733933056763</v>
      </c>
      <c r="AY6" s="2">
        <v>4.7136248080291461</v>
      </c>
      <c r="AZ6" s="2">
        <v>4.6889924911157763</v>
      </c>
      <c r="BA6" s="2">
        <v>4.6862022643611567</v>
      </c>
      <c r="BB6" s="2">
        <v>4.7916229733194067</v>
      </c>
      <c r="BC6" s="2">
        <v>4.9974844202205171</v>
      </c>
      <c r="BD6" s="2">
        <v>5.0738693820105825</v>
      </c>
      <c r="BE6" s="2" t="str">
        <v/>
      </c>
    </row>
    <row r="7" spans="1:90" ht="21" customHeight="1" x14ac:dyDescent="0.45">
      <c r="A7" s="59"/>
      <c r="B7" s="90"/>
      <c r="C7" s="150" t="str">
        <v>Valley</v>
      </c>
      <c r="D7" s="153">
        <v>258</v>
      </c>
      <c r="E7" s="146" t="s">
        <v>86</v>
      </c>
      <c r="F7" s="98"/>
      <c r="G7" s="35"/>
      <c r="H7" s="2" t="str">
        <v/>
      </c>
      <c r="I7" s="2" t="str">
        <v/>
      </c>
      <c r="J7" s="2" t="str">
        <v/>
      </c>
      <c r="K7" s="2">
        <v>0.29941695933117413</v>
      </c>
      <c r="L7" s="2">
        <v>6.1608478214986828</v>
      </c>
      <c r="M7" s="2">
        <v>5.5815251628947919</v>
      </c>
      <c r="N7" s="2">
        <v>5.6073717722662781</v>
      </c>
      <c r="O7" s="2">
        <v>6.0734575261570285</v>
      </c>
      <c r="P7" s="2">
        <v>0.43866935615009606</v>
      </c>
      <c r="Q7" s="2">
        <v>1.0470833774555841</v>
      </c>
      <c r="R7" s="2">
        <v>1.1002035237475891</v>
      </c>
      <c r="S7" s="2">
        <v>0.75512350458080779</v>
      </c>
      <c r="T7" s="2">
        <v>0.44287678072858394</v>
      </c>
      <c r="U7" s="2" t="str">
        <v/>
      </c>
      <c r="V7" s="2" t="str">
        <v/>
      </c>
      <c r="W7" s="2" t="str">
        <v/>
      </c>
      <c r="X7" s="2">
        <v>0.45646787233367853</v>
      </c>
      <c r="Y7" s="2">
        <v>0.71332349665287886</v>
      </c>
      <c r="Z7" s="2">
        <v>1.0000657154925476</v>
      </c>
      <c r="AA7" s="2">
        <v>1.3648702034985418</v>
      </c>
      <c r="AB7" s="2">
        <v>1.6586806612583516</v>
      </c>
      <c r="AC7" s="2">
        <v>1.8851347649171941</v>
      </c>
      <c r="AD7" s="2">
        <v>2.0188688713437708</v>
      </c>
      <c r="AE7" s="2">
        <v>1.9133916725889311</v>
      </c>
      <c r="AF7" s="2">
        <v>1.9550644681488007</v>
      </c>
      <c r="AG7" s="2" t="str">
        <v/>
      </c>
      <c r="AH7" s="2">
        <v>2.1776407225006849</v>
      </c>
      <c r="AI7" s="2" t="str">
        <v/>
      </c>
      <c r="AJ7" s="2" t="str">
        <v/>
      </c>
      <c r="AK7" s="2" t="str">
        <v/>
      </c>
      <c r="AL7" s="2">
        <v>2.1917448689378798</v>
      </c>
      <c r="AM7" s="2">
        <v>2.0437462000749065</v>
      </c>
      <c r="AN7" s="2">
        <v>1.9354146839334008</v>
      </c>
      <c r="AO7" s="2">
        <v>1.9924636726354255</v>
      </c>
      <c r="AP7" s="2">
        <v>2.152547090098607</v>
      </c>
      <c r="AQ7" s="2">
        <v>4.9203576097734185</v>
      </c>
      <c r="AR7" s="2">
        <v>5.2849112224102219</v>
      </c>
      <c r="AS7" s="2">
        <v>5.3950171984921855</v>
      </c>
      <c r="AT7" s="2">
        <v>5.2797917280671012</v>
      </c>
      <c r="AU7" s="2">
        <v>5.2601182093506038</v>
      </c>
      <c r="AV7" s="2">
        <v>5.3913608138749041</v>
      </c>
      <c r="AW7" s="2">
        <v>5.3602068859510652</v>
      </c>
      <c r="AX7" s="2">
        <v>5.2222524243522876</v>
      </c>
      <c r="AY7" s="2">
        <v>5.1079575034002396</v>
      </c>
      <c r="AZ7" s="2">
        <v>5.0873411241462634</v>
      </c>
      <c r="BA7" s="2">
        <v>5.0955456677473405</v>
      </c>
      <c r="BB7" s="2">
        <v>5.0583797435913045</v>
      </c>
      <c r="BC7" s="2">
        <v>5.109414866875265</v>
      </c>
      <c r="BD7" s="2">
        <v>5.0608746379697118</v>
      </c>
      <c r="BE7" s="2" t="str">
        <v/>
      </c>
    </row>
    <row r="8" spans="1:90" ht="21" customHeight="1" x14ac:dyDescent="0.45">
      <c r="A8" s="59"/>
      <c r="B8" s="90"/>
      <c r="C8" s="151"/>
      <c r="D8" s="153"/>
      <c r="E8" s="142" t="s">
        <v>213</v>
      </c>
      <c r="F8" s="99"/>
      <c r="G8" s="35"/>
      <c r="H8" s="2" t="str">
        <v/>
      </c>
      <c r="I8" s="2">
        <v>5.6262782305542505</v>
      </c>
      <c r="J8" s="2">
        <v>5.6852965730968386</v>
      </c>
      <c r="K8" s="2">
        <v>1.9027584323679722E-2</v>
      </c>
      <c r="L8" s="2">
        <v>6.1679133164588817</v>
      </c>
      <c r="M8" s="2">
        <v>5.810211021305749</v>
      </c>
      <c r="N8" s="2">
        <v>5.7060289572919407</v>
      </c>
      <c r="O8" s="2">
        <v>6.2207545224264189</v>
      </c>
      <c r="P8" s="2" t="str">
        <v/>
      </c>
      <c r="Q8" s="2" t="str">
        <v/>
      </c>
      <c r="R8" s="2" t="str">
        <v/>
      </c>
      <c r="S8" s="2">
        <v>1.4091030098380957</v>
      </c>
      <c r="T8" s="2">
        <v>1.7939273154405018</v>
      </c>
      <c r="U8" s="2" t="str">
        <v/>
      </c>
      <c r="V8" s="2" t="str">
        <v/>
      </c>
      <c r="W8" s="2" t="str">
        <v/>
      </c>
      <c r="X8" s="2">
        <v>1.4594664337524039</v>
      </c>
      <c r="Y8" s="2">
        <v>1.6259111801445656</v>
      </c>
      <c r="Z8" s="2">
        <v>1.7994609525410861</v>
      </c>
      <c r="AA8" s="2">
        <v>2.0426036778959453</v>
      </c>
      <c r="AB8" s="2">
        <v>2.2879546216040803</v>
      </c>
      <c r="AC8" s="2">
        <v>2.4514656926332252</v>
      </c>
      <c r="AD8" s="2">
        <v>2.5976080152495742</v>
      </c>
      <c r="AE8" s="2">
        <v>2.5321147764179126</v>
      </c>
      <c r="AF8" s="2">
        <v>2.4102667295548077</v>
      </c>
      <c r="AG8" s="2" t="str">
        <v/>
      </c>
      <c r="AH8" s="2" t="str">
        <v/>
      </c>
      <c r="AI8" s="2" t="str">
        <v/>
      </c>
      <c r="AJ8" s="2">
        <v>2.2056351255110309</v>
      </c>
      <c r="AK8" s="2" t="str">
        <v/>
      </c>
      <c r="AL8" s="2">
        <v>2.2395050230461191</v>
      </c>
      <c r="AM8" s="2">
        <v>2.1723872226559902</v>
      </c>
      <c r="AN8" s="2">
        <v>2.0284502563738709</v>
      </c>
      <c r="AO8" s="2">
        <v>1.9910030211413474</v>
      </c>
      <c r="AP8" s="2">
        <v>2.2661377392272701</v>
      </c>
      <c r="AQ8" s="2">
        <v>4.9690042132843555</v>
      </c>
      <c r="AR8" s="2">
        <v>5.1424651411107893</v>
      </c>
      <c r="AS8" s="2">
        <v>5.3823604834152121</v>
      </c>
      <c r="AT8" s="2">
        <v>5.3644061361508264</v>
      </c>
      <c r="AU8" s="2">
        <v>5.2443498956872743</v>
      </c>
      <c r="AV8" s="2">
        <v>5.3047628774676907</v>
      </c>
      <c r="AW8" s="2">
        <v>5.348730889128726</v>
      </c>
      <c r="AX8" s="2">
        <v>5.3278459885101057</v>
      </c>
      <c r="AY8" s="2">
        <v>5.2615353919176204</v>
      </c>
      <c r="AZ8" s="2">
        <v>5.2080587723788874</v>
      </c>
      <c r="BA8" s="2">
        <v>5.1672199869363054</v>
      </c>
      <c r="BB8" s="2">
        <v>5.0691268790190565</v>
      </c>
      <c r="BC8" s="2">
        <v>4.9902987548960356</v>
      </c>
      <c r="BD8" s="2">
        <v>4.2951610501515596</v>
      </c>
      <c r="BE8" s="2" t="str">
        <v/>
      </c>
    </row>
    <row r="9" spans="1:90" ht="21" customHeight="1" x14ac:dyDescent="0.45">
      <c r="A9" s="59"/>
      <c r="B9" s="90"/>
      <c r="C9" s="151"/>
      <c r="D9" s="154"/>
      <c r="E9" s="142" t="s">
        <v>214</v>
      </c>
      <c r="F9" s="99"/>
      <c r="G9" s="35"/>
      <c r="H9" s="2" t="str">
        <v/>
      </c>
      <c r="I9" s="2" t="str">
        <v/>
      </c>
      <c r="J9" s="2" t="str">
        <v/>
      </c>
      <c r="K9" s="2" t="str">
        <v/>
      </c>
      <c r="L9" s="2">
        <v>6.128694072631979</v>
      </c>
      <c r="M9" s="2">
        <v>5.9026046266617849</v>
      </c>
      <c r="N9" s="2">
        <v>5.832215307376897</v>
      </c>
      <c r="O9" s="2">
        <v>2.0781393419163887</v>
      </c>
      <c r="P9" s="2" t="str">
        <v/>
      </c>
      <c r="Q9" s="2">
        <v>2.1095373986192127</v>
      </c>
      <c r="R9" s="2" t="str">
        <v/>
      </c>
      <c r="S9" s="2">
        <v>2.3213362214946125</v>
      </c>
      <c r="T9" s="2">
        <v>2.4222220856517915</v>
      </c>
      <c r="U9" s="2" t="str">
        <v/>
      </c>
      <c r="V9" s="2" t="str">
        <v/>
      </c>
      <c r="W9" s="2" t="str">
        <v/>
      </c>
      <c r="X9" s="2">
        <v>2.2605417146699729</v>
      </c>
      <c r="Y9" s="2">
        <v>2.0144730584929809</v>
      </c>
      <c r="Z9" s="2">
        <v>1.9129211797121666</v>
      </c>
      <c r="AA9" s="2">
        <v>1.9562364895723545</v>
      </c>
      <c r="AB9" s="2">
        <v>2.1547487566187065</v>
      </c>
      <c r="AC9" s="2">
        <v>2.4020515963980351</v>
      </c>
      <c r="AD9" s="2">
        <v>2.6265233950323745</v>
      </c>
      <c r="AE9" s="2">
        <v>2.6698236434490035</v>
      </c>
      <c r="AF9" s="2">
        <v>2.6440040859879366</v>
      </c>
      <c r="AG9" s="2">
        <v>2.2580423384741821</v>
      </c>
      <c r="AH9" s="2">
        <v>1.9539709250114659</v>
      </c>
      <c r="AI9" s="2" t="str">
        <v/>
      </c>
      <c r="AJ9" s="2" t="str">
        <v/>
      </c>
      <c r="AK9" s="2" t="str">
        <v/>
      </c>
      <c r="AL9" s="2">
        <v>2.193107990926646</v>
      </c>
      <c r="AM9" s="2">
        <v>2.2617102737839727</v>
      </c>
      <c r="AN9" s="2">
        <v>2.178075835714222</v>
      </c>
      <c r="AO9" s="2">
        <v>2.1839311081652615</v>
      </c>
      <c r="AP9" s="2">
        <v>4.4428753641950935</v>
      </c>
      <c r="AQ9" s="2">
        <v>4.9844242238367702</v>
      </c>
      <c r="AR9" s="2">
        <v>5.0652355803991647</v>
      </c>
      <c r="AS9" s="2">
        <v>5.227272394960691</v>
      </c>
      <c r="AT9" s="2">
        <v>5.3781741743316269</v>
      </c>
      <c r="AU9" s="2">
        <v>5.3224449780002807</v>
      </c>
      <c r="AV9" s="2">
        <v>5.2998981745129328</v>
      </c>
      <c r="AW9" s="2">
        <v>5.2637657094118815</v>
      </c>
      <c r="AX9" s="2">
        <v>5.2658552533303151</v>
      </c>
      <c r="AY9" s="2">
        <v>5.2798399502931392</v>
      </c>
      <c r="AZ9" s="2">
        <v>5.2965289009011745</v>
      </c>
      <c r="BA9" s="2">
        <v>5.2822635828827238</v>
      </c>
      <c r="BB9" s="2">
        <v>5.0604709688914191</v>
      </c>
      <c r="BC9" s="2">
        <v>4.5848253466801321</v>
      </c>
      <c r="BD9" s="2" t="str">
        <v/>
      </c>
      <c r="BE9" s="2" t="str">
        <v/>
      </c>
    </row>
    <row r="10" spans="1:90" ht="21" customHeight="1" x14ac:dyDescent="0.45">
      <c r="A10" s="59"/>
      <c r="B10" s="90"/>
      <c r="C10" s="151"/>
      <c r="D10" s="154"/>
      <c r="E10" s="142" t="s">
        <v>215</v>
      </c>
      <c r="F10" s="99"/>
      <c r="G10" s="35"/>
      <c r="H10" s="2" t="str">
        <v/>
      </c>
      <c r="I10" s="2" t="str">
        <v/>
      </c>
      <c r="J10" s="2">
        <v>5.786628614366343</v>
      </c>
      <c r="K10" s="2" t="str">
        <v/>
      </c>
      <c r="L10" s="2">
        <v>0.11095968843339893</v>
      </c>
      <c r="M10" s="2">
        <v>1.0912770348023146</v>
      </c>
      <c r="N10" s="2">
        <v>2.4648020298880025</v>
      </c>
      <c r="O10" s="2">
        <v>2.4284137439658493</v>
      </c>
      <c r="P10" s="2" t="str">
        <v/>
      </c>
      <c r="Q10" s="2" t="str">
        <v/>
      </c>
      <c r="R10" s="2" t="str">
        <v/>
      </c>
      <c r="S10" s="2">
        <v>2.4816987599725548</v>
      </c>
      <c r="T10" s="2">
        <v>2.4249603340984258</v>
      </c>
      <c r="U10" s="2" t="str">
        <v/>
      </c>
      <c r="V10" s="2" t="str">
        <v/>
      </c>
      <c r="W10" s="2" t="str">
        <v/>
      </c>
      <c r="X10" s="2">
        <v>2.2221885475480887</v>
      </c>
      <c r="Y10" s="2">
        <v>1.9464662365188659</v>
      </c>
      <c r="Z10" s="2">
        <v>1.8966517770805624</v>
      </c>
      <c r="AA10" s="2">
        <v>1.9195938029135386</v>
      </c>
      <c r="AB10" s="2">
        <v>2.0078268133368615</v>
      </c>
      <c r="AC10" s="2">
        <v>2.195588266211534</v>
      </c>
      <c r="AD10" s="2">
        <v>2.5151251631929199</v>
      </c>
      <c r="AE10" s="2">
        <v>2.7114443065307507</v>
      </c>
      <c r="AF10" s="2">
        <v>2.854688545720363</v>
      </c>
      <c r="AG10" s="2">
        <v>2.6850817509879352</v>
      </c>
      <c r="AH10" s="2">
        <v>2.36213501437074</v>
      </c>
      <c r="AI10" s="2">
        <v>2.0052696889696113</v>
      </c>
      <c r="AJ10" s="2">
        <v>1.9358373457928912</v>
      </c>
      <c r="AK10" s="2">
        <v>1.977448674641261</v>
      </c>
      <c r="AL10" s="2">
        <v>2.0352342790712896</v>
      </c>
      <c r="AM10" s="2">
        <v>2.13704238425324</v>
      </c>
      <c r="AN10" s="2">
        <v>2.1538909942899074</v>
      </c>
      <c r="AO10" s="2">
        <v>2.3482895165134781</v>
      </c>
      <c r="AP10" s="2">
        <v>5.0554516654779791</v>
      </c>
      <c r="AQ10" s="2">
        <v>5.0886811025201037</v>
      </c>
      <c r="AR10" s="2">
        <v>5.032353822393695</v>
      </c>
      <c r="AS10" s="2">
        <v>5.050681887769068</v>
      </c>
      <c r="AT10" s="2">
        <v>5.1806199136336266</v>
      </c>
      <c r="AU10" s="2">
        <v>5.2463461893767764</v>
      </c>
      <c r="AV10" s="2">
        <v>5.3086888412673163</v>
      </c>
      <c r="AW10" s="2">
        <v>5.2851107506371342</v>
      </c>
      <c r="AX10" s="2">
        <v>5.2707663201492156</v>
      </c>
      <c r="AY10" s="2">
        <v>5.268213134207735</v>
      </c>
      <c r="AZ10" s="2">
        <v>5.2726410849758549</v>
      </c>
      <c r="BA10" s="2">
        <v>5.2557900787898344</v>
      </c>
      <c r="BB10" s="2" t="str">
        <v/>
      </c>
      <c r="BC10" s="2" t="str">
        <v/>
      </c>
      <c r="BD10" s="2" t="str">
        <v/>
      </c>
      <c r="BE10" s="2" t="str">
        <v/>
      </c>
    </row>
    <row r="11" spans="1:90" ht="21" customHeight="1" x14ac:dyDescent="0.45">
      <c r="A11" s="59"/>
      <c r="B11" s="90"/>
      <c r="C11" s="58"/>
      <c r="D11" s="154"/>
      <c r="E11" s="75"/>
      <c r="F11" s="100"/>
      <c r="G11" s="35"/>
      <c r="H11" s="2" t="str">
        <v/>
      </c>
      <c r="I11" s="2" t="str">
        <v/>
      </c>
      <c r="J11" s="2" t="str">
        <v/>
      </c>
      <c r="K11" s="2" t="str">
        <v/>
      </c>
      <c r="L11" s="2">
        <v>1.8172084542816489</v>
      </c>
      <c r="M11" s="2">
        <v>2.3467029169577067</v>
      </c>
      <c r="N11" s="2">
        <v>2.5170710764905331</v>
      </c>
      <c r="O11" s="2">
        <v>2.4566863213592649</v>
      </c>
      <c r="P11" s="2">
        <v>2.5817071525969562</v>
      </c>
      <c r="Q11" s="2">
        <v>2.5954543796994707</v>
      </c>
      <c r="R11" s="2">
        <v>2.4647470899879731</v>
      </c>
      <c r="S11" s="2">
        <v>2.4814534101127474</v>
      </c>
      <c r="T11" s="2">
        <v>2.487815147968309</v>
      </c>
      <c r="U11" s="2">
        <v>2.5819651972125706</v>
      </c>
      <c r="V11" s="2">
        <v>3.5560679980988472</v>
      </c>
      <c r="W11" s="2">
        <v>3.837689571860341</v>
      </c>
      <c r="X11" s="2">
        <v>2.3264048828564254</v>
      </c>
      <c r="Y11" s="2">
        <v>1.9176020898064852</v>
      </c>
      <c r="Z11" s="2">
        <v>1.8615579528063675</v>
      </c>
      <c r="AA11" s="2">
        <v>1.8584315604911106</v>
      </c>
      <c r="AB11" s="2">
        <v>1.8611712269679388</v>
      </c>
      <c r="AC11" s="2">
        <v>1.9017289580708245</v>
      </c>
      <c r="AD11" s="2">
        <v>2.163000757692525</v>
      </c>
      <c r="AE11" s="2">
        <v>2.5397840768788713</v>
      </c>
      <c r="AF11" s="2">
        <v>2.9286526127843122</v>
      </c>
      <c r="AG11" s="2">
        <v>2.9422332418021289</v>
      </c>
      <c r="AH11" s="2">
        <v>2.6987101225671699</v>
      </c>
      <c r="AI11" s="2">
        <v>2.3041273490643954</v>
      </c>
      <c r="AJ11" s="2">
        <v>2.1047903749817065</v>
      </c>
      <c r="AK11" s="2">
        <v>1.9956877612101303</v>
      </c>
      <c r="AL11" s="2">
        <v>1.9873516434080296</v>
      </c>
      <c r="AM11" s="2">
        <v>2.010554298652024</v>
      </c>
      <c r="AN11" s="2">
        <v>2.0283562554287933</v>
      </c>
      <c r="AO11" s="2">
        <v>4.9454262151313806</v>
      </c>
      <c r="AP11" s="2">
        <v>5.1324508755848086</v>
      </c>
      <c r="AQ11" s="2">
        <v>5.1860609899550996</v>
      </c>
      <c r="AR11" s="2">
        <v>5.1022715031980397</v>
      </c>
      <c r="AS11" s="2">
        <v>5.0296560452606034</v>
      </c>
      <c r="AT11" s="2">
        <v>5.0167727736643037</v>
      </c>
      <c r="AU11" s="2">
        <v>5.0471388025222481</v>
      </c>
      <c r="AV11" s="2">
        <v>5.1651301288039297</v>
      </c>
      <c r="AW11" s="2">
        <v>5.212597913467504</v>
      </c>
      <c r="AX11" s="2">
        <v>5.2391870321548373</v>
      </c>
      <c r="AY11" s="2">
        <v>5.2200954649329541</v>
      </c>
      <c r="AZ11" s="2">
        <v>5.1845286929335721</v>
      </c>
      <c r="BA11" s="2" t="str">
        <v/>
      </c>
      <c r="BB11" s="2" t="str">
        <v/>
      </c>
      <c r="BC11" s="2" t="str">
        <v/>
      </c>
      <c r="BD11" s="2" t="str">
        <v/>
      </c>
      <c r="BE11" s="2" t="str">
        <v/>
      </c>
    </row>
    <row r="12" spans="1:90" ht="21" customHeight="1" x14ac:dyDescent="0.45">
      <c r="A12" s="59"/>
      <c r="B12" s="90"/>
      <c r="C12" s="58"/>
      <c r="D12" s="154"/>
      <c r="E12" s="147" t="s">
        <v>84</v>
      </c>
      <c r="F12" s="101"/>
      <c r="G12" s="35"/>
      <c r="H12" s="2" t="str">
        <v/>
      </c>
      <c r="I12" s="2">
        <v>3.722994514858796</v>
      </c>
      <c r="J12" s="2">
        <v>3.9991838666309878</v>
      </c>
      <c r="K12" s="2">
        <v>3.440465377009895</v>
      </c>
      <c r="L12" s="2">
        <v>1.9431175794993281</v>
      </c>
      <c r="M12" s="2">
        <v>1.996461060096445</v>
      </c>
      <c r="N12" s="2">
        <v>2.2350671331861549</v>
      </c>
      <c r="O12" s="2">
        <v>2.3347957321410746</v>
      </c>
      <c r="P12" s="2">
        <v>2.5411364814416375</v>
      </c>
      <c r="Q12" s="2">
        <v>2.6983161852688493</v>
      </c>
      <c r="R12" s="2">
        <v>2.6432559891609406</v>
      </c>
      <c r="S12" s="2">
        <v>2.5482828604644294</v>
      </c>
      <c r="T12" s="2">
        <v>2.5889482202939167</v>
      </c>
      <c r="U12" s="2">
        <v>2.7413752249741301</v>
      </c>
      <c r="V12" s="2">
        <v>3.5847133129603588</v>
      </c>
      <c r="W12" s="2">
        <v>3.9644764933480077</v>
      </c>
      <c r="X12" s="2">
        <v>2.5487026538984008</v>
      </c>
      <c r="Y12" s="2">
        <v>1.8775447145219504</v>
      </c>
      <c r="Z12" s="2">
        <v>1.7283029943400876</v>
      </c>
      <c r="AA12" s="2">
        <v>1.7103373080080904</v>
      </c>
      <c r="AB12" s="2">
        <v>1.7429760384721789</v>
      </c>
      <c r="AC12" s="2">
        <v>1.7781746524199034</v>
      </c>
      <c r="AD12" s="2">
        <v>1.868354757247624</v>
      </c>
      <c r="AE12" s="2">
        <v>2.1121198497211204</v>
      </c>
      <c r="AF12" s="2">
        <v>2.7308619025649974</v>
      </c>
      <c r="AG12" s="2">
        <v>3.0040361580793999</v>
      </c>
      <c r="AH12" s="2">
        <v>2.8747113768988206</v>
      </c>
      <c r="AI12" s="2">
        <v>2.4892941178027286</v>
      </c>
      <c r="AJ12" s="2">
        <v>2.229208911709696</v>
      </c>
      <c r="AK12" s="2">
        <v>2.0807591051508867</v>
      </c>
      <c r="AL12" s="2">
        <v>2.0492964482750642</v>
      </c>
      <c r="AM12" s="2">
        <v>2.0274059518965077</v>
      </c>
      <c r="AN12" s="2">
        <v>2.1007528307155221</v>
      </c>
      <c r="AO12" s="2">
        <v>4.9761085582811688</v>
      </c>
      <c r="AP12" s="2">
        <v>5.052945042231082</v>
      </c>
      <c r="AQ12" s="2">
        <v>5.1132347817322437</v>
      </c>
      <c r="AR12" s="2">
        <v>5.117622550470772</v>
      </c>
      <c r="AS12" s="2">
        <v>5.1135385993715072</v>
      </c>
      <c r="AT12" s="2">
        <v>5.1068483917988869</v>
      </c>
      <c r="AU12" s="2">
        <v>5.0731543244252926</v>
      </c>
      <c r="AV12" s="2">
        <v>5.1225465345832086</v>
      </c>
      <c r="AW12" s="2">
        <v>5.1002289736915865</v>
      </c>
      <c r="AX12" s="2">
        <v>5.1125751228321734</v>
      </c>
      <c r="AY12" s="2">
        <v>5.0678528074239413</v>
      </c>
      <c r="AZ12" s="2">
        <v>4.7850315076512473</v>
      </c>
      <c r="BA12" s="2" t="str">
        <v/>
      </c>
      <c r="BB12" s="2" t="str">
        <v/>
      </c>
      <c r="BC12" s="2" t="str">
        <v/>
      </c>
      <c r="BD12" s="2" t="str">
        <v/>
      </c>
      <c r="BE12" s="2" t="str">
        <v/>
      </c>
    </row>
    <row r="13" spans="1:90" ht="21" customHeight="1" x14ac:dyDescent="0.45">
      <c r="A13" s="59"/>
      <c r="B13" s="155"/>
      <c r="C13" s="156"/>
      <c r="D13" s="156"/>
      <c r="E13" s="148">
        <v>30</v>
      </c>
      <c r="F13" s="103"/>
      <c r="G13" s="35"/>
      <c r="H13" s="2" t="str">
        <v/>
      </c>
      <c r="I13" s="2">
        <v>3.8650995367581231</v>
      </c>
      <c r="J13" s="2">
        <v>4.1465281951222455</v>
      </c>
      <c r="K13" s="2">
        <v>4.1079763205726474</v>
      </c>
      <c r="L13" s="2">
        <v>1.5192955158436656</v>
      </c>
      <c r="M13" s="2">
        <v>1.4515230716426091</v>
      </c>
      <c r="N13" s="2">
        <v>1.5582480445819302</v>
      </c>
      <c r="O13" s="2">
        <v>1.7657632082601993</v>
      </c>
      <c r="P13" s="2">
        <v>2.0804900956128831</v>
      </c>
      <c r="Q13" s="2">
        <v>2.4754042977197805</v>
      </c>
      <c r="R13" s="2">
        <v>2.7280121005299938</v>
      </c>
      <c r="S13" s="2">
        <v>2.6917599551289397</v>
      </c>
      <c r="T13" s="2">
        <v>2.6007083973495697</v>
      </c>
      <c r="U13" s="2">
        <v>2.9449375600984742</v>
      </c>
      <c r="V13" s="2">
        <v>3.840302816204328</v>
      </c>
      <c r="W13" s="2">
        <v>4.0255129375423042</v>
      </c>
      <c r="X13" s="2">
        <v>2.6995122026374969</v>
      </c>
      <c r="Y13" s="2">
        <v>2.1453369318787838</v>
      </c>
      <c r="Z13" s="2">
        <v>1.7710138908447401</v>
      </c>
      <c r="AA13" s="2">
        <v>1.5669755742859017</v>
      </c>
      <c r="AB13" s="2">
        <v>1.5443998190544366</v>
      </c>
      <c r="AC13" s="2">
        <v>1.6011614343111207</v>
      </c>
      <c r="AD13" s="2">
        <v>1.6249601648317842</v>
      </c>
      <c r="AE13" s="2">
        <v>1.6557056850942931</v>
      </c>
      <c r="AF13" s="2">
        <v>1.9890757194212618</v>
      </c>
      <c r="AG13" s="2">
        <v>2.6607738909485485</v>
      </c>
      <c r="AH13" s="2">
        <v>2.8810257978137201</v>
      </c>
      <c r="AI13" s="2">
        <v>2.6392023594150547</v>
      </c>
      <c r="AJ13" s="2">
        <v>2.3646528164380731</v>
      </c>
      <c r="AK13" s="2">
        <v>2.1878251004632223</v>
      </c>
      <c r="AL13" s="2">
        <v>2.1173472713561061</v>
      </c>
      <c r="AM13" s="2">
        <v>2.1540645511029126</v>
      </c>
      <c r="AN13" s="2">
        <v>4.5379173932399626</v>
      </c>
      <c r="AO13" s="2">
        <v>5.0532826252467951</v>
      </c>
      <c r="AP13" s="2">
        <v>5.1366188757081517</v>
      </c>
      <c r="AQ13" s="2">
        <v>5.124617791783165</v>
      </c>
      <c r="AR13" s="2">
        <v>5.083552946358231</v>
      </c>
      <c r="AS13" s="2">
        <v>5.1098734947386042</v>
      </c>
      <c r="AT13" s="2">
        <v>5.12815143329835</v>
      </c>
      <c r="AU13" s="2">
        <v>5.0639703704794101</v>
      </c>
      <c r="AV13" s="2">
        <v>5.1404301798758079</v>
      </c>
      <c r="AW13" s="2" t="str">
        <v/>
      </c>
      <c r="AX13" s="2" t="str">
        <v/>
      </c>
      <c r="AY13" s="2" t="str">
        <v/>
      </c>
      <c r="AZ13" s="2" t="str">
        <v/>
      </c>
      <c r="BA13" s="2" t="str">
        <v/>
      </c>
      <c r="BB13" s="2" t="str">
        <v/>
      </c>
      <c r="BC13" s="2" t="str">
        <v/>
      </c>
      <c r="BD13" s="2">
        <v>2.6913089743913536</v>
      </c>
      <c r="BE13" s="2" t="str">
        <v/>
      </c>
    </row>
    <row r="14" spans="1:90" ht="21" customHeight="1" x14ac:dyDescent="0.45">
      <c r="A14" s="59"/>
      <c r="B14" s="90"/>
      <c r="E14" s="149"/>
      <c r="F14" s="128"/>
      <c r="G14" s="35"/>
      <c r="H14" s="2" t="str">
        <v/>
      </c>
      <c r="I14" s="2">
        <v>4.0927104335348039</v>
      </c>
      <c r="J14" s="2">
        <v>4.1494116582382397</v>
      </c>
      <c r="K14" s="2">
        <v>4.0629601620348588</v>
      </c>
      <c r="L14" s="2">
        <v>1.9333559130179701</v>
      </c>
      <c r="M14" s="2">
        <v>1.4498478177169793</v>
      </c>
      <c r="N14" s="2">
        <v>1.4142497287179323</v>
      </c>
      <c r="O14" s="2">
        <v>1.4670432139180705</v>
      </c>
      <c r="P14" s="2">
        <v>1.6088970864574166</v>
      </c>
      <c r="Q14" s="2">
        <v>1.9243447582629964</v>
      </c>
      <c r="R14" s="2">
        <v>2.4186415089330002</v>
      </c>
      <c r="S14" s="2">
        <v>2.7654837855098031</v>
      </c>
      <c r="T14" s="2">
        <v>2.5929369054531666</v>
      </c>
      <c r="U14" s="2">
        <v>3.1454293979303531</v>
      </c>
      <c r="V14" s="2">
        <v>4.0495889781545689</v>
      </c>
      <c r="W14" s="2">
        <v>3.7296244346240068</v>
      </c>
      <c r="X14" s="2">
        <v>2.6502846357657726</v>
      </c>
      <c r="Y14" s="2">
        <v>2.5797407532018952</v>
      </c>
      <c r="Z14" s="2">
        <v>2.3710716612165492</v>
      </c>
      <c r="AA14" s="2">
        <v>1.7095002264560284</v>
      </c>
      <c r="AB14" s="2">
        <v>1.4815234012568144</v>
      </c>
      <c r="AC14" s="2">
        <v>1.4533868147229676</v>
      </c>
      <c r="AD14" s="2">
        <v>1.470314730954895</v>
      </c>
      <c r="AE14" s="2">
        <v>1.5099575065061652</v>
      </c>
      <c r="AF14" s="2">
        <v>1.5521602190625594</v>
      </c>
      <c r="AG14" s="2">
        <v>1.8629354488791183</v>
      </c>
      <c r="AH14" s="2">
        <v>2.4450891210107235</v>
      </c>
      <c r="AI14" s="2">
        <v>2.5728037396311811</v>
      </c>
      <c r="AJ14" s="2" t="str">
        <v/>
      </c>
      <c r="AK14" s="2" t="str">
        <v/>
      </c>
      <c r="AL14" s="2" t="str">
        <v/>
      </c>
      <c r="AM14" s="2">
        <v>2.4581195160502007</v>
      </c>
      <c r="AN14" s="2">
        <v>4.8627354888611478</v>
      </c>
      <c r="AO14" s="2">
        <v>5.0066705384187085</v>
      </c>
      <c r="AP14" s="2">
        <v>5.1208043602618298</v>
      </c>
      <c r="AQ14" s="2">
        <v>5.2002733270276398</v>
      </c>
      <c r="AR14" s="2">
        <v>5.178977542917039</v>
      </c>
      <c r="AS14" s="2">
        <v>5.1913057061245684</v>
      </c>
      <c r="AT14" s="2">
        <v>5.1943685566609332</v>
      </c>
      <c r="AU14" s="2">
        <v>5.0747037011679552</v>
      </c>
      <c r="AV14" s="2">
        <v>5.1161228847928983</v>
      </c>
      <c r="AW14" s="2" t="str">
        <v/>
      </c>
      <c r="AX14" s="2">
        <v>5.0187808047727112</v>
      </c>
      <c r="AY14" s="2" t="str">
        <v/>
      </c>
      <c r="AZ14" s="2" t="str">
        <v/>
      </c>
      <c r="BA14" s="2">
        <v>2.9497687852519068</v>
      </c>
      <c r="BB14" s="2" t="str">
        <v/>
      </c>
      <c r="BC14" s="2">
        <v>2.7336545729098209</v>
      </c>
      <c r="BD14" s="2">
        <v>3.2184496850568833</v>
      </c>
      <c r="BE14" s="2" t="str">
        <v/>
      </c>
    </row>
    <row r="15" spans="1:90" ht="21" customHeight="1" x14ac:dyDescent="0.45">
      <c r="A15" s="59"/>
      <c r="B15" s="90"/>
      <c r="C15" s="58"/>
      <c r="D15" s="103"/>
      <c r="E15" s="75"/>
      <c r="F15" s="97"/>
      <c r="G15" s="35"/>
      <c r="H15" s="4" t="str">
        <v/>
      </c>
      <c r="I15" s="4">
        <v>4.0734600147806752</v>
      </c>
      <c r="J15" s="4">
        <v>3.963387095349761</v>
      </c>
      <c r="K15" s="4">
        <v>3.8988944894177311</v>
      </c>
      <c r="L15" s="4">
        <v>3.1819966045085155</v>
      </c>
      <c r="M15" s="4">
        <v>1.7370492324307094</v>
      </c>
      <c r="N15" s="4">
        <v>1.5275315579905608</v>
      </c>
      <c r="O15" s="4">
        <v>1.5541962473574329</v>
      </c>
      <c r="P15" s="4">
        <v>1.6178903204433246</v>
      </c>
      <c r="Q15" s="4">
        <v>1.6730391574814563</v>
      </c>
      <c r="R15" s="4">
        <v>1.8629394830091028</v>
      </c>
      <c r="S15" s="4">
        <v>2.4866902315834687</v>
      </c>
      <c r="T15" s="4">
        <v>2.5454470712874908</v>
      </c>
      <c r="U15" s="4">
        <v>3.3855094303554059</v>
      </c>
      <c r="V15" s="4">
        <v>4.1177192860396747</v>
      </c>
      <c r="W15" s="4">
        <v>3.2625277720409804</v>
      </c>
      <c r="X15" s="4">
        <v>2.4729795586060179</v>
      </c>
      <c r="Y15" s="4">
        <v>2.6350477887445742</v>
      </c>
      <c r="Z15" s="4">
        <v>2.984079045922337</v>
      </c>
      <c r="AA15" s="4">
        <v>2.2780588478321708</v>
      </c>
      <c r="AB15" s="2">
        <v>1.6823949099329889</v>
      </c>
      <c r="AC15" s="2">
        <v>1.5979815287113628</v>
      </c>
      <c r="AD15" s="2">
        <v>1.6078032544643548</v>
      </c>
      <c r="AE15" s="2">
        <v>1.6338803121715495</v>
      </c>
      <c r="AF15" s="2">
        <v>1.6304778526472687</v>
      </c>
      <c r="AG15" s="2">
        <v>1.6368377127441172</v>
      </c>
      <c r="AH15" s="2">
        <v>1.8771577057722202</v>
      </c>
      <c r="AI15" s="2">
        <v>2.2138939063651208</v>
      </c>
      <c r="AJ15" s="2" t="str">
        <v/>
      </c>
      <c r="AK15" s="2">
        <v>2.2133062308906899</v>
      </c>
      <c r="AL15" s="2" t="str">
        <v/>
      </c>
      <c r="AM15" s="2">
        <v>4.727451106960868</v>
      </c>
      <c r="AN15" s="2">
        <v>4.9938292355616172</v>
      </c>
      <c r="AO15" s="2">
        <v>4.9098232122379537</v>
      </c>
      <c r="AP15" s="2">
        <v>4.9188532154421845</v>
      </c>
      <c r="AQ15" s="2">
        <v>5.0369774129380716</v>
      </c>
      <c r="AR15" s="2">
        <v>5.1237720980620569</v>
      </c>
      <c r="AS15" s="2">
        <v>5.2137356122352401</v>
      </c>
      <c r="AT15" s="2">
        <v>5.2756072005253074</v>
      </c>
      <c r="AU15" s="2">
        <v>5.1673612720387885</v>
      </c>
      <c r="AV15" s="2">
        <v>5.1280338500942202</v>
      </c>
      <c r="AW15" s="2" t="str">
        <v/>
      </c>
      <c r="AX15" s="2" t="str">
        <v/>
      </c>
      <c r="AY15" s="2" t="str">
        <v/>
      </c>
      <c r="AZ15" s="2" t="str">
        <v/>
      </c>
      <c r="BA15" s="2" t="str">
        <v/>
      </c>
      <c r="BB15" s="2" t="str">
        <v/>
      </c>
      <c r="BC15" s="2">
        <v>3.4612697512422201</v>
      </c>
      <c r="BD15" s="2">
        <v>5.1038136746050595</v>
      </c>
      <c r="BE15" s="2" t="str">
        <v/>
      </c>
    </row>
    <row r="16" spans="1:90" ht="21" customHeight="1" x14ac:dyDescent="0.45">
      <c r="A16" s="59"/>
      <c r="B16" s="102"/>
      <c r="C16" s="75"/>
      <c r="D16" s="168" t="s">
        <v>237</v>
      </c>
      <c r="E16" s="165" t="s">
        <v>85</v>
      </c>
      <c r="F16" s="129"/>
      <c r="G16" s="35"/>
      <c r="H16" s="4" t="str">
        <v/>
      </c>
      <c r="I16" s="4">
        <v>3.840378424877759</v>
      </c>
      <c r="J16" s="4">
        <v>3.798536736244948</v>
      </c>
      <c r="K16" s="4">
        <v>3.8040029848137618</v>
      </c>
      <c r="L16" s="4">
        <v>3.5724441387381747</v>
      </c>
      <c r="M16" s="4">
        <v>2.3833630715663019</v>
      </c>
      <c r="N16" s="4">
        <v>1.6757960829564025</v>
      </c>
      <c r="O16" s="4">
        <v>1.5586277503567871</v>
      </c>
      <c r="P16" s="4">
        <v>1.4985826029761691</v>
      </c>
      <c r="Q16" s="4">
        <v>1.4514683160780044</v>
      </c>
      <c r="R16" s="4">
        <v>1.4638040416268017</v>
      </c>
      <c r="S16" s="4">
        <v>1.7170282403751032</v>
      </c>
      <c r="T16" s="4">
        <v>2.3546374653703883</v>
      </c>
      <c r="U16" s="4">
        <v>3.4512955981322602</v>
      </c>
      <c r="V16" s="4">
        <v>3.9030773809047816</v>
      </c>
      <c r="W16" s="4">
        <v>2.8837559497853018</v>
      </c>
      <c r="X16" s="4">
        <v>2.316829315941118</v>
      </c>
      <c r="Y16" s="4">
        <v>2.5545220162216058</v>
      </c>
      <c r="Z16" s="4">
        <v>3.2805986144179475</v>
      </c>
      <c r="AA16" s="4">
        <v>2.9304563963854422</v>
      </c>
      <c r="AB16" s="2">
        <v>2.0811389398390334</v>
      </c>
      <c r="AC16" s="2">
        <v>1.9261407953785556</v>
      </c>
      <c r="AD16" s="2">
        <v>1.8411627803965904</v>
      </c>
      <c r="AE16" s="2">
        <v>1.8581225389423386</v>
      </c>
      <c r="AF16" s="2">
        <v>1.9997471221734744</v>
      </c>
      <c r="AG16" s="2">
        <v>1.871560457503769</v>
      </c>
      <c r="AH16" s="2">
        <v>1.8063677744453268</v>
      </c>
      <c r="AI16" s="2">
        <v>1.9544058612575097</v>
      </c>
      <c r="AJ16" s="2" t="str">
        <v/>
      </c>
      <c r="AK16" s="2" t="str">
        <v/>
      </c>
      <c r="AL16" s="2" t="str">
        <v/>
      </c>
      <c r="AM16" s="2">
        <v>5.2244318202586992</v>
      </c>
      <c r="AN16" s="2">
        <v>5.2534401085091762</v>
      </c>
      <c r="AO16" s="2">
        <v>5.1888593669445093</v>
      </c>
      <c r="AP16" s="2">
        <v>5.0593577294948702</v>
      </c>
      <c r="AQ16" s="2">
        <v>5.0149188882005475</v>
      </c>
      <c r="AR16" s="2">
        <v>5.0393769170609701</v>
      </c>
      <c r="AS16" s="2">
        <v>5.1284335223427533</v>
      </c>
      <c r="AT16" s="2">
        <v>5.2231739164221667</v>
      </c>
      <c r="AU16" s="2">
        <v>5.2191280239837212</v>
      </c>
      <c r="AV16" s="2">
        <v>5.2736479294206857</v>
      </c>
      <c r="AW16" s="2">
        <v>5.2022060466188389</v>
      </c>
      <c r="AX16" s="2">
        <v>2.607859035420474</v>
      </c>
      <c r="AY16" s="2">
        <v>2.1561304659730705</v>
      </c>
      <c r="AZ16" s="2">
        <v>2.3540896732627616</v>
      </c>
      <c r="BA16" s="2">
        <v>2.9023268815583916</v>
      </c>
      <c r="BB16" s="2">
        <v>4.0147311897613847</v>
      </c>
      <c r="BC16" s="2">
        <v>5.142811233681293</v>
      </c>
      <c r="BD16" s="2">
        <v>5.218565735029844</v>
      </c>
      <c r="BE16" s="2" t="str">
        <v/>
      </c>
    </row>
    <row r="17" spans="1:57" ht="21" customHeight="1" x14ac:dyDescent="0.45">
      <c r="A17" s="59"/>
      <c r="B17" s="102"/>
      <c r="C17" s="75"/>
      <c r="D17" s="169" t="str" cm="1">
        <f t="array" ref="D17">ErrorReport</f>
        <v>-</v>
      </c>
      <c r="E17" s="166" t="s">
        <v>8</v>
      </c>
      <c r="F17" s="145" t="s">
        <v>224</v>
      </c>
      <c r="G17" s="35"/>
      <c r="H17" s="4" t="str">
        <v/>
      </c>
      <c r="I17" s="4">
        <v>3.6687000882421525</v>
      </c>
      <c r="J17" s="4">
        <v>3.6633956633342386</v>
      </c>
      <c r="K17" s="4">
        <v>3.6467971480175514</v>
      </c>
      <c r="L17" s="4">
        <v>3.6469402962339128</v>
      </c>
      <c r="M17" s="4">
        <v>3.2388238278351924</v>
      </c>
      <c r="N17" s="4">
        <v>1.835334155107794</v>
      </c>
      <c r="O17" s="4">
        <v>1.5699759824342034</v>
      </c>
      <c r="P17" s="4">
        <v>1.4813662243766366</v>
      </c>
      <c r="Q17" s="4">
        <v>1.4183961057597585</v>
      </c>
      <c r="R17" s="4">
        <v>1.3594365873978322</v>
      </c>
      <c r="S17" s="4">
        <v>1.3754418328885185</v>
      </c>
      <c r="T17" s="4">
        <v>1.7421090346146759</v>
      </c>
      <c r="U17" s="4">
        <v>3.1625295658715107</v>
      </c>
      <c r="V17" s="4">
        <v>3.6234845634812132</v>
      </c>
      <c r="W17" s="4">
        <v>2.7418525353293246</v>
      </c>
      <c r="X17" s="4">
        <v>2.2945268090813662</v>
      </c>
      <c r="Y17" s="4">
        <v>2.5532483541648658</v>
      </c>
      <c r="Z17" s="4">
        <v>3.3536741018111011</v>
      </c>
      <c r="AA17" s="4">
        <v>3.1079297121339873</v>
      </c>
      <c r="AB17" s="2">
        <v>2.3980254826223373</v>
      </c>
      <c r="AC17" s="2">
        <v>2.2074336621646724</v>
      </c>
      <c r="AD17" s="2">
        <v>1.9962995834273438</v>
      </c>
      <c r="AE17" s="2">
        <v>1.9390257231069328</v>
      </c>
      <c r="AF17" s="2">
        <v>2.1624825689739153</v>
      </c>
      <c r="AG17" s="2">
        <v>2.1837153769999644</v>
      </c>
      <c r="AH17" s="2">
        <v>2.0459178208586897</v>
      </c>
      <c r="AI17" s="2">
        <v>1.9844916622139537</v>
      </c>
      <c r="AJ17" s="2">
        <v>2.0312289412922304</v>
      </c>
      <c r="AK17" s="2">
        <v>2.3176867602600275</v>
      </c>
      <c r="AL17" s="2">
        <v>4.9009683211670536</v>
      </c>
      <c r="AM17" s="2">
        <v>5.1679172484847316</v>
      </c>
      <c r="AN17" s="2">
        <v>5.2836851782764374</v>
      </c>
      <c r="AO17" s="2">
        <v>5.3917307367011711</v>
      </c>
      <c r="AP17" s="2">
        <v>5.3131282313945336</v>
      </c>
      <c r="AQ17" s="2">
        <v>5.2176194919310737</v>
      </c>
      <c r="AR17" s="2">
        <v>5.1280539205998839</v>
      </c>
      <c r="AS17" s="2">
        <v>5.1201537352856459</v>
      </c>
      <c r="AT17" s="2">
        <v>5.1513326106011554</v>
      </c>
      <c r="AU17" s="2">
        <v>5.1326058642307615</v>
      </c>
      <c r="AV17" s="2">
        <v>5.206461710960923</v>
      </c>
      <c r="AW17" s="2">
        <v>5.3509908360523166</v>
      </c>
      <c r="AX17" s="2">
        <v>2.0836399000404207</v>
      </c>
      <c r="AY17" s="2">
        <v>2.108818456153652</v>
      </c>
      <c r="AZ17" s="2">
        <v>2.3074947781103967</v>
      </c>
      <c r="BA17" s="2">
        <v>3.9530060268123646</v>
      </c>
      <c r="BB17" s="2">
        <v>5.0282450774330849</v>
      </c>
      <c r="BC17" s="2">
        <v>5.1920016194012417</v>
      </c>
      <c r="BD17" s="2">
        <v>4.9343754366388044</v>
      </c>
      <c r="BE17" s="2" t="str">
        <v/>
      </c>
    </row>
    <row r="18" spans="1:57" ht="21" customHeight="1" x14ac:dyDescent="0.45">
      <c r="A18" s="59"/>
      <c r="B18" s="90"/>
      <c r="C18" s="58"/>
      <c r="D18" s="103"/>
      <c r="E18" s="58"/>
      <c r="F18" s="97"/>
      <c r="G18" s="35"/>
      <c r="H18" s="4" t="str">
        <v/>
      </c>
      <c r="I18" s="4">
        <v>3.6425635414558801</v>
      </c>
      <c r="J18" s="4">
        <v>3.6547453690719207</v>
      </c>
      <c r="K18" s="4">
        <v>3.6179005246041567</v>
      </c>
      <c r="L18" s="4">
        <v>3.7463652643470544</v>
      </c>
      <c r="M18" s="4">
        <v>3.7076201920712535</v>
      </c>
      <c r="N18" s="4">
        <v>2.2701635150540396</v>
      </c>
      <c r="O18" s="4">
        <v>1.6804099675041437</v>
      </c>
      <c r="P18" s="4">
        <v>1.5585239925275942</v>
      </c>
      <c r="Q18" s="4">
        <v>1.4825384053220574</v>
      </c>
      <c r="R18" s="4">
        <v>1.4056115895209214</v>
      </c>
      <c r="S18" s="4">
        <v>1.3696394867538657</v>
      </c>
      <c r="T18" s="4">
        <v>1.4688921157290884</v>
      </c>
      <c r="U18" s="4">
        <v>2.1345514228924021</v>
      </c>
      <c r="V18" s="4">
        <v>3.3041893861249707</v>
      </c>
      <c r="W18" s="4">
        <v>2.658151891532416</v>
      </c>
      <c r="X18" s="4">
        <v>2.3167100576676769</v>
      </c>
      <c r="Y18" s="4">
        <v>2.6330645576052398</v>
      </c>
      <c r="Z18" s="4">
        <v>3.3520429076726521</v>
      </c>
      <c r="AA18" s="4">
        <v>3.0710261671105057</v>
      </c>
      <c r="AB18" s="2">
        <v>2.502037812416785</v>
      </c>
      <c r="AC18" s="2">
        <v>2.3600268679553302</v>
      </c>
      <c r="AD18" s="2">
        <v>2.1744769582170278</v>
      </c>
      <c r="AE18" s="2">
        <v>1.9852812464385399</v>
      </c>
      <c r="AF18" s="2">
        <v>2.0398666276208299</v>
      </c>
      <c r="AG18" s="2">
        <v>2.1183692072836076</v>
      </c>
      <c r="AH18" s="2">
        <v>2.1139967558890049</v>
      </c>
      <c r="AI18" s="2">
        <v>2.0186418711843181</v>
      </c>
      <c r="AJ18" s="2">
        <v>1.9593052442904717</v>
      </c>
      <c r="AK18" s="2">
        <v>3.3522149552882685</v>
      </c>
      <c r="AL18" s="2">
        <v>4.9353065522751525</v>
      </c>
      <c r="AM18" s="2">
        <v>5.0057013873995944</v>
      </c>
      <c r="AN18" s="2">
        <v>5.0538006966470208</v>
      </c>
      <c r="AO18" s="2">
        <v>5.1889581100421438</v>
      </c>
      <c r="AP18" s="2">
        <v>5.2552039425636377</v>
      </c>
      <c r="AQ18" s="2">
        <v>5.3177825751789642</v>
      </c>
      <c r="AR18" s="2">
        <v>5.2483189576636953</v>
      </c>
      <c r="AS18" s="2">
        <v>5.1330144579025152</v>
      </c>
      <c r="AT18" s="2">
        <v>4.9874680082801062</v>
      </c>
      <c r="AU18" s="2">
        <v>4.6770205262627274</v>
      </c>
      <c r="AV18" s="2">
        <v>4.1584963645354858</v>
      </c>
      <c r="AW18" s="2">
        <v>2.8962373831745465</v>
      </c>
      <c r="AX18" s="2">
        <v>2.232958532806125</v>
      </c>
      <c r="AY18" s="2">
        <v>1.9240044224272717</v>
      </c>
      <c r="AZ18" s="2">
        <v>2.0363248113206547</v>
      </c>
      <c r="BA18" s="2">
        <v>4.5432319258885157</v>
      </c>
      <c r="BB18" s="2">
        <v>4.6002221932307332</v>
      </c>
      <c r="BC18" s="2">
        <v>4.1951091159155318</v>
      </c>
      <c r="BD18" s="2">
        <v>3.6150867714931296</v>
      </c>
      <c r="BE18" s="2" t="str">
        <v/>
      </c>
    </row>
    <row r="19" spans="1:57" ht="21" customHeight="1" x14ac:dyDescent="0.45">
      <c r="A19" s="59"/>
      <c r="B19" s="90"/>
      <c r="C19" s="58"/>
      <c r="D19" s="103"/>
      <c r="E19" s="58"/>
      <c r="F19" s="97"/>
      <c r="G19" s="35"/>
      <c r="H19" s="4" t="str">
        <v/>
      </c>
      <c r="I19" s="4">
        <v>3.6048008125592439</v>
      </c>
      <c r="J19" s="4">
        <v>3.6185778147002612</v>
      </c>
      <c r="K19" s="4">
        <v>3.5766594226212565</v>
      </c>
      <c r="L19" s="4">
        <v>3.8337632992500681</v>
      </c>
      <c r="M19" s="4">
        <v>3.9260797687052595</v>
      </c>
      <c r="N19" s="4">
        <v>2.7676711162563383</v>
      </c>
      <c r="O19" s="4">
        <v>1.9747135696521607</v>
      </c>
      <c r="P19" s="4">
        <v>1.8835675306938078</v>
      </c>
      <c r="Q19" s="4">
        <v>1.7995532711713769</v>
      </c>
      <c r="R19" s="4">
        <v>1.779149800538057</v>
      </c>
      <c r="S19" s="4">
        <v>1.8368368252825917</v>
      </c>
      <c r="T19" s="4">
        <v>1.8334111086270792</v>
      </c>
      <c r="U19" s="4">
        <v>1.9569525791915208</v>
      </c>
      <c r="V19" s="4">
        <v>2.6028505146399161</v>
      </c>
      <c r="W19" s="4">
        <v>2.5337515173411269</v>
      </c>
      <c r="X19" s="4">
        <v>2.3635872973411227</v>
      </c>
      <c r="Y19" s="4">
        <v>2.7704715530044366</v>
      </c>
      <c r="Z19" s="4">
        <v>3.2945340815767561</v>
      </c>
      <c r="AA19" s="4">
        <v>2.9973584361336432</v>
      </c>
      <c r="AB19" s="2">
        <v>2.6093074641453846</v>
      </c>
      <c r="AC19" s="2">
        <v>2.4410626311711456</v>
      </c>
      <c r="AD19" s="2">
        <v>2.3299720300735096</v>
      </c>
      <c r="AE19" s="2">
        <v>2.1350696530584434</v>
      </c>
      <c r="AF19" s="2">
        <v>2.0440653155417627</v>
      </c>
      <c r="AG19" s="2">
        <v>2.0082218135265566</v>
      </c>
      <c r="AH19" s="2" t="str">
        <v/>
      </c>
      <c r="AI19" s="2" t="str">
        <v/>
      </c>
      <c r="AJ19" s="2" t="str">
        <v/>
      </c>
      <c r="AK19" s="2">
        <v>4.6331821810218941</v>
      </c>
      <c r="AL19" s="2">
        <v>4.8860493395307323</v>
      </c>
      <c r="AM19" s="2">
        <v>4.9047434727764649</v>
      </c>
      <c r="AN19" s="2">
        <v>4.9048381667253391</v>
      </c>
      <c r="AO19" s="2">
        <v>4.9944967284201747</v>
      </c>
      <c r="AP19" s="2">
        <v>5.0578403959694231</v>
      </c>
      <c r="AQ19" s="2">
        <v>5.1351864871184407</v>
      </c>
      <c r="AR19" s="2">
        <v>5.0792238527092062</v>
      </c>
      <c r="AS19" s="2">
        <v>4.7547122659094105</v>
      </c>
      <c r="AT19" s="2">
        <v>4.1770365596744963</v>
      </c>
      <c r="AU19" s="2">
        <v>3.9633829675515875</v>
      </c>
      <c r="AV19" s="2">
        <v>3.5902101061877443</v>
      </c>
      <c r="AW19" s="2">
        <v>2.9221790452838334</v>
      </c>
      <c r="AX19" s="2">
        <v>2.6370922497623952</v>
      </c>
      <c r="AY19" s="2">
        <v>2.1014993247851592</v>
      </c>
      <c r="AZ19" s="2">
        <v>2.1798150171348141</v>
      </c>
      <c r="BA19" s="2">
        <v>3.9407237296460189</v>
      </c>
      <c r="BB19" s="2">
        <v>3.8795347636605326</v>
      </c>
      <c r="BC19" s="2">
        <v>3.5127958780350927</v>
      </c>
      <c r="BD19" s="2">
        <v>3.3256518872389726</v>
      </c>
      <c r="BE19" s="2" t="str">
        <v/>
      </c>
    </row>
    <row r="20" spans="1:57" ht="21" customHeight="1" x14ac:dyDescent="0.45">
      <c r="A20" s="59"/>
      <c r="B20" s="102"/>
      <c r="C20" s="58"/>
      <c r="D20" s="118" t="s">
        <v>172</v>
      </c>
      <c r="E20" s="58"/>
      <c r="F20" s="97"/>
      <c r="G20" s="35"/>
      <c r="H20" s="4" t="str">
        <v/>
      </c>
      <c r="I20" s="4">
        <v>3.5706607239611938</v>
      </c>
      <c r="J20" s="4">
        <v>3.5488837497524135</v>
      </c>
      <c r="K20" s="4">
        <v>3.5947344409109117</v>
      </c>
      <c r="L20" s="4">
        <v>4.0407318321042931</v>
      </c>
      <c r="M20" s="4">
        <v>4.174975867644946</v>
      </c>
      <c r="N20" s="4">
        <v>2.7701385337381077</v>
      </c>
      <c r="O20" s="4">
        <v>2.1235295423395204</v>
      </c>
      <c r="P20" s="4">
        <v>2.192667871371353</v>
      </c>
      <c r="Q20" s="4">
        <v>2.2295551418707102</v>
      </c>
      <c r="R20" s="4">
        <v>2.1451200137460913</v>
      </c>
      <c r="S20" s="4">
        <v>2.0626344691898</v>
      </c>
      <c r="T20" s="4">
        <v>2.1236523570959438</v>
      </c>
      <c r="U20" s="4">
        <v>2.1607894080252592</v>
      </c>
      <c r="V20" s="4">
        <v>2.0151904121199813</v>
      </c>
      <c r="W20" s="4">
        <v>2.0817955563195332</v>
      </c>
      <c r="X20" s="4">
        <v>2.2237214161900249</v>
      </c>
      <c r="Y20" s="4">
        <v>2.8017114036914346</v>
      </c>
      <c r="Z20" s="4">
        <v>3.1933725530089232</v>
      </c>
      <c r="AA20" s="4">
        <v>2.9347953659244683</v>
      </c>
      <c r="AB20" s="2">
        <v>2.7377408621754959</v>
      </c>
      <c r="AC20" s="2">
        <v>2.5190023351694859</v>
      </c>
      <c r="AD20" s="2">
        <v>2.3823665232935842</v>
      </c>
      <c r="AE20" s="2">
        <v>2.310363423327102</v>
      </c>
      <c r="AF20" s="2">
        <v>2.2837328509409263</v>
      </c>
      <c r="AG20" s="2">
        <v>2.2013974306577162</v>
      </c>
      <c r="AH20" s="2" t="str">
        <v/>
      </c>
      <c r="AI20" s="2">
        <v>2.071632553128385</v>
      </c>
      <c r="AJ20" s="2" t="str">
        <v/>
      </c>
      <c r="AK20" s="2">
        <v>5.0666142274141981</v>
      </c>
      <c r="AL20" s="2">
        <v>5.0345544356258527</v>
      </c>
      <c r="AM20" s="2">
        <v>4.9556050488499004</v>
      </c>
      <c r="AN20" s="2">
        <v>4.8872776357707401</v>
      </c>
      <c r="AO20" s="2">
        <v>4.8502211453187893</v>
      </c>
      <c r="AP20" s="2">
        <v>4.6725830680223677</v>
      </c>
      <c r="AQ20" s="2">
        <v>4.2643439043579479</v>
      </c>
      <c r="AR20" s="2">
        <v>3.8461474533948157</v>
      </c>
      <c r="AS20" s="2">
        <v>3.6026463062693312</v>
      </c>
      <c r="AT20" s="2">
        <v>3.5513483955689247</v>
      </c>
      <c r="AU20" s="2">
        <v>3.8172539990583356</v>
      </c>
      <c r="AV20" s="2">
        <v>3.5273970682427498</v>
      </c>
      <c r="AW20" s="2">
        <v>2.875549619116037</v>
      </c>
      <c r="AX20" s="2">
        <v>2.9205312786312962</v>
      </c>
      <c r="AY20" s="2">
        <v>2.6869921633642759</v>
      </c>
      <c r="AZ20" s="2">
        <v>2.5335811277842724</v>
      </c>
      <c r="BA20" s="2">
        <v>3.519040459654859</v>
      </c>
      <c r="BB20" s="2">
        <v>3.6914928146989734</v>
      </c>
      <c r="BC20" s="2">
        <v>3.4231937700775714</v>
      </c>
      <c r="BD20" s="2">
        <v>3.3541455985655007</v>
      </c>
      <c r="BE20" s="2" t="str">
        <v/>
      </c>
    </row>
    <row r="21" spans="1:57" ht="21" customHeight="1" x14ac:dyDescent="0.45">
      <c r="A21" s="59"/>
      <c r="B21" s="102"/>
      <c r="C21" s="159" t="str" cm="1">
        <f t="array" ref="C21:F22">Summarizeλ(_xlfn.ANCHORARRAY(H2))</f>
        <v>MIN</v>
      </c>
      <c r="D21" s="159" t="str">
        <v>MAX</v>
      </c>
      <c r="E21" s="159" t="str">
        <v>AVG</v>
      </c>
      <c r="F21" s="160" t="str">
        <v>STDEV</v>
      </c>
      <c r="G21" s="35"/>
      <c r="H21" s="4" t="str">
        <v/>
      </c>
      <c r="I21" s="4">
        <v>3.4623767134420111</v>
      </c>
      <c r="J21" s="4">
        <v>3.5691815946898107</v>
      </c>
      <c r="K21" s="4">
        <v>3.8537294884227151</v>
      </c>
      <c r="L21" s="4">
        <v>4.2415130588167589</v>
      </c>
      <c r="M21" s="4">
        <v>4.2162459270618395</v>
      </c>
      <c r="N21" s="4">
        <v>2.6871057294096539</v>
      </c>
      <c r="O21" s="4">
        <v>2.0093023726523391</v>
      </c>
      <c r="P21" s="4">
        <v>2.0659128589720206</v>
      </c>
      <c r="Q21" s="4">
        <v>2.2200578817379459</v>
      </c>
      <c r="R21" s="4">
        <v>2.2845560376043985</v>
      </c>
      <c r="S21" s="4">
        <v>2.1459510415066321</v>
      </c>
      <c r="T21" s="4">
        <v>2.157142700792436</v>
      </c>
      <c r="U21" s="4">
        <v>2.4321279457227227</v>
      </c>
      <c r="V21" s="4" t="str">
        <v/>
      </c>
      <c r="W21" s="4" t="str">
        <v/>
      </c>
      <c r="X21" s="4" t="str">
        <v/>
      </c>
      <c r="Y21" s="4">
        <v>2.5657562197391752</v>
      </c>
      <c r="Z21" s="4">
        <v>3.0561810394264843</v>
      </c>
      <c r="AA21" s="4">
        <v>2.8724397230979406</v>
      </c>
      <c r="AB21" s="2">
        <v>2.8622168297860351</v>
      </c>
      <c r="AC21" s="2">
        <v>2.695169089074354</v>
      </c>
      <c r="AD21" s="2">
        <v>2.3997931823552001</v>
      </c>
      <c r="AE21" s="2">
        <v>2.255625713701781</v>
      </c>
      <c r="AF21" s="2">
        <v>2.3564232707877584</v>
      </c>
      <c r="AG21" s="2">
        <v>2.3666460001846468</v>
      </c>
      <c r="AH21" s="2" t="str">
        <v/>
      </c>
      <c r="AI21" s="2" t="str">
        <v/>
      </c>
      <c r="AJ21" s="2" t="str">
        <v/>
      </c>
      <c r="AK21" s="2">
        <v>5.225760340856116</v>
      </c>
      <c r="AL21" s="2">
        <v>5.2203166065074385</v>
      </c>
      <c r="AM21" s="2">
        <v>5.0160994701215067</v>
      </c>
      <c r="AN21" s="2">
        <v>4.6854454843648581</v>
      </c>
      <c r="AO21" s="2">
        <v>4.2867776152429382</v>
      </c>
      <c r="AP21" s="2">
        <v>3.8360611270664493</v>
      </c>
      <c r="AQ21" s="2">
        <v>3.5191380808675352</v>
      </c>
      <c r="AR21" s="2">
        <v>3.4222535380883299</v>
      </c>
      <c r="AS21" s="2">
        <v>3.4190584319573354</v>
      </c>
      <c r="AT21" s="2">
        <v>3.6752393356297866</v>
      </c>
      <c r="AU21" s="2">
        <v>3.8242548703933932</v>
      </c>
      <c r="AV21" s="2">
        <v>3.2888522121653883</v>
      </c>
      <c r="AW21" s="2">
        <v>2.9072286560386025</v>
      </c>
      <c r="AX21" s="2" t="str">
        <v/>
      </c>
      <c r="AY21" s="2" t="str">
        <v/>
      </c>
      <c r="AZ21" s="2" t="str">
        <v/>
      </c>
      <c r="BA21" s="2">
        <v>3.6017943768499019</v>
      </c>
      <c r="BB21" s="2">
        <v>4.0035413713859143</v>
      </c>
      <c r="BC21" s="2">
        <v>3.7759234746899173</v>
      </c>
      <c r="BD21" s="2">
        <v>3.7917813404451075</v>
      </c>
      <c r="BE21" s="2" t="str">
        <v/>
      </c>
    </row>
    <row r="22" spans="1:57" ht="21" customHeight="1" x14ac:dyDescent="0.45">
      <c r="A22" s="59"/>
      <c r="B22" s="102"/>
      <c r="C22" s="104">
        <v>1.1270241032061135E-2</v>
      </c>
      <c r="D22" s="104">
        <v>6.2207545224264189</v>
      </c>
      <c r="E22" s="105">
        <v>3.004797221597491</v>
      </c>
      <c r="F22" s="106">
        <v>1.5002034316836697</v>
      </c>
      <c r="G22" s="35"/>
      <c r="H22" s="4" t="str">
        <v/>
      </c>
      <c r="I22" s="4" t="str">
        <v/>
      </c>
      <c r="J22" s="4" t="str">
        <v/>
      </c>
      <c r="K22" s="4">
        <v>4.1442710177401789</v>
      </c>
      <c r="L22" s="4">
        <v>4.3060631256912894</v>
      </c>
      <c r="M22" s="4">
        <v>4.1852594771362917</v>
      </c>
      <c r="N22" s="4">
        <v>2.8035859603770836</v>
      </c>
      <c r="O22" s="4">
        <v>1.9443479353920543</v>
      </c>
      <c r="P22" s="4">
        <v>1.9059738720094208</v>
      </c>
      <c r="Q22" s="4">
        <v>2.0282798580491104</v>
      </c>
      <c r="R22" s="4">
        <v>2.2326170759526853</v>
      </c>
      <c r="S22" s="4">
        <v>2.2778730861466308</v>
      </c>
      <c r="T22" s="4">
        <v>2.2279484646989305</v>
      </c>
      <c r="U22" s="4">
        <v>2.5209516824300047</v>
      </c>
      <c r="V22" s="4" t="str">
        <v/>
      </c>
      <c r="W22" s="4">
        <v>1.9208988600261243</v>
      </c>
      <c r="X22" s="4" t="str">
        <v/>
      </c>
      <c r="Y22" s="4">
        <v>2.2290744479189084</v>
      </c>
      <c r="Z22" s="4">
        <v>2.8444490513602094</v>
      </c>
      <c r="AA22" s="4">
        <v>2.7971037643688028</v>
      </c>
      <c r="AB22" s="2">
        <v>2.9303045980651499</v>
      </c>
      <c r="AC22" s="2">
        <v>2.9252350736405992</v>
      </c>
      <c r="AD22" s="2">
        <v>2.5280342066401693</v>
      </c>
      <c r="AE22" s="2">
        <v>2.0451444257461104</v>
      </c>
      <c r="AF22" s="2">
        <v>2.0730685031032468</v>
      </c>
      <c r="AG22" s="2">
        <v>2.1727318456779594</v>
      </c>
      <c r="AH22" s="2">
        <v>2.2546549563051421</v>
      </c>
      <c r="AI22" s="2">
        <v>3.6062659032566069</v>
      </c>
      <c r="AJ22" s="2" t="str">
        <v/>
      </c>
      <c r="AK22" s="2" t="str">
        <v/>
      </c>
      <c r="AL22" s="2" t="str">
        <v/>
      </c>
      <c r="AM22" s="2" t="str">
        <v/>
      </c>
      <c r="AN22" s="2" t="str">
        <v/>
      </c>
      <c r="AO22" s="2" t="str">
        <v/>
      </c>
      <c r="AP22" s="2">
        <v>3.4743760091616753</v>
      </c>
      <c r="AQ22" s="2">
        <v>3.4127093857149919</v>
      </c>
      <c r="AR22" s="2">
        <v>3.4483963427717264</v>
      </c>
      <c r="AS22" s="2">
        <v>3.5629774938544725</v>
      </c>
      <c r="AT22" s="2">
        <v>3.7620889035938947</v>
      </c>
      <c r="AU22" s="2">
        <v>3.6499537612773634</v>
      </c>
      <c r="AV22" s="2">
        <v>3.2368022279720732</v>
      </c>
      <c r="AW22" s="2">
        <v>3.0847478835147255</v>
      </c>
      <c r="AX22" s="2" t="str">
        <v/>
      </c>
      <c r="AY22" s="2">
        <v>3.774066677041104</v>
      </c>
      <c r="AZ22" s="2" t="str">
        <v/>
      </c>
      <c r="BA22" s="2">
        <v>5.3070284534805179</v>
      </c>
      <c r="BB22" s="2">
        <v>5.4159379663023994</v>
      </c>
      <c r="BC22" s="2">
        <v>5.7586753022951873</v>
      </c>
      <c r="BD22" s="2">
        <v>5.9332964860420212</v>
      </c>
      <c r="BE22" s="2" t="str">
        <v/>
      </c>
    </row>
    <row r="23" spans="1:57" ht="21" customHeight="1" x14ac:dyDescent="0.45">
      <c r="A23" s="59"/>
      <c r="B23" s="90"/>
      <c r="C23" s="58"/>
      <c r="D23" s="58"/>
      <c r="E23" s="58"/>
      <c r="F23" s="97"/>
      <c r="G23" s="35"/>
      <c r="H23" s="4" t="str">
        <v/>
      </c>
      <c r="I23" s="4">
        <v>3.0604862739914553</v>
      </c>
      <c r="J23" s="4" t="str">
        <v/>
      </c>
      <c r="K23" s="4">
        <v>4.1548213125564128</v>
      </c>
      <c r="L23" s="4">
        <v>4.2429245119294512</v>
      </c>
      <c r="M23" s="4">
        <v>4.2137785602915807</v>
      </c>
      <c r="N23" s="4">
        <v>3.026742425045672</v>
      </c>
      <c r="O23" s="4">
        <v>1.8891126813417689</v>
      </c>
      <c r="P23" s="4">
        <v>1.8553315365027443</v>
      </c>
      <c r="Q23" s="4">
        <v>1.8761531770480833</v>
      </c>
      <c r="R23" s="4">
        <v>1.9397542634619815</v>
      </c>
      <c r="S23" s="4">
        <v>2.0874306408380789</v>
      </c>
      <c r="T23" s="4">
        <v>2.1821467141903126</v>
      </c>
      <c r="U23" s="4">
        <v>2.4308719870377491</v>
      </c>
      <c r="V23" s="4" t="str">
        <v/>
      </c>
      <c r="W23" s="4" t="str">
        <v/>
      </c>
      <c r="X23" s="4" t="str">
        <v/>
      </c>
      <c r="Y23" s="4">
        <v>2.0893076817004941</v>
      </c>
      <c r="Z23" s="4">
        <v>2.5353988758793915</v>
      </c>
      <c r="AA23" s="4">
        <v>2.6532418286934654</v>
      </c>
      <c r="AB23" s="2">
        <v>2.8911109013613427</v>
      </c>
      <c r="AC23" s="2">
        <v>3.1188681824524909</v>
      </c>
      <c r="AD23" s="2">
        <v>2.9872093492263661</v>
      </c>
      <c r="AE23" s="2">
        <v>2.0629658260294415</v>
      </c>
      <c r="AF23" s="2">
        <v>1.7954533932598804</v>
      </c>
      <c r="AG23" s="2">
        <v>1.8151721941703289</v>
      </c>
      <c r="AH23" s="2">
        <v>1.898405333658957</v>
      </c>
      <c r="AI23" s="2">
        <v>4.9176252669148113</v>
      </c>
      <c r="AJ23" s="2" t="str">
        <v/>
      </c>
      <c r="AK23" s="2">
        <v>4.111993012702289</v>
      </c>
      <c r="AL23" s="2" t="str">
        <v/>
      </c>
      <c r="AM23" s="2" t="str">
        <v/>
      </c>
      <c r="AN23" s="2">
        <v>3.647576952315073</v>
      </c>
      <c r="AO23" s="2" t="str">
        <v/>
      </c>
      <c r="AP23" s="2">
        <v>3.8848162117831695</v>
      </c>
      <c r="AQ23" s="2">
        <v>4.1090987958625327</v>
      </c>
      <c r="AR23" s="2">
        <v>4.3512271707598336</v>
      </c>
      <c r="AS23" s="2">
        <v>4.5226759565404961</v>
      </c>
      <c r="AT23" s="2">
        <v>4.4978561071985492</v>
      </c>
      <c r="AU23" s="2">
        <v>4.4226097954148322</v>
      </c>
      <c r="AV23" s="2">
        <v>4.5637595072186858</v>
      </c>
      <c r="AW23" s="2">
        <v>5.3159967967201602</v>
      </c>
      <c r="AX23" s="2" t="str">
        <v/>
      </c>
      <c r="AY23" s="2" t="str">
        <v/>
      </c>
      <c r="AZ23" s="2" t="str">
        <v/>
      </c>
      <c r="BA23" s="2">
        <v>5.7753875429513313</v>
      </c>
      <c r="BB23" s="2">
        <v>5.6674656549645421</v>
      </c>
      <c r="BC23" s="2">
        <v>5.8663836693541622</v>
      </c>
      <c r="BD23" s="2">
        <v>6.1294172688190418</v>
      </c>
      <c r="BE23" s="2" t="str">
        <v/>
      </c>
    </row>
    <row r="24" spans="1:57" ht="21" customHeight="1" x14ac:dyDescent="0.45">
      <c r="A24" s="59"/>
      <c r="B24" s="90"/>
      <c r="C24" s="58"/>
      <c r="D24" s="58"/>
      <c r="E24" s="93"/>
      <c r="F24" s="97"/>
      <c r="G24" s="35"/>
      <c r="H24" s="4" t="str">
        <v/>
      </c>
      <c r="I24" s="4" t="str">
        <v/>
      </c>
      <c r="J24" s="4" t="str">
        <v/>
      </c>
      <c r="K24" s="4">
        <v>4.1344269224935619</v>
      </c>
      <c r="L24" s="4">
        <v>4.1803382435075997</v>
      </c>
      <c r="M24" s="4">
        <v>4.1939829964335562</v>
      </c>
      <c r="N24" s="4">
        <v>3.6012573953194962</v>
      </c>
      <c r="O24" s="4">
        <v>1.7266907174015125</v>
      </c>
      <c r="P24" s="4">
        <v>1.6063435517573594</v>
      </c>
      <c r="Q24" s="4">
        <v>1.5785259861435403</v>
      </c>
      <c r="R24" s="4">
        <v>1.5555481612331159</v>
      </c>
      <c r="S24" s="4" t="str">
        <v/>
      </c>
      <c r="T24" s="4" t="str">
        <v/>
      </c>
      <c r="U24" s="4" t="str">
        <v/>
      </c>
      <c r="V24" s="4">
        <v>2.1417038423004535</v>
      </c>
      <c r="W24" s="4">
        <v>2.0596663732704226</v>
      </c>
      <c r="X24" s="4">
        <v>1.9208273267941323</v>
      </c>
      <c r="Y24" s="4">
        <v>1.9850886058189736</v>
      </c>
      <c r="Z24" s="4">
        <v>2.1613536054497842</v>
      </c>
      <c r="AA24" s="4">
        <v>2.3345203793387626</v>
      </c>
      <c r="AB24" s="2">
        <v>2.630139581834507</v>
      </c>
      <c r="AC24" s="2">
        <v>3.0805786534841011</v>
      </c>
      <c r="AD24" s="2">
        <v>3.3181535970772482</v>
      </c>
      <c r="AE24" s="2">
        <v>2.5587580547860638</v>
      </c>
      <c r="AF24" s="2">
        <v>1.9359600263105783</v>
      </c>
      <c r="AG24" s="2">
        <v>1.8144841128418836</v>
      </c>
      <c r="AH24" s="2">
        <v>1.8805153762123017</v>
      </c>
      <c r="AI24" s="2">
        <v>4.7044984005970489</v>
      </c>
      <c r="AJ24" s="2" t="str">
        <v/>
      </c>
      <c r="AK24" s="2" t="str">
        <v/>
      </c>
      <c r="AL24" s="2" t="str">
        <v/>
      </c>
      <c r="AM24" s="2" t="str">
        <v/>
      </c>
      <c r="AN24" s="2" t="str">
        <v/>
      </c>
      <c r="AO24" s="2" t="str">
        <v/>
      </c>
      <c r="AP24" s="2">
        <v>5.2652011262932312</v>
      </c>
      <c r="AQ24" s="2">
        <v>5.4885923994391748</v>
      </c>
      <c r="AR24" s="2">
        <v>5.7167422399725742</v>
      </c>
      <c r="AS24" s="2">
        <v>5.7206460894342079</v>
      </c>
      <c r="AT24" s="2">
        <v>5.6588114011102668</v>
      </c>
      <c r="AU24" s="2">
        <v>5.6748602985610086</v>
      </c>
      <c r="AV24" s="2">
        <v>5.8768737967313269</v>
      </c>
      <c r="AW24" s="2">
        <v>5.9302330819507691</v>
      </c>
      <c r="AX24" s="2">
        <v>5.8061914680664044</v>
      </c>
      <c r="AY24" s="2">
        <v>5.7493240673313339</v>
      </c>
      <c r="AZ24" s="2">
        <v>5.7975739534441617</v>
      </c>
      <c r="BA24" s="2">
        <v>5.8166428393585825</v>
      </c>
      <c r="BB24" s="2" t="str">
        <v/>
      </c>
      <c r="BC24" s="2" t="str">
        <v/>
      </c>
      <c r="BD24" s="2" t="str">
        <v/>
      </c>
      <c r="BE24" s="2" t="str">
        <v/>
      </c>
    </row>
    <row r="25" spans="1:57" ht="21" customHeight="1" x14ac:dyDescent="0.45">
      <c r="A25" s="59"/>
      <c r="B25" s="90"/>
      <c r="C25" s="58"/>
      <c r="D25" s="58"/>
      <c r="E25" s="107" t="str" cm="1">
        <f t="array" ref="E25:F30">Legend.Dynamic</f>
        <v>-1</v>
      </c>
      <c r="F25" s="108" t="str">
        <v>Level Surface</v>
      </c>
      <c r="G25" s="35"/>
      <c r="H25" s="4" t="str">
        <v/>
      </c>
      <c r="I25" s="4">
        <v>2.3076932311722591</v>
      </c>
      <c r="J25" s="4">
        <v>3.9583027877668986</v>
      </c>
      <c r="K25" s="4">
        <v>4.1588760653587613</v>
      </c>
      <c r="L25" s="4">
        <v>4.1709045177904107</v>
      </c>
      <c r="M25" s="4">
        <v>4.1440383682761164</v>
      </c>
      <c r="N25" s="4">
        <v>3.9308202595904542</v>
      </c>
      <c r="O25" s="4">
        <v>1.753594383433726</v>
      </c>
      <c r="P25" s="4">
        <v>1.3780512202678923</v>
      </c>
      <c r="Q25" s="4">
        <v>1.2670857361003962</v>
      </c>
      <c r="R25" s="4">
        <v>1.2059108818474986</v>
      </c>
      <c r="S25" s="4" t="str">
        <v/>
      </c>
      <c r="T25" s="4">
        <v>1.0239749003612042</v>
      </c>
      <c r="U25" s="4" t="str">
        <v/>
      </c>
      <c r="V25" s="4">
        <v>1.1840391714101726</v>
      </c>
      <c r="W25" s="4">
        <v>1.5376517532517073</v>
      </c>
      <c r="X25" s="4">
        <v>1.6119394767112625</v>
      </c>
      <c r="Y25" s="4">
        <v>1.5577227347424085</v>
      </c>
      <c r="Z25" s="4">
        <v>1.4400074931855849</v>
      </c>
      <c r="AA25" s="4">
        <v>1.3624239423292328</v>
      </c>
      <c r="AB25" s="2">
        <v>1.4086708178657719</v>
      </c>
      <c r="AC25" s="2">
        <v>2.0235410290436002</v>
      </c>
      <c r="AD25" s="2">
        <v>3.260121471288508</v>
      </c>
      <c r="AE25" s="2">
        <v>2.8824563341302394</v>
      </c>
      <c r="AF25" s="2">
        <v>2.1170451198073907</v>
      </c>
      <c r="AG25" s="2">
        <v>1.9140076487560198</v>
      </c>
      <c r="AH25" s="2">
        <v>3.2557102823814104</v>
      </c>
      <c r="AI25" s="2">
        <v>4.2622700111452936</v>
      </c>
      <c r="AJ25" s="2">
        <v>3.6052402625905966</v>
      </c>
      <c r="AK25" s="2">
        <v>4.5867491189692382</v>
      </c>
      <c r="AL25" s="2">
        <v>5.1315772297698228</v>
      </c>
      <c r="AM25" s="2">
        <v>5.4729975293567454</v>
      </c>
      <c r="AN25" s="2">
        <v>5.6528233069100313</v>
      </c>
      <c r="AO25" s="2">
        <v>5.7421325574339521</v>
      </c>
      <c r="AP25" s="2">
        <v>5.4693882791697499</v>
      </c>
      <c r="AQ25" s="2" t="str">
        <v/>
      </c>
      <c r="AR25" s="2" t="str">
        <v/>
      </c>
      <c r="AS25" s="2" t="str">
        <v/>
      </c>
      <c r="AT25" s="2">
        <v>5.6368594153446185</v>
      </c>
      <c r="AU25" s="2">
        <v>5.5466651355103416</v>
      </c>
      <c r="AV25" s="2">
        <v>5.8103038487302614</v>
      </c>
      <c r="AW25" s="2">
        <v>6.0905234397827579</v>
      </c>
      <c r="AX25" s="2">
        <v>5.9033657303973035</v>
      </c>
      <c r="AY25" s="2">
        <v>5.5028511038714871</v>
      </c>
      <c r="AZ25" s="2">
        <v>5.5373806845392268</v>
      </c>
      <c r="BA25" s="2">
        <v>5.6776988440168727</v>
      </c>
      <c r="BB25" s="2" t="str">
        <v/>
      </c>
      <c r="BC25" s="2">
        <v>4.8847506474602245</v>
      </c>
      <c r="BD25" s="2" t="str">
        <v/>
      </c>
      <c r="BE25" s="2" t="str">
        <v/>
      </c>
    </row>
    <row r="26" spans="1:57" ht="21" customHeight="1" x14ac:dyDescent="0.45">
      <c r="A26" s="59"/>
      <c r="B26" s="90"/>
      <c r="C26" s="58"/>
      <c r="D26" s="58"/>
      <c r="E26" s="107" t="str">
        <v>0 to 1.26 - North</v>
      </c>
      <c r="F26" s="108" t="str">
        <v>0 to 72°</v>
      </c>
      <c r="G26" s="35"/>
      <c r="H26" s="4" t="str">
        <v/>
      </c>
      <c r="I26" s="4">
        <v>1.7254206826002807</v>
      </c>
      <c r="J26" s="4">
        <v>3.8528137549362902</v>
      </c>
      <c r="K26" s="4">
        <v>4.1625566665474505</v>
      </c>
      <c r="L26" s="4">
        <v>4.1405243378453331</v>
      </c>
      <c r="M26" s="4">
        <v>4.0943621671506296</v>
      </c>
      <c r="N26" s="4">
        <v>4.0494573445499</v>
      </c>
      <c r="O26" s="4">
        <v>2.8869799552734698</v>
      </c>
      <c r="P26" s="4">
        <v>1.4394749355017167</v>
      </c>
      <c r="Q26" s="4">
        <v>1.2127113058529915</v>
      </c>
      <c r="R26" s="4">
        <v>1.1122635458831807</v>
      </c>
      <c r="S26" s="4" t="str">
        <v/>
      </c>
      <c r="T26" s="4" t="str">
        <v/>
      </c>
      <c r="U26" s="4" t="str">
        <v/>
      </c>
      <c r="V26" s="4" t="str">
        <v/>
      </c>
      <c r="W26" s="4" t="str">
        <v/>
      </c>
      <c r="X26" s="4" t="str">
        <v/>
      </c>
      <c r="Y26" s="4">
        <v>1.0037656320420552</v>
      </c>
      <c r="Z26" s="4">
        <v>0.89714307058605836</v>
      </c>
      <c r="AA26" s="4">
        <v>0.84119438044003891</v>
      </c>
      <c r="AB26" s="2">
        <v>0.87120493710157954</v>
      </c>
      <c r="AC26" s="2">
        <v>0.96323180396072583</v>
      </c>
      <c r="AD26" s="2">
        <v>1.2998159205355488</v>
      </c>
      <c r="AE26" s="2">
        <v>2.3653501714071314</v>
      </c>
      <c r="AF26" s="2">
        <v>2.1484498259093563</v>
      </c>
      <c r="AG26" s="2">
        <v>2.0147341552869977</v>
      </c>
      <c r="AH26" s="2">
        <v>3.4393225820740856</v>
      </c>
      <c r="AI26" s="2">
        <v>3.8641982781784545</v>
      </c>
      <c r="AJ26" s="2">
        <v>4.0729275117547274</v>
      </c>
      <c r="AK26" s="2">
        <v>4.6844103863643758</v>
      </c>
      <c r="AL26" s="2">
        <v>4.8230682386690749</v>
      </c>
      <c r="AM26" s="2">
        <v>5.0174945615082098</v>
      </c>
      <c r="AN26" s="2">
        <v>5.3063347871056292</v>
      </c>
      <c r="AO26" s="2">
        <v>5.6843130065515481</v>
      </c>
      <c r="AP26" s="2">
        <v>5.5787338694100832</v>
      </c>
      <c r="AQ26" s="2" t="str">
        <v/>
      </c>
      <c r="AR26" s="2">
        <v>5.5046073145317367</v>
      </c>
      <c r="AS26" s="2" t="str">
        <v/>
      </c>
      <c r="AT26" s="2">
        <v>5.6383423411129057</v>
      </c>
      <c r="AU26" s="2">
        <v>5.4766635256167753</v>
      </c>
      <c r="AV26" s="2">
        <v>5.7049631503439642</v>
      </c>
      <c r="AW26" s="2">
        <v>0.39168050150467848</v>
      </c>
      <c r="AX26" s="2">
        <v>5.5405418220663494</v>
      </c>
      <c r="AY26" s="2">
        <v>4.5229945833449321</v>
      </c>
      <c r="AZ26" s="2">
        <v>4.6294430183682227</v>
      </c>
      <c r="BA26" s="2">
        <v>4.4381915819722746</v>
      </c>
      <c r="BB26" s="2" t="str">
        <v/>
      </c>
      <c r="BC26" s="2" t="str">
        <v/>
      </c>
      <c r="BD26" s="2" t="str">
        <v/>
      </c>
      <c r="BE26" s="2" t="str">
        <v/>
      </c>
    </row>
    <row r="27" spans="1:57" ht="21" customHeight="1" x14ac:dyDescent="0.45">
      <c r="A27" s="59"/>
      <c r="B27" s="109"/>
      <c r="C27" s="58"/>
      <c r="D27" s="58"/>
      <c r="E27" s="107" t="str">
        <v>1.26 to 2.51 - East</v>
      </c>
      <c r="F27" s="108" t="str">
        <v>72° to 144°</v>
      </c>
      <c r="G27" s="35"/>
      <c r="H27" s="4" t="str">
        <v/>
      </c>
      <c r="I27" s="4">
        <v>1.8139111803682464</v>
      </c>
      <c r="J27" s="4">
        <v>3.4148375957460644</v>
      </c>
      <c r="K27" s="4">
        <v>4.1977346010273058</v>
      </c>
      <c r="L27" s="4">
        <v>4.2193201676661829</v>
      </c>
      <c r="M27" s="4">
        <v>4.2415192747292902</v>
      </c>
      <c r="N27" s="4">
        <v>4.290788136236392</v>
      </c>
      <c r="O27" s="4">
        <v>3.9407199314451336</v>
      </c>
      <c r="P27" s="4">
        <v>1.6124902442853064</v>
      </c>
      <c r="Q27" s="4">
        <v>1.3196968840070962</v>
      </c>
      <c r="R27" s="4">
        <v>1.2119748512609434</v>
      </c>
      <c r="S27" s="4">
        <v>1.1906380924605791</v>
      </c>
      <c r="T27" s="4">
        <v>1.3169663373330902</v>
      </c>
      <c r="U27" s="4" t="str">
        <v/>
      </c>
      <c r="V27" s="4" t="str">
        <v/>
      </c>
      <c r="W27" s="4" t="str">
        <v/>
      </c>
      <c r="X27" s="4" t="str">
        <v/>
      </c>
      <c r="Y27" s="4">
        <v>0.98526972130800683</v>
      </c>
      <c r="Z27" s="4">
        <v>0.93802003661329969</v>
      </c>
      <c r="AA27" s="4" t="str">
        <v/>
      </c>
      <c r="AB27" s="2" t="str">
        <v/>
      </c>
      <c r="AC27" s="2" t="str">
        <v/>
      </c>
      <c r="AD27" s="2">
        <v>1.1585853665433572</v>
      </c>
      <c r="AE27" s="2">
        <v>1.4178339113716669</v>
      </c>
      <c r="AF27" s="2">
        <v>1.6107348669804138</v>
      </c>
      <c r="AG27" s="2">
        <v>1.6173813036002207</v>
      </c>
      <c r="AH27" s="2">
        <v>2.6898519183945524</v>
      </c>
      <c r="AI27" s="2">
        <v>3.9172255024103348</v>
      </c>
      <c r="AJ27" s="2">
        <v>4.4510169859043787</v>
      </c>
      <c r="AK27" s="2">
        <v>4.6863596001758197</v>
      </c>
      <c r="AL27" s="2">
        <v>4.6763676754525205</v>
      </c>
      <c r="AM27" s="2">
        <v>4.6883172506617505</v>
      </c>
      <c r="AN27" s="2">
        <v>4.8170262860367696</v>
      </c>
      <c r="AO27" s="2">
        <v>5.176966245144941</v>
      </c>
      <c r="AP27" s="2">
        <v>5.4218196399074294</v>
      </c>
      <c r="AQ27" s="2" t="str">
        <v/>
      </c>
      <c r="AR27" s="2" t="str">
        <v/>
      </c>
      <c r="AS27" s="2" t="str">
        <v/>
      </c>
      <c r="AT27" s="2">
        <v>5.5813873995567649</v>
      </c>
      <c r="AU27" s="2">
        <v>5.51023050350173</v>
      </c>
      <c r="AV27" s="2">
        <v>5.740318430493331</v>
      </c>
      <c r="AW27" s="2">
        <v>2.1548355781278565</v>
      </c>
      <c r="AX27" s="2">
        <v>2.84793044365794</v>
      </c>
      <c r="AY27" s="2" t="str">
        <v/>
      </c>
      <c r="AZ27" s="2" t="str">
        <v/>
      </c>
      <c r="BA27" s="2" t="str">
        <v/>
      </c>
      <c r="BB27" s="2">
        <v>2.7212340126239551</v>
      </c>
      <c r="BC27" s="2">
        <v>2.8637020854709521</v>
      </c>
      <c r="BD27" s="2">
        <v>3.7205857038590358</v>
      </c>
      <c r="BE27" s="2" t="str">
        <v/>
      </c>
    </row>
    <row r="28" spans="1:57" ht="21" customHeight="1" x14ac:dyDescent="0.45">
      <c r="A28" s="59"/>
      <c r="B28" s="110"/>
      <c r="C28" s="58"/>
      <c r="D28" s="58"/>
      <c r="E28" s="107" t="str">
        <v>2.51 to 3.77 - South</v>
      </c>
      <c r="F28" s="108" t="str">
        <v>144° to 216°</v>
      </c>
      <c r="G28" s="35"/>
      <c r="H28" s="4" t="str">
        <v/>
      </c>
      <c r="I28" s="4">
        <v>2.0388313998080121</v>
      </c>
      <c r="J28" s="4">
        <v>3.1772418797609641</v>
      </c>
      <c r="K28" s="4">
        <v>4.261632001714557</v>
      </c>
      <c r="L28" s="4">
        <v>4.3948732258825567</v>
      </c>
      <c r="M28" s="4">
        <v>4.465600003504095</v>
      </c>
      <c r="N28" s="4">
        <v>4.4519857831958305</v>
      </c>
      <c r="O28" s="4">
        <v>4.0085762352729617</v>
      </c>
      <c r="P28" s="4">
        <v>2.2948491450641693</v>
      </c>
      <c r="Q28" s="4">
        <v>1.7555400132928023</v>
      </c>
      <c r="R28" s="4">
        <v>1.3920616981704388</v>
      </c>
      <c r="S28" s="4">
        <v>1.2515807402102319</v>
      </c>
      <c r="T28" s="4">
        <v>1.2042676029528852</v>
      </c>
      <c r="U28" s="4" t="str">
        <v/>
      </c>
      <c r="V28" s="4" t="str">
        <v/>
      </c>
      <c r="W28" s="4" t="str">
        <v/>
      </c>
      <c r="X28" s="4" t="str">
        <v/>
      </c>
      <c r="Y28" s="4">
        <v>0.95827517103326021</v>
      </c>
      <c r="Z28" s="4">
        <v>0.97327543745797518</v>
      </c>
      <c r="AA28" s="4" t="str">
        <v/>
      </c>
      <c r="AB28" s="2">
        <v>0.97617517799256648</v>
      </c>
      <c r="AC28" s="2" t="str">
        <v/>
      </c>
      <c r="AD28" s="2">
        <v>1.0212551354666159</v>
      </c>
      <c r="AE28" s="2">
        <v>1.0124463534602954</v>
      </c>
      <c r="AF28" s="2">
        <v>0.98239388320466303</v>
      </c>
      <c r="AG28" s="2">
        <v>1.0059825195586687</v>
      </c>
      <c r="AH28" s="2">
        <v>1.1712849448743483</v>
      </c>
      <c r="AI28" s="2">
        <v>4.4338475301951625</v>
      </c>
      <c r="AJ28" s="2">
        <v>4.6068287034807565</v>
      </c>
      <c r="AK28" s="2" t="str">
        <v/>
      </c>
      <c r="AL28" s="2" t="str">
        <v/>
      </c>
      <c r="AM28" s="2" t="str">
        <v/>
      </c>
      <c r="AN28" s="2">
        <v>4.5685854015938068</v>
      </c>
      <c r="AO28" s="2">
        <v>4.6313799414271308</v>
      </c>
      <c r="AP28" s="2">
        <v>4.8281242125242638</v>
      </c>
      <c r="AQ28" s="2">
        <v>5.018775826956662</v>
      </c>
      <c r="AR28" s="2">
        <v>5.1910916081913454</v>
      </c>
      <c r="AS28" s="2">
        <v>5.3014906029919855</v>
      </c>
      <c r="AT28" s="2">
        <v>5.3347374138098784</v>
      </c>
      <c r="AU28" s="2">
        <v>2.9131081433019883</v>
      </c>
      <c r="AV28" s="2">
        <v>2.5954912315694294</v>
      </c>
      <c r="AW28" s="2">
        <v>2.5642446811734851</v>
      </c>
      <c r="AX28" s="2">
        <v>2.994397885906328</v>
      </c>
      <c r="AY28" s="2" t="str">
        <v/>
      </c>
      <c r="AZ28" s="2">
        <v>3.7499949886466006</v>
      </c>
      <c r="BA28" s="2" t="str">
        <v/>
      </c>
      <c r="BB28" s="2">
        <v>2.686711194490218</v>
      </c>
      <c r="BC28" s="2">
        <v>2.9310501327596996</v>
      </c>
      <c r="BD28" s="2">
        <v>3.9373954538215794</v>
      </c>
      <c r="BE28" s="2" t="str">
        <v/>
      </c>
    </row>
    <row r="29" spans="1:57" ht="21" customHeight="1" x14ac:dyDescent="0.45">
      <c r="A29" s="59"/>
      <c r="B29" s="110"/>
      <c r="C29" s="58"/>
      <c r="D29" s="58"/>
      <c r="E29" s="107" t="str">
        <v>3.77 to 5.03 - West</v>
      </c>
      <c r="F29" s="108" t="str">
        <v>216° to 288°</v>
      </c>
      <c r="G29" s="35"/>
      <c r="H29" s="4" t="str">
        <v/>
      </c>
      <c r="I29" s="4">
        <v>2.1426292390483783</v>
      </c>
      <c r="J29" s="4">
        <v>3.2954685989718415</v>
      </c>
      <c r="K29" s="4">
        <v>4.2894933777448205</v>
      </c>
      <c r="L29" s="4">
        <v>4.4282616147606886</v>
      </c>
      <c r="M29" s="4">
        <v>4.4563887194764664</v>
      </c>
      <c r="N29" s="4">
        <v>4.2918668333037999</v>
      </c>
      <c r="O29" s="4">
        <v>3.4627535081465237</v>
      </c>
      <c r="P29" s="4">
        <v>2.794200183770907</v>
      </c>
      <c r="Q29" s="4">
        <v>2.6677718467851426</v>
      </c>
      <c r="R29" s="4">
        <v>2.3985539908708544</v>
      </c>
      <c r="S29" s="4">
        <v>1.8706342963837852</v>
      </c>
      <c r="T29" s="4">
        <v>1.402109875481568</v>
      </c>
      <c r="U29" s="4">
        <v>1.1860656528657048</v>
      </c>
      <c r="V29" s="4">
        <v>1.1808050003300694</v>
      </c>
      <c r="W29" s="4">
        <v>1.1027854431529625</v>
      </c>
      <c r="X29" s="4">
        <v>0.94466271199290697</v>
      </c>
      <c r="Y29" s="4">
        <v>0.76353628677517194</v>
      </c>
      <c r="Z29" s="4">
        <v>0.84452312600043122</v>
      </c>
      <c r="AA29" s="4" t="str">
        <v/>
      </c>
      <c r="AB29" s="2" t="str">
        <v/>
      </c>
      <c r="AC29" s="2" t="str">
        <v/>
      </c>
      <c r="AD29" s="2">
        <v>0.79967710625530652</v>
      </c>
      <c r="AE29" s="2">
        <v>0.96935595247536532</v>
      </c>
      <c r="AF29" s="2">
        <v>0.99712896366444959</v>
      </c>
      <c r="AG29" s="2">
        <v>1.113441712336134</v>
      </c>
      <c r="AH29" s="2">
        <v>1.3308058811284893</v>
      </c>
      <c r="AI29" s="2">
        <v>4.398909896031153</v>
      </c>
      <c r="AJ29" s="2">
        <v>4.6119836840830386</v>
      </c>
      <c r="AK29" s="2" t="str">
        <v/>
      </c>
      <c r="AL29" s="2">
        <v>4.6718464734003229</v>
      </c>
      <c r="AM29" s="2" t="str">
        <v/>
      </c>
      <c r="AN29" s="2">
        <v>4.4679643599449435</v>
      </c>
      <c r="AO29" s="2">
        <v>4.4262399037304583</v>
      </c>
      <c r="AP29" s="2" t="str">
        <v/>
      </c>
      <c r="AQ29" s="2" t="str">
        <v/>
      </c>
      <c r="AR29" s="2" t="str">
        <v/>
      </c>
      <c r="AS29" s="2">
        <v>4.7765367925494644</v>
      </c>
      <c r="AT29" s="2" t="str">
        <v/>
      </c>
      <c r="AU29" s="2" t="str">
        <v/>
      </c>
      <c r="AV29" s="2" t="str">
        <v/>
      </c>
      <c r="AW29" s="2">
        <v>2.7180993622423752</v>
      </c>
      <c r="AX29" s="2">
        <v>3.1535241109944137</v>
      </c>
      <c r="AY29" s="2" t="str">
        <v/>
      </c>
      <c r="AZ29" s="2" t="str">
        <v/>
      </c>
      <c r="BA29" s="2" t="str">
        <v/>
      </c>
      <c r="BB29" s="2">
        <v>2.8342035592084343</v>
      </c>
      <c r="BC29" s="2">
        <v>3.1960037452049099</v>
      </c>
      <c r="BD29" s="2">
        <v>3.9420548633122925</v>
      </c>
      <c r="BE29" s="2" t="str">
        <v/>
      </c>
    </row>
    <row r="30" spans="1:57" ht="21" customHeight="1" x14ac:dyDescent="0.45">
      <c r="A30" s="59"/>
      <c r="B30" s="111"/>
      <c r="C30" s="112"/>
      <c r="D30" s="60"/>
      <c r="E30" s="107" t="str">
        <v>5.03 to 6.28 - Northwest</v>
      </c>
      <c r="F30" s="113" t="str">
        <v>288° to 360°</v>
      </c>
      <c r="G30" s="35"/>
      <c r="H30" s="4" t="str">
        <v/>
      </c>
      <c r="I30" s="4" t="str">
        <v/>
      </c>
      <c r="J30" s="4">
        <v>3.4760328821422659</v>
      </c>
      <c r="K30" s="4">
        <v>4.3139562622454299</v>
      </c>
      <c r="L30" s="4">
        <v>4.4144956650187392</v>
      </c>
      <c r="M30" s="4">
        <v>4.419675104519543</v>
      </c>
      <c r="N30" s="4">
        <v>4.105788246415587</v>
      </c>
      <c r="O30" s="4">
        <v>2.9455022621556015</v>
      </c>
      <c r="P30" s="4" t="str">
        <v/>
      </c>
      <c r="Q30" s="4" t="str">
        <v/>
      </c>
      <c r="R30" s="4" t="str">
        <v/>
      </c>
      <c r="S30" s="4">
        <v>2.7152864972127788</v>
      </c>
      <c r="T30" s="4">
        <v>2.303471290587618</v>
      </c>
      <c r="U30" s="4">
        <v>1.8626568960759342</v>
      </c>
      <c r="V30" s="4">
        <v>1.5640778988848025</v>
      </c>
      <c r="W30" s="4">
        <v>1.188961841027192</v>
      </c>
      <c r="X30" s="4">
        <v>0.90216596875309851</v>
      </c>
      <c r="Y30" s="4">
        <v>0.74511819504516741</v>
      </c>
      <c r="Z30" s="4">
        <v>0.78728650269646316</v>
      </c>
      <c r="AA30" s="4">
        <v>0.78509533957446609</v>
      </c>
      <c r="AB30" s="2">
        <v>0.81527363885260751</v>
      </c>
      <c r="AC30" s="2">
        <v>0.83804931127358473</v>
      </c>
      <c r="AD30" s="2">
        <v>0.99401302809300585</v>
      </c>
      <c r="AE30" s="2">
        <v>1.2128096705161446</v>
      </c>
      <c r="AF30" s="2" t="str">
        <v/>
      </c>
      <c r="AG30" s="2" t="str">
        <v/>
      </c>
      <c r="AH30" s="2" t="str">
        <v/>
      </c>
      <c r="AI30" s="2">
        <v>3.5568053976343883</v>
      </c>
      <c r="AJ30" s="2">
        <v>4.6015391876608085</v>
      </c>
      <c r="AK30" s="2" t="str">
        <v/>
      </c>
      <c r="AL30" s="2" t="str">
        <v/>
      </c>
      <c r="AM30" s="2" t="str">
        <v/>
      </c>
      <c r="AN30" s="2" t="str">
        <v/>
      </c>
      <c r="AO30" s="2" t="str">
        <v/>
      </c>
      <c r="AP30" s="2" t="str">
        <v/>
      </c>
      <c r="AQ30" s="2" t="str">
        <v/>
      </c>
      <c r="AR30" s="2" t="str">
        <v/>
      </c>
      <c r="AS30" s="2">
        <v>3.9760516734905114</v>
      </c>
      <c r="AT30" s="2" t="str">
        <v/>
      </c>
      <c r="AU30" s="2">
        <v>2.4020096760925549</v>
      </c>
      <c r="AV30" s="2" t="str">
        <v/>
      </c>
      <c r="AW30" s="2">
        <v>2.709094246316532</v>
      </c>
      <c r="AX30" s="2">
        <v>3.2391150483572004</v>
      </c>
      <c r="AY30" s="2">
        <v>3.6729271690579171</v>
      </c>
      <c r="AZ30" s="2">
        <v>3.3831352463790987</v>
      </c>
      <c r="BA30" s="2">
        <v>3.0475620756471584</v>
      </c>
      <c r="BB30" s="2">
        <v>3.0714383534960481</v>
      </c>
      <c r="BC30" s="2">
        <v>3.5530730170893579</v>
      </c>
      <c r="BD30" s="2">
        <v>3.9628748882621889</v>
      </c>
      <c r="BE30" s="2" t="str">
        <v/>
      </c>
    </row>
    <row r="31" spans="1:57" ht="21" customHeight="1" x14ac:dyDescent="0.45">
      <c r="A31" s="59"/>
      <c r="B31" s="114"/>
      <c r="C31" s="115"/>
      <c r="D31" s="116"/>
      <c r="E31" s="116"/>
      <c r="F31" s="117"/>
      <c r="G31" s="35"/>
      <c r="H31" s="4" t="str">
        <v/>
      </c>
      <c r="I31" s="4" t="str">
        <v/>
      </c>
      <c r="J31" s="4">
        <v>3.7248805348815504</v>
      </c>
      <c r="K31" s="4">
        <v>4.3687370867733808</v>
      </c>
      <c r="L31" s="4">
        <v>4.4077425761214508</v>
      </c>
      <c r="M31" s="4">
        <v>4.3891825365626129</v>
      </c>
      <c r="N31" s="4">
        <v>3.8713072496216396</v>
      </c>
      <c r="O31" s="4">
        <v>2.5304358613702722</v>
      </c>
      <c r="P31" s="4" t="str">
        <v/>
      </c>
      <c r="Q31" s="4">
        <v>3.0090706060263339</v>
      </c>
      <c r="R31" s="4" t="str">
        <v/>
      </c>
      <c r="S31" s="4">
        <v>3.0273322175271793</v>
      </c>
      <c r="T31" s="4">
        <v>2.6857231000473227</v>
      </c>
      <c r="U31" s="4">
        <v>2.3814217101470394</v>
      </c>
      <c r="V31" s="4">
        <v>2.1875619918665978</v>
      </c>
      <c r="W31" s="4">
        <v>2.000865454748662</v>
      </c>
      <c r="X31" s="4">
        <v>1.6228011699615126</v>
      </c>
      <c r="Y31" s="4">
        <v>1.3476829657399885</v>
      </c>
      <c r="Z31" s="4">
        <v>1.3351133774442667</v>
      </c>
      <c r="AA31" s="4">
        <v>1.3522992345654281</v>
      </c>
      <c r="AB31" s="2">
        <v>1.3685404066649567</v>
      </c>
      <c r="AC31" s="2">
        <v>1.4374673217100398</v>
      </c>
      <c r="AD31" s="2">
        <v>1.516405984566467</v>
      </c>
      <c r="AE31" s="2">
        <v>1.5451164473438945</v>
      </c>
      <c r="AF31" s="2" t="str">
        <v/>
      </c>
      <c r="AG31" s="2">
        <v>1.6657090428982322</v>
      </c>
      <c r="AH31" s="2" t="str">
        <v/>
      </c>
      <c r="AI31" s="2">
        <v>3.1573393834396732</v>
      </c>
      <c r="AJ31" s="2">
        <v>4.4237679976726119</v>
      </c>
      <c r="AK31" s="2">
        <v>4.2364195325076413</v>
      </c>
      <c r="AL31" s="2">
        <v>4.0135744870252061</v>
      </c>
      <c r="AM31" s="2" t="str">
        <v/>
      </c>
      <c r="AN31" s="2">
        <v>4.344748801193778</v>
      </c>
      <c r="AO31" s="2" t="str">
        <v/>
      </c>
      <c r="AP31" s="2" t="str">
        <v/>
      </c>
      <c r="AQ31" s="2" t="str">
        <v/>
      </c>
      <c r="AR31" s="2" t="str">
        <v/>
      </c>
      <c r="AS31" s="2">
        <v>3.4564998588711155</v>
      </c>
      <c r="AT31" s="2" t="str">
        <v/>
      </c>
      <c r="AU31" s="2" t="str">
        <v/>
      </c>
      <c r="AV31" s="2" t="str">
        <v/>
      </c>
      <c r="AW31" s="2">
        <v>2.6156397611044202</v>
      </c>
      <c r="AX31" s="2">
        <v>3.2395578202011572</v>
      </c>
      <c r="AY31" s="2">
        <v>3.5611675472792985</v>
      </c>
      <c r="AZ31" s="2">
        <v>3.3049183498055048</v>
      </c>
      <c r="BA31" s="2">
        <v>3.1182558311995208</v>
      </c>
      <c r="BB31" s="2">
        <v>3.4561809120910878</v>
      </c>
      <c r="BC31" s="2">
        <v>3.915605702054481</v>
      </c>
      <c r="BD31" s="2">
        <v>4.110970645096379</v>
      </c>
      <c r="BE31" s="2" t="str">
        <v/>
      </c>
    </row>
    <row r="32" spans="1:57" ht="21" customHeight="1" x14ac:dyDescent="0.45">
      <c r="A32" s="59"/>
      <c r="B32" s="41"/>
      <c r="C32" s="60"/>
      <c r="D32" s="60"/>
      <c r="E32" s="60"/>
      <c r="F32" s="41"/>
      <c r="G32" s="35"/>
      <c r="H32" s="4" t="str">
        <v/>
      </c>
      <c r="I32" s="4" t="str">
        <v/>
      </c>
      <c r="J32" s="4">
        <v>3.9198706841465656</v>
      </c>
      <c r="K32" s="4">
        <v>4.4008678192959891</v>
      </c>
      <c r="L32" s="4">
        <v>4.4099371426837948</v>
      </c>
      <c r="M32" s="4">
        <v>4.3389323132250883</v>
      </c>
      <c r="N32" s="4">
        <v>3.5228583319989029</v>
      </c>
      <c r="O32" s="4">
        <v>2.3088427612749491</v>
      </c>
      <c r="P32" s="4" t="str">
        <v/>
      </c>
      <c r="Q32" s="4" t="str">
        <v/>
      </c>
      <c r="R32" s="4" t="str">
        <v/>
      </c>
      <c r="S32" s="4">
        <v>3.2207737590888863</v>
      </c>
      <c r="T32" s="4" t="str">
        <v/>
      </c>
      <c r="U32" s="4" t="str">
        <v/>
      </c>
      <c r="V32" s="4" t="str">
        <v/>
      </c>
      <c r="W32" s="4">
        <v>2.6627318338461894</v>
      </c>
      <c r="X32" s="4">
        <v>2.6780965138395771</v>
      </c>
      <c r="Y32" s="4">
        <v>2.5250625978515426</v>
      </c>
      <c r="Z32" s="4">
        <v>2.2254401386126865</v>
      </c>
      <c r="AA32" s="4">
        <v>2.1714416172159345</v>
      </c>
      <c r="AB32" s="2">
        <v>2.160167702366846</v>
      </c>
      <c r="AC32" s="2">
        <v>2.1255011286884278</v>
      </c>
      <c r="AD32" s="2">
        <v>2.0246178684633973</v>
      </c>
      <c r="AE32" s="2">
        <v>1.8416019425618555</v>
      </c>
      <c r="AF32" s="2" t="str">
        <v/>
      </c>
      <c r="AG32" s="2" t="str">
        <v/>
      </c>
      <c r="AH32" s="2" t="str">
        <v/>
      </c>
      <c r="AI32" s="2">
        <v>2.6852688573026962</v>
      </c>
      <c r="AJ32" s="2">
        <v>4.0255972723091347</v>
      </c>
      <c r="AK32" s="2">
        <v>3.967262072855843</v>
      </c>
      <c r="AL32" s="2">
        <v>4.0931085357673336</v>
      </c>
      <c r="AM32" s="2" t="str">
        <v/>
      </c>
      <c r="AN32" s="2" t="str">
        <v/>
      </c>
      <c r="AO32" s="2" t="str">
        <v/>
      </c>
      <c r="AP32" s="2" t="str">
        <v/>
      </c>
      <c r="AQ32" s="2" t="str">
        <v/>
      </c>
      <c r="AR32" s="2" t="str">
        <v/>
      </c>
      <c r="AS32" s="2" t="str">
        <v/>
      </c>
      <c r="AT32" s="2">
        <v>2.6171834300456709</v>
      </c>
      <c r="AU32" s="2">
        <v>2.5295409307387131</v>
      </c>
      <c r="AV32" s="2">
        <v>2.3825997084781227</v>
      </c>
      <c r="AW32" s="2">
        <v>2.4771138338437959</v>
      </c>
      <c r="AX32" s="2">
        <v>3.1185466139161271</v>
      </c>
      <c r="AY32" s="2">
        <v>3.4657764673364722</v>
      </c>
      <c r="AZ32" s="2">
        <v>3.3615934726624612</v>
      </c>
      <c r="BA32" s="2">
        <v>3.527908965947236</v>
      </c>
      <c r="BB32" s="2">
        <v>4.2571458674351543</v>
      </c>
      <c r="BC32" s="2">
        <v>4.5647939817475507</v>
      </c>
      <c r="BD32" s="2">
        <v>4.6670942026329207</v>
      </c>
      <c r="BE32" s="2" t="str">
        <v/>
      </c>
    </row>
    <row r="33" spans="1:57" ht="21" customHeight="1" x14ac:dyDescent="0.45">
      <c r="A33" s="59"/>
      <c r="B33" s="41"/>
      <c r="C33" s="41"/>
      <c r="D33" s="41"/>
      <c r="E33" s="41"/>
      <c r="F33" s="41"/>
      <c r="G33" s="35"/>
      <c r="H33" s="4" t="str">
        <v/>
      </c>
      <c r="I33" s="4">
        <v>1.9675943457236229</v>
      </c>
      <c r="J33" s="4">
        <v>3.8591135698505452</v>
      </c>
      <c r="K33" s="4">
        <v>4.3189825231902716</v>
      </c>
      <c r="L33" s="4">
        <v>4.3166646875950523</v>
      </c>
      <c r="M33" s="4">
        <v>4.1756425581777474</v>
      </c>
      <c r="N33" s="4">
        <v>3.1796101491496733</v>
      </c>
      <c r="O33" s="4">
        <v>2.3132064769301008</v>
      </c>
      <c r="P33" s="4">
        <v>2.2860117644667812</v>
      </c>
      <c r="Q33" s="4">
        <v>2.9156872163913894</v>
      </c>
      <c r="R33" s="4">
        <v>3.5691865115408103</v>
      </c>
      <c r="S33" s="4">
        <v>3.3366728840942774</v>
      </c>
      <c r="T33" s="4" t="str">
        <v/>
      </c>
      <c r="U33" s="4">
        <v>2.5177262440468704</v>
      </c>
      <c r="V33" s="4" t="str">
        <v/>
      </c>
      <c r="W33" s="4">
        <v>2.7317733709534449</v>
      </c>
      <c r="X33" s="4">
        <v>2.8236372265227319</v>
      </c>
      <c r="Y33" s="4">
        <v>2.7711802045014604</v>
      </c>
      <c r="Z33" s="4">
        <v>2.4538591708165765</v>
      </c>
      <c r="AA33" s="4">
        <v>2.3094260237813251</v>
      </c>
      <c r="AB33" s="2">
        <v>2.2685015688784667</v>
      </c>
      <c r="AC33" s="2">
        <v>2.3168515602859387</v>
      </c>
      <c r="AD33" s="2">
        <v>2.2998075057964265</v>
      </c>
      <c r="AE33" s="2">
        <v>2.0500697306715425</v>
      </c>
      <c r="AF33" s="2" t="str">
        <v/>
      </c>
      <c r="AG33" s="2" t="str">
        <v/>
      </c>
      <c r="AH33" s="2" t="str">
        <v/>
      </c>
      <c r="AI33" s="2">
        <v>2.0345410892006282</v>
      </c>
      <c r="AJ33" s="2">
        <v>4.0098655953781277</v>
      </c>
      <c r="AK33" s="2">
        <v>4.2217332881802694</v>
      </c>
      <c r="AL33" s="2">
        <v>4.3629820510808148</v>
      </c>
      <c r="AM33" s="2">
        <v>4.3937310733637602</v>
      </c>
      <c r="AN33" s="2" t="str">
        <v/>
      </c>
      <c r="AO33" s="2" t="str">
        <v/>
      </c>
      <c r="AP33" s="2" t="str">
        <v/>
      </c>
      <c r="AQ33" s="2" t="str">
        <v/>
      </c>
      <c r="AR33" s="2">
        <v>3.7070127017868009</v>
      </c>
      <c r="AS33" s="2" t="str">
        <v/>
      </c>
      <c r="AT33" s="2">
        <v>2.5366706473084846</v>
      </c>
      <c r="AU33" s="2" t="str">
        <v/>
      </c>
      <c r="AV33" s="2" t="str">
        <v/>
      </c>
      <c r="AW33" s="2" t="str">
        <v/>
      </c>
      <c r="AX33" s="2">
        <v>2.9703251614597184</v>
      </c>
      <c r="AY33" s="2">
        <v>3.5647191335453652</v>
      </c>
      <c r="AZ33" s="2">
        <v>3.8498790653347448</v>
      </c>
      <c r="BA33" s="2">
        <v>4.5221088077902207</v>
      </c>
      <c r="BB33" s="2">
        <v>4.9421735265033764</v>
      </c>
      <c r="BC33" s="2">
        <v>5.1089505319909527</v>
      </c>
      <c r="BD33" s="2">
        <v>5.0064294472610786</v>
      </c>
      <c r="BE33" s="2" t="str">
        <v/>
      </c>
    </row>
    <row r="34" spans="1:57" ht="21" customHeight="1" x14ac:dyDescent="0.45">
      <c r="A34" s="59"/>
      <c r="B34" s="41"/>
      <c r="C34" s="41"/>
      <c r="D34" s="41"/>
      <c r="E34" s="41"/>
      <c r="F34" s="41"/>
      <c r="G34" s="35"/>
      <c r="H34" s="4" t="str">
        <v/>
      </c>
      <c r="I34" s="4">
        <v>1.9546787883119954</v>
      </c>
      <c r="J34" s="4">
        <v>3.81029020789871</v>
      </c>
      <c r="K34" s="4" t="str">
        <v/>
      </c>
      <c r="L34" s="4" t="str">
        <v/>
      </c>
      <c r="M34" s="4" t="str">
        <v/>
      </c>
      <c r="N34" s="4" t="str">
        <v/>
      </c>
      <c r="O34" s="4">
        <v>2.4304433642346037</v>
      </c>
      <c r="P34" s="4">
        <v>2.3261938135008187</v>
      </c>
      <c r="Q34" s="4">
        <v>2.9235928597046952</v>
      </c>
      <c r="R34" s="4">
        <v>3.6228773123272182</v>
      </c>
      <c r="S34" s="4">
        <v>3.2555365426441423</v>
      </c>
      <c r="T34" s="4" t="str">
        <v/>
      </c>
      <c r="U34" s="4" t="str">
        <v/>
      </c>
      <c r="V34" s="4" t="str">
        <v/>
      </c>
      <c r="W34" s="4">
        <v>2.7487525973451161</v>
      </c>
      <c r="X34" s="4">
        <v>2.833434863044594</v>
      </c>
      <c r="Y34" s="4">
        <v>2.844575356437097</v>
      </c>
      <c r="Z34" s="4">
        <v>2.4674569790745124</v>
      </c>
      <c r="AA34" s="4">
        <v>2.3148052295603243</v>
      </c>
      <c r="AB34" s="2">
        <v>2.2638064941127762</v>
      </c>
      <c r="AC34" s="2">
        <v>2.3548783551270707</v>
      </c>
      <c r="AD34" s="2">
        <v>2.4404773547086496</v>
      </c>
      <c r="AE34" s="2">
        <v>2.1847107023525849</v>
      </c>
      <c r="AF34" s="2" t="str">
        <v/>
      </c>
      <c r="AG34" s="2">
        <v>2.0466333091873583</v>
      </c>
      <c r="AH34" s="2" t="str">
        <v/>
      </c>
      <c r="AI34" s="2">
        <v>1.9414658576541659</v>
      </c>
      <c r="AJ34" s="2">
        <v>4.6555512605622527</v>
      </c>
      <c r="AK34" s="2">
        <v>4.6391980943985782</v>
      </c>
      <c r="AL34" s="2">
        <v>4.4906043343836011</v>
      </c>
      <c r="AM34" s="2">
        <v>4.4253859808511518</v>
      </c>
      <c r="AN34" s="2" t="str">
        <v/>
      </c>
      <c r="AO34" s="2">
        <v>4.3931635053446128</v>
      </c>
      <c r="AP34" s="2" t="str">
        <v/>
      </c>
      <c r="AQ34" s="2" t="str">
        <v/>
      </c>
      <c r="AR34" s="2" t="str">
        <v/>
      </c>
      <c r="AS34" s="2" t="str">
        <v/>
      </c>
      <c r="AT34" s="2">
        <v>2.3215376682318252</v>
      </c>
      <c r="AU34" s="2" t="str">
        <v/>
      </c>
      <c r="AV34" s="2">
        <v>2.800463162864844</v>
      </c>
      <c r="AW34" s="2" t="str">
        <v/>
      </c>
      <c r="AX34" s="2">
        <v>2.8843123263312744</v>
      </c>
      <c r="AY34" s="2" t="str">
        <v/>
      </c>
      <c r="AZ34" s="2" t="str">
        <v/>
      </c>
      <c r="BA34" s="2" t="str">
        <v/>
      </c>
      <c r="BB34" s="2">
        <v>4.8463108812258566</v>
      </c>
      <c r="BC34" s="2">
        <v>4.9599273984846715</v>
      </c>
      <c r="BD34" s="2">
        <v>4.423777349198553</v>
      </c>
      <c r="BE34" s="2" t="str">
        <v/>
      </c>
    </row>
    <row r="35" spans="1:57" ht="21" customHeight="1" x14ac:dyDescent="0.45">
      <c r="A35" s="59"/>
      <c r="B35" s="61"/>
      <c r="C35" s="41"/>
      <c r="D35" s="41"/>
      <c r="E35" s="41"/>
      <c r="F35" s="41"/>
      <c r="G35" s="35"/>
      <c r="H35" s="2" t="str">
        <v/>
      </c>
      <c r="I35" s="2">
        <v>2.0962967918531512</v>
      </c>
      <c r="J35" s="2">
        <v>3.4912151785024346</v>
      </c>
      <c r="K35" s="2" t="str">
        <v/>
      </c>
      <c r="L35" s="2" t="str">
        <v/>
      </c>
      <c r="M35" s="2" t="str">
        <v/>
      </c>
      <c r="N35" s="2" t="str">
        <v/>
      </c>
      <c r="O35" s="2">
        <v>2.5239934317294668</v>
      </c>
      <c r="P35" s="2">
        <v>2.4139129593588748</v>
      </c>
      <c r="Q35" s="2">
        <v>2.9961343302831263</v>
      </c>
      <c r="R35" s="2">
        <v>3.4910944616358748</v>
      </c>
      <c r="S35" s="2">
        <v>3.1152339129527555</v>
      </c>
      <c r="T35" s="2">
        <v>2.7870440915058001</v>
      </c>
      <c r="U35" s="2" t="str">
        <v/>
      </c>
      <c r="V35" s="2" t="str">
        <v/>
      </c>
      <c r="W35" s="2" t="str">
        <v/>
      </c>
      <c r="X35" s="2">
        <v>2.9392995371722463</v>
      </c>
      <c r="Y35" s="2">
        <v>3.0606658702960692</v>
      </c>
      <c r="Z35" s="2">
        <v>2.471468483735249</v>
      </c>
      <c r="AA35" s="2">
        <v>2.1783979003539784</v>
      </c>
      <c r="AB35" s="2">
        <v>2.0987295183182626</v>
      </c>
      <c r="AC35" s="2">
        <v>2.1666090923165608</v>
      </c>
      <c r="AD35" s="2">
        <v>2.3347399094933632</v>
      </c>
      <c r="AE35" s="2">
        <v>2.2465024407320269</v>
      </c>
      <c r="AF35" s="2" t="str">
        <v/>
      </c>
      <c r="AG35" s="2" t="str">
        <v/>
      </c>
      <c r="AH35" s="2" t="str">
        <v/>
      </c>
      <c r="AI35" s="2">
        <v>3.1641760825325416</v>
      </c>
      <c r="AJ35" s="2">
        <v>5.2550894764566429</v>
      </c>
      <c r="AK35" s="2">
        <v>5.2505449030323756</v>
      </c>
      <c r="AL35" s="2">
        <v>5.01379350552389</v>
      </c>
      <c r="AM35" s="2">
        <v>4.7863582991813667</v>
      </c>
      <c r="AN35" s="2" t="str">
        <v/>
      </c>
      <c r="AO35" s="2" t="str">
        <v/>
      </c>
      <c r="AP35" s="2" t="str">
        <v/>
      </c>
      <c r="AQ35" s="2">
        <v>4.3028941960002243</v>
      </c>
      <c r="AR35" s="2" t="str">
        <v/>
      </c>
      <c r="AS35" s="2" t="str">
        <v/>
      </c>
      <c r="AT35" s="2" t="str">
        <v/>
      </c>
      <c r="AU35" s="2" t="str">
        <v/>
      </c>
      <c r="AV35" s="2" t="str">
        <v/>
      </c>
      <c r="AW35" s="2" t="str">
        <v/>
      </c>
      <c r="AX35" s="2">
        <v>3.0219281424412427</v>
      </c>
      <c r="AY35" s="2" t="str">
        <v/>
      </c>
      <c r="AZ35" s="2" t="str">
        <v/>
      </c>
      <c r="BA35" s="2" t="str">
        <v/>
      </c>
      <c r="BB35" s="2">
        <v>4.6566609594211705</v>
      </c>
      <c r="BC35" s="2">
        <v>4.3549581061505309</v>
      </c>
      <c r="BD35" s="2">
        <v>2.802992015615382</v>
      </c>
      <c r="BE35" s="2" t="str">
        <v/>
      </c>
    </row>
    <row r="36" spans="1:57" ht="21" customHeight="1" x14ac:dyDescent="0.45">
      <c r="A36" s="59"/>
      <c r="B36" s="41"/>
      <c r="C36" s="41"/>
      <c r="D36" s="41"/>
      <c r="E36" s="41"/>
      <c r="F36" s="41"/>
      <c r="G36" s="35"/>
      <c r="H36" s="2" t="str">
        <v/>
      </c>
      <c r="I36" s="2">
        <v>2.5238928736844821</v>
      </c>
      <c r="J36" s="2">
        <v>3.1759358702525051</v>
      </c>
      <c r="K36" s="2" t="str">
        <v/>
      </c>
      <c r="L36" s="2" t="str">
        <v/>
      </c>
      <c r="M36" s="2" t="str">
        <v/>
      </c>
      <c r="N36" s="2" t="str">
        <v/>
      </c>
      <c r="O36" s="2">
        <v>2.5921527794244978</v>
      </c>
      <c r="P36" s="2">
        <v>2.5503876242912891</v>
      </c>
      <c r="Q36" s="2" t="str">
        <v/>
      </c>
      <c r="R36" s="2" t="str">
        <v/>
      </c>
      <c r="S36" s="2" t="str">
        <v/>
      </c>
      <c r="T36" s="2">
        <v>2.7574232891971908</v>
      </c>
      <c r="U36" s="2" t="str">
        <v/>
      </c>
      <c r="V36" s="2">
        <v>2.7276602674729289</v>
      </c>
      <c r="W36" s="2" t="str">
        <v/>
      </c>
      <c r="X36" s="2">
        <v>3.0417085449586296</v>
      </c>
      <c r="Y36" s="2">
        <v>3.3333896951222419</v>
      </c>
      <c r="Z36" s="2">
        <v>2.6981462900663997</v>
      </c>
      <c r="AA36" s="2">
        <v>2.0383095314254569</v>
      </c>
      <c r="AB36" s="2">
        <v>1.8142549867495048</v>
      </c>
      <c r="AC36" s="2">
        <v>1.7782566740711254</v>
      </c>
      <c r="AD36" s="2">
        <v>1.8995510769950699</v>
      </c>
      <c r="AE36" s="2">
        <v>2.0885630531135044</v>
      </c>
      <c r="AF36" s="2">
        <v>2.1979541657414639</v>
      </c>
      <c r="AG36" s="2">
        <v>1.9828287987830213</v>
      </c>
      <c r="AH36" s="2">
        <v>2.0361743004813784</v>
      </c>
      <c r="AI36" s="2">
        <v>4.8258350003711081</v>
      </c>
      <c r="AJ36" s="2">
        <v>5.1614034875841561</v>
      </c>
      <c r="AK36" s="2">
        <v>5.4044935384595272</v>
      </c>
      <c r="AL36" s="2">
        <v>5.4189864900538618</v>
      </c>
      <c r="AM36" s="2">
        <v>5.2114009815689428</v>
      </c>
      <c r="AN36" s="2">
        <v>4.9453128378455906</v>
      </c>
      <c r="AO36" s="2">
        <v>4.8014210398338246</v>
      </c>
      <c r="AP36" s="2">
        <v>4.6435025177599094</v>
      </c>
      <c r="AQ36" s="2">
        <v>3.9931176308011778</v>
      </c>
      <c r="AR36" s="2" t="str">
        <v/>
      </c>
      <c r="AS36" s="2">
        <v>2.5818662590933368</v>
      </c>
      <c r="AT36" s="2" t="str">
        <v/>
      </c>
      <c r="AU36" s="2">
        <v>2.3888755033836739</v>
      </c>
      <c r="AV36" s="2">
        <v>2.446208466101953</v>
      </c>
      <c r="AW36" s="2">
        <v>2.7929069788708811</v>
      </c>
      <c r="AX36" s="2">
        <v>3.620929532071222</v>
      </c>
      <c r="AY36" s="2" t="str">
        <v/>
      </c>
      <c r="AZ36" s="2" t="str">
        <v/>
      </c>
      <c r="BA36" s="2" t="str">
        <v/>
      </c>
      <c r="BB36" s="2">
        <v>4.5295183755159201</v>
      </c>
      <c r="BC36" s="2">
        <v>3.4739649632935907</v>
      </c>
      <c r="BD36" s="2">
        <v>2.6263476899037519</v>
      </c>
      <c r="BE36" s="2" t="str">
        <v/>
      </c>
    </row>
    <row r="37" spans="1:57" ht="21" customHeight="1" x14ac:dyDescent="0.45">
      <c r="A37" s="59"/>
      <c r="B37" s="41"/>
      <c r="C37" s="41"/>
      <c r="D37" s="41"/>
      <c r="E37" s="41"/>
      <c r="F37" s="41"/>
      <c r="G37" s="35"/>
      <c r="H37" s="2" t="str">
        <v/>
      </c>
      <c r="I37" s="2">
        <v>2.2615370254000386</v>
      </c>
      <c r="J37" s="2" t="str">
        <v/>
      </c>
      <c r="K37" s="2" t="str">
        <v/>
      </c>
      <c r="L37" s="2" t="str">
        <v/>
      </c>
      <c r="M37" s="2">
        <v>3.6858622693840566</v>
      </c>
      <c r="N37" s="2">
        <v>3.0029439998526226</v>
      </c>
      <c r="O37" s="2">
        <v>2.5670112811226913</v>
      </c>
      <c r="P37" s="2">
        <v>2.7239119857192651</v>
      </c>
      <c r="Q37" s="2" t="str">
        <v/>
      </c>
      <c r="R37" s="2">
        <v>3.0938807359779168</v>
      </c>
      <c r="S37" s="2" t="str">
        <v/>
      </c>
      <c r="T37" s="2">
        <v>2.7117505851371742</v>
      </c>
      <c r="U37" s="2" t="str">
        <v/>
      </c>
      <c r="V37" s="2" t="str">
        <v/>
      </c>
      <c r="W37" s="2" t="str">
        <v/>
      </c>
      <c r="X37" s="2">
        <v>3.1705208672747669</v>
      </c>
      <c r="Y37" s="2">
        <v>3.6096770257434185</v>
      </c>
      <c r="Z37" s="2">
        <v>3.0438319225959796</v>
      </c>
      <c r="AA37" s="2">
        <v>2.1434049100099859</v>
      </c>
      <c r="AB37" s="2">
        <v>1.8488449691879794</v>
      </c>
      <c r="AC37" s="2">
        <v>1.7633359538544378</v>
      </c>
      <c r="AD37" s="2">
        <v>1.7336132296214943</v>
      </c>
      <c r="AE37" s="2" t="str">
        <v/>
      </c>
      <c r="AF37" s="2" t="str">
        <v/>
      </c>
      <c r="AG37" s="2" t="str">
        <v/>
      </c>
      <c r="AH37" s="2">
        <v>2.2554961234431756</v>
      </c>
      <c r="AI37" s="2">
        <v>4.6660964741676034</v>
      </c>
      <c r="AJ37" s="2">
        <v>4.7479676211855129</v>
      </c>
      <c r="AK37" s="2">
        <v>4.8903772883233847</v>
      </c>
      <c r="AL37" s="2">
        <v>5.1144617069925236</v>
      </c>
      <c r="AM37" s="2">
        <v>5.1990985599183901</v>
      </c>
      <c r="AN37" s="2">
        <v>5.1117679645865399</v>
      </c>
      <c r="AO37" s="2">
        <v>5.0171876524746351</v>
      </c>
      <c r="AP37" s="2">
        <v>4.6661756610806311</v>
      </c>
      <c r="AQ37" s="2">
        <v>3.1730792951589324</v>
      </c>
      <c r="AR37" s="2" t="str">
        <v/>
      </c>
      <c r="AS37" s="2" t="str">
        <v/>
      </c>
      <c r="AT37" s="2" t="str">
        <v/>
      </c>
      <c r="AU37" s="2">
        <v>2.5759444104880114</v>
      </c>
      <c r="AV37" s="2">
        <v>2.4846739894769074</v>
      </c>
      <c r="AW37" s="2">
        <v>3.0071612421145351</v>
      </c>
      <c r="AX37" s="2">
        <v>4.1848539744820075</v>
      </c>
      <c r="AY37" s="2" t="str">
        <v/>
      </c>
      <c r="AZ37" s="2" t="str">
        <v/>
      </c>
      <c r="BA37" s="2" t="str">
        <v/>
      </c>
      <c r="BB37" s="2">
        <v>4.1991910471267584</v>
      </c>
      <c r="BC37" s="2">
        <v>2.9028596248432978</v>
      </c>
      <c r="BD37" s="2">
        <v>2.584807541733253</v>
      </c>
      <c r="BE37" s="2" t="str">
        <v/>
      </c>
    </row>
    <row r="38" spans="1:57" ht="21" customHeight="1" x14ac:dyDescent="0.45">
      <c r="B38" s="5"/>
      <c r="C38" s="33"/>
      <c r="D38" s="33"/>
      <c r="E38" s="33"/>
      <c r="F38" s="33"/>
      <c r="H38" s="2" t="str">
        <v/>
      </c>
      <c r="I38" s="2">
        <v>1.1419274399680579</v>
      </c>
      <c r="J38" s="2" t="str">
        <v/>
      </c>
      <c r="K38" s="2">
        <v>2.9894807441635005</v>
      </c>
      <c r="L38" s="2" t="str">
        <v/>
      </c>
      <c r="M38" s="2">
        <v>3.7147154591566718</v>
      </c>
      <c r="N38" s="2">
        <v>2.7863497725012505</v>
      </c>
      <c r="O38" s="2" t="str">
        <v/>
      </c>
      <c r="P38" s="2" t="str">
        <v/>
      </c>
      <c r="Q38" s="2" t="str">
        <v/>
      </c>
      <c r="R38" s="2" t="str">
        <v/>
      </c>
      <c r="S38" s="2" t="str">
        <v/>
      </c>
      <c r="T38" s="2">
        <v>2.6698877123195213</v>
      </c>
      <c r="U38" s="2">
        <v>2.6632561814406213</v>
      </c>
      <c r="V38" s="2">
        <v>2.650164005121999</v>
      </c>
      <c r="W38" s="2">
        <v>2.7807558705567024</v>
      </c>
      <c r="X38" s="2">
        <v>3.3457667304608938</v>
      </c>
      <c r="Y38" s="2">
        <v>3.7450022697314682</v>
      </c>
      <c r="Z38" s="2" t="str">
        <v/>
      </c>
      <c r="AA38" s="2" t="str">
        <v/>
      </c>
      <c r="AB38" s="2" t="str">
        <v/>
      </c>
      <c r="AC38" s="2">
        <v>1.9574515868435913</v>
      </c>
      <c r="AD38" s="2">
        <v>1.9486453044429368</v>
      </c>
      <c r="AE38" s="2" t="str">
        <v/>
      </c>
      <c r="AF38" s="2">
        <v>2.1181161168888556</v>
      </c>
      <c r="AG38" s="2" t="str">
        <v/>
      </c>
      <c r="AH38" s="2">
        <v>3.9221511693521998</v>
      </c>
      <c r="AI38" s="2">
        <v>4.8332517199984908</v>
      </c>
      <c r="AJ38" s="2">
        <v>4.7030047076361772</v>
      </c>
      <c r="AK38" s="2">
        <v>4.5863331179681772</v>
      </c>
      <c r="AL38" s="2">
        <v>4.5360493080403685</v>
      </c>
      <c r="AM38" s="2">
        <v>4.5617944785125735</v>
      </c>
      <c r="AN38" s="2">
        <v>4.6612228796924899</v>
      </c>
      <c r="AO38" s="2">
        <v>4.7078414188212552</v>
      </c>
      <c r="AP38" s="2">
        <v>4.3732627654807086</v>
      </c>
      <c r="AQ38" s="2">
        <v>2.4111139740490226</v>
      </c>
      <c r="AR38" s="2">
        <v>2.1000902923405005</v>
      </c>
      <c r="AS38" s="2">
        <v>2.2295091765314057</v>
      </c>
      <c r="AT38" s="2">
        <v>2.5935752851392424</v>
      </c>
      <c r="AU38" s="2">
        <v>2.6370738566107805</v>
      </c>
      <c r="AV38" s="2">
        <v>2.5692187614968391</v>
      </c>
      <c r="AW38" s="2">
        <v>3.5845488428195358</v>
      </c>
      <c r="AX38" s="2">
        <v>4.5338984389545578</v>
      </c>
      <c r="AY38" s="2">
        <v>4.6456037034420383</v>
      </c>
      <c r="AZ38" s="2">
        <v>4.6314353390574556</v>
      </c>
      <c r="BA38" s="2">
        <v>4.4634222730553841</v>
      </c>
      <c r="BB38" s="2">
        <v>3.5823557992232344</v>
      </c>
      <c r="BC38" s="2">
        <v>2.7272510333574984</v>
      </c>
      <c r="BD38" s="2">
        <v>2.6460061048666512</v>
      </c>
      <c r="BE38" s="2" t="str">
        <v/>
      </c>
    </row>
    <row r="39" spans="1:57" ht="21" customHeight="1" x14ac:dyDescent="0.45">
      <c r="B39" s="5"/>
      <c r="C39" s="33"/>
      <c r="D39" s="33"/>
      <c r="E39" s="33"/>
      <c r="F39" s="33"/>
      <c r="H39" s="2" t="str">
        <v/>
      </c>
      <c r="I39" s="2">
        <v>1.2022962338073422</v>
      </c>
      <c r="J39" s="2" t="str">
        <v/>
      </c>
      <c r="K39" s="2" t="str">
        <v/>
      </c>
      <c r="L39" s="2" t="str">
        <v/>
      </c>
      <c r="M39" s="2" t="str">
        <v/>
      </c>
      <c r="N39" s="2" t="str">
        <v/>
      </c>
      <c r="O39" s="2" t="str">
        <v/>
      </c>
      <c r="P39" s="2">
        <v>3.0591661793037419</v>
      </c>
      <c r="Q39" s="2" t="str">
        <v/>
      </c>
      <c r="R39" s="2">
        <v>2.8537595749443607</v>
      </c>
      <c r="S39" s="2">
        <v>2.7119341794149707</v>
      </c>
      <c r="T39" s="2">
        <v>2.5816699055478245</v>
      </c>
      <c r="U39" s="2">
        <v>2.6657274748129862</v>
      </c>
      <c r="V39" s="2">
        <v>2.690477904601889</v>
      </c>
      <c r="W39" s="2">
        <v>2.6824895697149209</v>
      </c>
      <c r="X39" s="2">
        <v>3.44582596813233</v>
      </c>
      <c r="Y39" s="2">
        <v>3.7407065112694209</v>
      </c>
      <c r="Z39" s="2" t="str">
        <v/>
      </c>
      <c r="AA39" s="2">
        <v>2.7257032612120065</v>
      </c>
      <c r="AB39" s="2" t="str">
        <v/>
      </c>
      <c r="AC39" s="2">
        <v>2.0374497286401176</v>
      </c>
      <c r="AD39" s="2">
        <v>2.0476375996868432</v>
      </c>
      <c r="AE39" s="2" t="str">
        <v/>
      </c>
      <c r="AF39" s="2" t="str">
        <v/>
      </c>
      <c r="AG39" s="2" t="str">
        <v/>
      </c>
      <c r="AH39" s="2">
        <v>4.9242406112574617</v>
      </c>
      <c r="AI39" s="2">
        <v>4.9695410646012279</v>
      </c>
      <c r="AJ39" s="2">
        <v>4.6833852028617837</v>
      </c>
      <c r="AK39" s="2" t="str">
        <v/>
      </c>
      <c r="AL39" s="2" t="str">
        <v/>
      </c>
      <c r="AM39" s="2" t="str">
        <v/>
      </c>
      <c r="AN39" s="2" t="str">
        <v/>
      </c>
      <c r="AO39" s="2" t="str">
        <v/>
      </c>
      <c r="AP39" s="2" t="str">
        <v/>
      </c>
      <c r="AQ39" s="2">
        <v>1.8559615309939179</v>
      </c>
      <c r="AR39" s="2">
        <v>1.673089572853115</v>
      </c>
      <c r="AS39" s="2">
        <v>1.7381689429417171</v>
      </c>
      <c r="AT39" s="2">
        <v>1.9722361004997417</v>
      </c>
      <c r="AU39" s="2">
        <v>2.2761910249387349</v>
      </c>
      <c r="AV39" s="2">
        <v>2.6760944574349654</v>
      </c>
      <c r="AW39" s="2">
        <v>4.3147174797587784</v>
      </c>
      <c r="AX39" s="2">
        <v>4.6482521850335878</v>
      </c>
      <c r="AY39" s="2">
        <v>4.6574665593481406</v>
      </c>
      <c r="AZ39" s="2">
        <v>4.6372451413426017</v>
      </c>
      <c r="BA39" s="2">
        <v>4.340270871594587</v>
      </c>
      <c r="BB39" s="2">
        <v>3.0242533703349328</v>
      </c>
      <c r="BC39" s="2">
        <v>2.5428942672710102</v>
      </c>
      <c r="BD39" s="2">
        <v>2.6555495859528899</v>
      </c>
      <c r="BE39" s="2" t="str">
        <v/>
      </c>
    </row>
    <row r="40" spans="1:57" ht="21" customHeight="1" x14ac:dyDescent="0.45">
      <c r="B40" s="5"/>
      <c r="C40" s="34"/>
      <c r="D40" s="33"/>
      <c r="E40" s="33"/>
      <c r="F40" s="33"/>
      <c r="H40" s="2" t="str">
        <v/>
      </c>
      <c r="I40" s="2">
        <v>1.2911666328499609</v>
      </c>
      <c r="J40" s="2">
        <v>1.1824086020582909</v>
      </c>
      <c r="K40" s="2">
        <v>1.1076494688789253</v>
      </c>
      <c r="L40" s="2">
        <v>3.0827408892069141</v>
      </c>
      <c r="M40" s="2" t="str">
        <v/>
      </c>
      <c r="N40" s="2">
        <v>2.5261742014401887</v>
      </c>
      <c r="O40" s="2" t="str">
        <v/>
      </c>
      <c r="P40" s="2" t="str">
        <v/>
      </c>
      <c r="Q40" s="2" t="str">
        <v/>
      </c>
      <c r="R40" s="2">
        <v>2.8741514376409287</v>
      </c>
      <c r="S40" s="2">
        <v>2.7491065817970877</v>
      </c>
      <c r="T40" s="2">
        <v>2.5613611546030062</v>
      </c>
      <c r="U40" s="2">
        <v>2.604368944967558</v>
      </c>
      <c r="V40" s="2">
        <v>2.7171833459758665</v>
      </c>
      <c r="W40" s="2">
        <v>2.7424637876839184</v>
      </c>
      <c r="X40" s="2">
        <v>3.3574359079956717</v>
      </c>
      <c r="Y40" s="2">
        <v>3.6280824787024426</v>
      </c>
      <c r="Z40" s="2" t="str">
        <v/>
      </c>
      <c r="AA40" s="2" t="str">
        <v/>
      </c>
      <c r="AB40" s="2" t="str">
        <v/>
      </c>
      <c r="AC40" s="2">
        <v>2.0568636370588704</v>
      </c>
      <c r="AD40" s="2">
        <v>2.0736803314046095</v>
      </c>
      <c r="AE40" s="2">
        <v>1.9737709911151571</v>
      </c>
      <c r="AF40" s="2">
        <v>1.9545355246058016</v>
      </c>
      <c r="AG40" s="2">
        <v>3.6868329424831572</v>
      </c>
      <c r="AH40" s="2">
        <v>4.6608700434761889</v>
      </c>
      <c r="AI40" s="2">
        <v>4.380846384082667</v>
      </c>
      <c r="AJ40" s="2">
        <v>3.8032309638515791</v>
      </c>
      <c r="AK40" s="2" t="str">
        <v/>
      </c>
      <c r="AL40" s="2">
        <v>3.8050683541305834</v>
      </c>
      <c r="AM40" s="2" t="str">
        <v/>
      </c>
      <c r="AN40" s="2" t="str">
        <v/>
      </c>
      <c r="AO40" s="2">
        <v>4.256036889374168</v>
      </c>
      <c r="AP40" s="2" t="str">
        <v/>
      </c>
      <c r="AQ40" s="2">
        <v>2.0803036911498127</v>
      </c>
      <c r="AR40" s="2">
        <v>1.5851302074191891</v>
      </c>
      <c r="AS40" s="2">
        <v>1.5276650427450804</v>
      </c>
      <c r="AT40" s="2">
        <v>1.6175991059621786</v>
      </c>
      <c r="AU40" s="2">
        <v>1.8318869296404052</v>
      </c>
      <c r="AV40" s="2">
        <v>2.7976235338664428</v>
      </c>
      <c r="AW40" s="2">
        <v>4.5509093243197523</v>
      </c>
      <c r="AX40" s="2">
        <v>4.6518841432740103</v>
      </c>
      <c r="AY40" s="2">
        <v>4.6468001863396564</v>
      </c>
      <c r="AZ40" s="2">
        <v>4.6064246020158759</v>
      </c>
      <c r="BA40" s="2">
        <v>4.0384129641361906</v>
      </c>
      <c r="BB40" s="2">
        <v>2.6171769918076926</v>
      </c>
      <c r="BC40" s="2">
        <v>2.4432161837830257</v>
      </c>
      <c r="BD40" s="2">
        <v>2.8045201803816933</v>
      </c>
      <c r="BE40" s="2" t="str">
        <v/>
      </c>
    </row>
    <row r="41" spans="1:57" ht="21" customHeight="1" x14ac:dyDescent="0.45">
      <c r="B41" s="5"/>
      <c r="C41" s="34"/>
      <c r="D41" s="33"/>
      <c r="E41" s="33"/>
      <c r="F41" s="33"/>
      <c r="H41" s="2" t="str">
        <v/>
      </c>
      <c r="I41" s="2">
        <v>1.2802266976120507</v>
      </c>
      <c r="J41" s="2">
        <v>1.0431196859854588</v>
      </c>
      <c r="K41" s="2">
        <v>1.0007969977958788</v>
      </c>
      <c r="L41" s="2">
        <v>1.3282387271722265</v>
      </c>
      <c r="M41" s="2" t="str">
        <v/>
      </c>
      <c r="N41" s="2" t="str">
        <v/>
      </c>
      <c r="O41" s="2" t="str">
        <v/>
      </c>
      <c r="P41" s="2">
        <v>2.7507924185108465</v>
      </c>
      <c r="Q41" s="2">
        <v>2.9471020132659804</v>
      </c>
      <c r="R41" s="2">
        <v>2.9752558508464899</v>
      </c>
      <c r="S41" s="2" t="str">
        <v/>
      </c>
      <c r="T41" s="2" t="str">
        <v/>
      </c>
      <c r="U41" s="2" t="str">
        <v/>
      </c>
      <c r="V41" s="2">
        <v>2.7115662497449304</v>
      </c>
      <c r="W41" s="2">
        <v>2.8884753652982544</v>
      </c>
      <c r="X41" s="2">
        <v>3.2500588177966487</v>
      </c>
      <c r="Y41" s="2">
        <v>3.5013000148963567</v>
      </c>
      <c r="Z41" s="2">
        <v>3.4841892207793994</v>
      </c>
      <c r="AA41" s="2">
        <v>3.2631232871848233</v>
      </c>
      <c r="AB41" s="2">
        <v>2.4257577139674371</v>
      </c>
      <c r="AC41" s="2">
        <v>2.0865758552272018</v>
      </c>
      <c r="AD41" s="2">
        <v>2.0342789056792054</v>
      </c>
      <c r="AE41" s="2">
        <v>1.9601559023904762</v>
      </c>
      <c r="AF41" s="2">
        <v>1.9890661264207004</v>
      </c>
      <c r="AG41" s="2">
        <v>3.4954393134012536</v>
      </c>
      <c r="AH41" s="2">
        <v>3.7356470185415747</v>
      </c>
      <c r="AI41" s="2">
        <v>3.3033811186493756</v>
      </c>
      <c r="AJ41" s="2">
        <v>3.2391386953795376</v>
      </c>
      <c r="AK41" s="2" t="str">
        <v/>
      </c>
      <c r="AL41" s="2" t="str">
        <v/>
      </c>
      <c r="AM41" s="2" t="str">
        <v/>
      </c>
      <c r="AN41" s="2" t="str">
        <v/>
      </c>
      <c r="AO41" s="2" t="str">
        <v/>
      </c>
      <c r="AP41" s="2" t="str">
        <v/>
      </c>
      <c r="AQ41" s="2">
        <v>2.7703919072898113</v>
      </c>
      <c r="AR41" s="2">
        <v>1.9403979190497433</v>
      </c>
      <c r="AS41" s="2">
        <v>1.8416500773771984</v>
      </c>
      <c r="AT41" s="2">
        <v>1.8343365181868851</v>
      </c>
      <c r="AU41" s="2">
        <v>1.89362670799948</v>
      </c>
      <c r="AV41" s="2">
        <v>3.1709505223452199</v>
      </c>
      <c r="AW41" s="2">
        <v>4.5387432994076775</v>
      </c>
      <c r="AX41" s="2">
        <v>4.6142298712721121</v>
      </c>
      <c r="AY41" s="2">
        <v>4.6331112382832096</v>
      </c>
      <c r="AZ41" s="2">
        <v>4.517736897876671</v>
      </c>
      <c r="BA41" s="2">
        <v>3.3095098603291424</v>
      </c>
      <c r="BB41" s="2">
        <v>2.4765048854881377</v>
      </c>
      <c r="BC41" s="2">
        <v>2.4238126433385045</v>
      </c>
      <c r="BD41" s="2">
        <v>2.971902711544097</v>
      </c>
      <c r="BE41" s="2" t="str">
        <v/>
      </c>
    </row>
    <row r="42" spans="1:57" ht="21" customHeight="1" x14ac:dyDescent="0.45">
      <c r="B42" s="5"/>
      <c r="C42" s="34"/>
      <c r="D42" s="33"/>
      <c r="E42" s="33"/>
      <c r="F42" s="33"/>
      <c r="H42" s="2" t="str">
        <v/>
      </c>
      <c r="I42" s="2">
        <v>1.1612231808735183</v>
      </c>
      <c r="J42" s="2">
        <v>1.0004058932457665</v>
      </c>
      <c r="K42" s="2">
        <v>0.99136137396446899</v>
      </c>
      <c r="L42" s="2">
        <v>0.98690765345498321</v>
      </c>
      <c r="M42" s="2">
        <v>1.0807179414476233</v>
      </c>
      <c r="N42" s="2">
        <v>1.455131553995243</v>
      </c>
      <c r="O42" s="2">
        <v>1.8004597827809621</v>
      </c>
      <c r="P42" s="2">
        <v>2.1606091930550688</v>
      </c>
      <c r="Q42" s="2">
        <v>2.5784844537216669</v>
      </c>
      <c r="R42" s="2" t="str">
        <v/>
      </c>
      <c r="S42" s="2" t="str">
        <v/>
      </c>
      <c r="T42" s="2" t="str">
        <v/>
      </c>
      <c r="U42" s="2" t="str">
        <v/>
      </c>
      <c r="V42" s="2">
        <v>2.6231484657778497</v>
      </c>
      <c r="W42" s="2">
        <v>2.7943032297965691</v>
      </c>
      <c r="X42" s="2">
        <v>3.058667385563103</v>
      </c>
      <c r="Y42" s="2">
        <v>3.3932367452647862</v>
      </c>
      <c r="Z42" s="2">
        <v>3.4935127088915907</v>
      </c>
      <c r="AA42" s="2">
        <v>3.368847385114325</v>
      </c>
      <c r="AB42" s="2">
        <v>2.8244276049721497</v>
      </c>
      <c r="AC42" s="2" t="str">
        <v/>
      </c>
      <c r="AD42" s="2" t="str">
        <v/>
      </c>
      <c r="AE42" s="2" t="str">
        <v/>
      </c>
      <c r="AF42" s="2" t="str">
        <v/>
      </c>
      <c r="AG42" s="2" t="str">
        <v/>
      </c>
      <c r="AH42" s="2" t="str">
        <v/>
      </c>
      <c r="AI42" s="2">
        <v>2.8162662959065345</v>
      </c>
      <c r="AJ42" s="2">
        <v>3.0827510344691516</v>
      </c>
      <c r="AK42" s="2">
        <v>3.9643032581884574</v>
      </c>
      <c r="AL42" s="2">
        <v>4.2818418600992221</v>
      </c>
      <c r="AM42" s="2">
        <v>4.3582725667538318</v>
      </c>
      <c r="AN42" s="2">
        <v>4.4525044408687044</v>
      </c>
      <c r="AO42" s="2">
        <v>4.4097513009836726</v>
      </c>
      <c r="AP42" s="2">
        <v>4.023560040131728</v>
      </c>
      <c r="AQ42" s="2">
        <v>2.8327861360235844</v>
      </c>
      <c r="AR42" s="2">
        <v>2.2621586603164956</v>
      </c>
      <c r="AS42" s="2">
        <v>2.1755914630684141</v>
      </c>
      <c r="AT42" s="2">
        <v>2.0663561950093303</v>
      </c>
      <c r="AU42" s="2">
        <v>2.04417028115527</v>
      </c>
      <c r="AV42" s="2">
        <v>3.4457238860888104</v>
      </c>
      <c r="AW42" s="2">
        <v>4.4854163775749818</v>
      </c>
      <c r="AX42" s="2">
        <v>4.5848855850988164</v>
      </c>
      <c r="AY42" s="2">
        <v>4.5818940587394081</v>
      </c>
      <c r="AZ42" s="2">
        <v>4.2743613749675049</v>
      </c>
      <c r="BA42" s="2">
        <v>2.8228196907181275</v>
      </c>
      <c r="BB42" s="2">
        <v>2.4109203636804164</v>
      </c>
      <c r="BC42" s="2">
        <v>2.4232713465841527</v>
      </c>
      <c r="BD42" s="2" t="str">
        <v/>
      </c>
      <c r="BE42" s="2" t="str">
        <v/>
      </c>
    </row>
    <row r="43" spans="1:57" ht="21" customHeight="1" x14ac:dyDescent="0.45">
      <c r="B43" s="5"/>
      <c r="C43" s="34"/>
      <c r="D43" s="33"/>
      <c r="E43" s="33"/>
      <c r="F43" s="33"/>
      <c r="H43" s="2" t="str">
        <v/>
      </c>
      <c r="I43" s="2">
        <v>0.93365785612671537</v>
      </c>
      <c r="J43" s="2">
        <v>0.88308115113495833</v>
      </c>
      <c r="K43" s="2">
        <v>0.89850013306827281</v>
      </c>
      <c r="L43" s="2">
        <v>0.87698514041272257</v>
      </c>
      <c r="M43" s="2">
        <v>0.88193622304790442</v>
      </c>
      <c r="N43" s="2">
        <v>0.96992047659221003</v>
      </c>
      <c r="O43" s="2">
        <v>1.1464310717440418</v>
      </c>
      <c r="P43" s="2">
        <v>0.72762281262834672</v>
      </c>
      <c r="Q43" s="2" t="str">
        <v/>
      </c>
      <c r="R43" s="2" t="str">
        <v/>
      </c>
      <c r="S43" s="2" t="str">
        <v/>
      </c>
      <c r="T43" s="2" t="str">
        <v/>
      </c>
      <c r="U43" s="2" t="str">
        <v/>
      </c>
      <c r="V43" s="2" t="str">
        <v/>
      </c>
      <c r="W43" s="2" t="str">
        <v/>
      </c>
      <c r="X43" s="2" t="str">
        <v/>
      </c>
      <c r="Y43" s="2">
        <v>3.0525294328559003</v>
      </c>
      <c r="Z43" s="2">
        <v>3.4143670602126219</v>
      </c>
      <c r="AA43" s="2">
        <v>3.3863209266912668</v>
      </c>
      <c r="AB43" s="2">
        <v>3.2403557882694325</v>
      </c>
      <c r="AC43" s="2" t="str">
        <v/>
      </c>
      <c r="AD43" s="2">
        <v>1.666095014386741</v>
      </c>
      <c r="AE43" s="2" t="str">
        <v/>
      </c>
      <c r="AF43" s="2" t="str">
        <v/>
      </c>
      <c r="AG43" s="2">
        <v>0.33442414703851003</v>
      </c>
      <c r="AH43" s="2" t="str">
        <v/>
      </c>
      <c r="AI43" s="2">
        <v>0.93679225642528785</v>
      </c>
      <c r="AJ43" s="2">
        <v>1.3601054461438691</v>
      </c>
      <c r="AK43" s="2">
        <v>4.615928434552738</v>
      </c>
      <c r="AL43" s="2">
        <v>4.6047658449002338</v>
      </c>
      <c r="AM43" s="2">
        <v>4.563668178764372</v>
      </c>
      <c r="AN43" s="2">
        <v>4.5667957376971042</v>
      </c>
      <c r="AO43" s="2">
        <v>4.4682441281021639</v>
      </c>
      <c r="AP43" s="2">
        <v>3.9005735604001566</v>
      </c>
      <c r="AQ43" s="2">
        <v>2.6464660847716952</v>
      </c>
      <c r="AR43" s="2">
        <v>2.3368122475698083</v>
      </c>
      <c r="AS43" s="2">
        <v>2.3126645360315643</v>
      </c>
      <c r="AT43" s="2">
        <v>2.2265314886250289</v>
      </c>
      <c r="AU43" s="2">
        <v>2.1845114566228072</v>
      </c>
      <c r="AV43" s="2">
        <v>3.7328664728904664</v>
      </c>
      <c r="AW43" s="2">
        <v>4.4813382035472715</v>
      </c>
      <c r="AX43" s="2">
        <v>4.5217615805822575</v>
      </c>
      <c r="AY43" s="2">
        <v>4.4028064477551032</v>
      </c>
      <c r="AZ43" s="2">
        <v>3.7751438419902685</v>
      </c>
      <c r="BA43" s="2">
        <v>2.7135533966949512</v>
      </c>
      <c r="BB43" s="2">
        <v>2.4985867620000128</v>
      </c>
      <c r="BC43" s="2">
        <v>2.6484305291036154</v>
      </c>
      <c r="BD43" s="2" t="str">
        <v/>
      </c>
      <c r="BE43" s="2" t="str">
        <v/>
      </c>
    </row>
    <row r="44" spans="1:57" ht="21" customHeight="1" x14ac:dyDescent="0.45">
      <c r="B44" s="5"/>
      <c r="C44" s="34"/>
      <c r="D44" s="33"/>
      <c r="E44" s="33"/>
      <c r="F44" s="33"/>
      <c r="H44" s="2" t="str">
        <v/>
      </c>
      <c r="I44" s="2">
        <v>0.88569409720877557</v>
      </c>
      <c r="J44" s="2">
        <v>0.88239545620995719</v>
      </c>
      <c r="K44" s="2">
        <v>0.95926425995918629</v>
      </c>
      <c r="L44" s="2">
        <v>1.0110559199561457</v>
      </c>
      <c r="M44" s="2">
        <v>1.0410733933127472</v>
      </c>
      <c r="N44" s="2">
        <v>0.9521348952966312</v>
      </c>
      <c r="O44" s="2">
        <v>0.77236698616886656</v>
      </c>
      <c r="P44" s="2">
        <v>0.21826976152590991</v>
      </c>
      <c r="Q44" s="2" t="str">
        <v/>
      </c>
      <c r="R44" s="2" t="str">
        <v/>
      </c>
      <c r="S44" s="2" t="str">
        <v/>
      </c>
      <c r="T44" s="2" t="str">
        <v/>
      </c>
      <c r="U44" s="2" t="str">
        <v/>
      </c>
      <c r="V44" s="2" t="str">
        <v/>
      </c>
      <c r="W44" s="2">
        <v>0.46829572667217667</v>
      </c>
      <c r="X44" s="2" t="str">
        <v/>
      </c>
      <c r="Y44" s="2">
        <v>0.70922949932037238</v>
      </c>
      <c r="Z44" s="2">
        <v>1.5400011629871313</v>
      </c>
      <c r="AA44" s="2">
        <v>3.0345628735650467</v>
      </c>
      <c r="AB44" s="2">
        <v>3.3637633743157456</v>
      </c>
      <c r="AC44" s="2" t="str">
        <v/>
      </c>
      <c r="AD44" s="2" t="str">
        <v/>
      </c>
      <c r="AE44" s="2" t="str">
        <v/>
      </c>
      <c r="AF44" s="2" t="str">
        <v/>
      </c>
      <c r="AG44" s="2" t="str">
        <v/>
      </c>
      <c r="AH44" s="2" t="str">
        <v/>
      </c>
      <c r="AI44" s="2">
        <v>1.6282154272770442</v>
      </c>
      <c r="AJ44" s="2">
        <v>1.6623838322055444</v>
      </c>
      <c r="AK44" s="2">
        <v>4.8460185825179494</v>
      </c>
      <c r="AL44" s="2">
        <v>4.8303935671219671</v>
      </c>
      <c r="AM44" s="2">
        <v>4.7701667504899401</v>
      </c>
      <c r="AN44" s="2">
        <v>4.718096630452135</v>
      </c>
      <c r="AO44" s="2">
        <v>4.5817670064826617</v>
      </c>
      <c r="AP44" s="2">
        <v>3.6044487250139476</v>
      </c>
      <c r="AQ44" s="2">
        <v>2.4285201591370642</v>
      </c>
      <c r="AR44" s="2">
        <v>2.3185071587504784</v>
      </c>
      <c r="AS44" s="2">
        <v>2.3570693806077907</v>
      </c>
      <c r="AT44" s="2">
        <v>2.3705059795849239</v>
      </c>
      <c r="AU44" s="2">
        <v>2.5365894750779789</v>
      </c>
      <c r="AV44" s="2">
        <v>3.9980306602879927</v>
      </c>
      <c r="AW44" s="2">
        <v>4.4882073183989109</v>
      </c>
      <c r="AX44" s="2">
        <v>4.4773767646640312</v>
      </c>
      <c r="AY44" s="2">
        <v>4.1387157885628465</v>
      </c>
      <c r="AZ44" s="2">
        <v>3.2301833836344116</v>
      </c>
      <c r="BA44" s="2">
        <v>2.7104656983622144</v>
      </c>
      <c r="BB44" s="2">
        <v>2.6661946105966505</v>
      </c>
      <c r="BC44" s="2">
        <v>3.1828809305897905</v>
      </c>
      <c r="BD44" s="2" t="str">
        <v/>
      </c>
      <c r="BE44" s="2" t="str">
        <v/>
      </c>
    </row>
    <row r="45" spans="1:57" ht="21" customHeight="1" x14ac:dyDescent="0.45">
      <c r="B45" s="5"/>
      <c r="C45" s="34"/>
      <c r="D45" s="33"/>
      <c r="E45" s="33"/>
      <c r="F45" s="33"/>
      <c r="H45" s="2" t="str">
        <v/>
      </c>
      <c r="I45" s="2" t="str">
        <v/>
      </c>
      <c r="J45" s="2" t="str">
        <v/>
      </c>
      <c r="K45" s="2">
        <v>1.033944931600147</v>
      </c>
      <c r="L45" s="2" t="str">
        <v/>
      </c>
      <c r="M45" s="2" t="str">
        <v/>
      </c>
      <c r="N45" s="2" t="str">
        <v/>
      </c>
      <c r="O45" s="2">
        <v>0.43316010023558843</v>
      </c>
      <c r="P45" s="2">
        <v>0.19443825357051894</v>
      </c>
      <c r="Q45" s="2" t="str">
        <v/>
      </c>
      <c r="R45" s="2" t="str">
        <v/>
      </c>
      <c r="S45" s="2" t="str">
        <v/>
      </c>
      <c r="T45" s="2" t="str">
        <v/>
      </c>
      <c r="U45" s="2" t="str">
        <v/>
      </c>
      <c r="V45" s="2" t="str">
        <v/>
      </c>
      <c r="W45" s="2" t="str">
        <v/>
      </c>
      <c r="X45" s="2" t="str">
        <v/>
      </c>
      <c r="Y45" s="2">
        <v>0.6109929562504357</v>
      </c>
      <c r="Z45" s="2">
        <v>0.89795186480713851</v>
      </c>
      <c r="AA45" s="2" t="str">
        <v/>
      </c>
      <c r="AB45" s="2" t="str">
        <v/>
      </c>
      <c r="AC45" s="2" t="str">
        <v/>
      </c>
      <c r="AD45" s="2">
        <v>3.2516148431894991</v>
      </c>
      <c r="AE45" s="2">
        <v>3.2384464114726867</v>
      </c>
      <c r="AF45" s="2">
        <v>3.1333269255537299</v>
      </c>
      <c r="AG45" s="2">
        <v>2.937578086162981</v>
      </c>
      <c r="AH45" s="2">
        <v>2.5427304027425204</v>
      </c>
      <c r="AI45" s="2">
        <v>2.1905591224458538</v>
      </c>
      <c r="AJ45" s="2">
        <v>5.633011275506167</v>
      </c>
      <c r="AK45" s="2">
        <v>5.1820833788765457</v>
      </c>
      <c r="AL45" s="2">
        <v>5.1008118861539895</v>
      </c>
      <c r="AM45" s="2" t="str">
        <v/>
      </c>
      <c r="AN45" s="2" t="str">
        <v/>
      </c>
      <c r="AO45" s="2" t="str">
        <v/>
      </c>
      <c r="AP45" s="2">
        <v>2.8741751038011047</v>
      </c>
      <c r="AQ45" s="2">
        <v>2.2726674680040184</v>
      </c>
      <c r="AR45" s="2">
        <v>2.2708097500621949</v>
      </c>
      <c r="AS45" s="2">
        <v>2.3208168920244701</v>
      </c>
      <c r="AT45" s="2">
        <v>2.3659105709955384</v>
      </c>
      <c r="AU45" s="2">
        <v>2.9202918834107363</v>
      </c>
      <c r="AV45" s="2">
        <v>4.2172688771250737</v>
      </c>
      <c r="AW45" s="2" t="str">
        <v/>
      </c>
      <c r="AX45" s="2" t="str">
        <v/>
      </c>
      <c r="AY45" s="2" t="str">
        <v/>
      </c>
      <c r="AZ45" s="2" t="str">
        <v/>
      </c>
      <c r="BA45" s="2" t="str">
        <v/>
      </c>
      <c r="BB45" s="2" t="str">
        <v/>
      </c>
      <c r="BC45" s="2">
        <v>4.0702883276670727</v>
      </c>
      <c r="BD45" s="2">
        <v>4.5076573883178916</v>
      </c>
      <c r="BE45" s="2" t="str">
        <v/>
      </c>
    </row>
    <row r="46" spans="1:57" ht="21" customHeight="1" x14ac:dyDescent="0.45">
      <c r="B46" s="5"/>
      <c r="C46" s="34"/>
      <c r="D46" s="33"/>
      <c r="E46" s="33"/>
      <c r="F46" s="33"/>
      <c r="H46" s="2" t="str">
        <v/>
      </c>
      <c r="I46" s="2">
        <v>0.92054949782481477</v>
      </c>
      <c r="J46" s="2" t="str">
        <v/>
      </c>
      <c r="K46" s="2">
        <v>0.98632145420350559</v>
      </c>
      <c r="L46" s="2" t="str">
        <v/>
      </c>
      <c r="M46" s="2">
        <v>0.48181609150998417</v>
      </c>
      <c r="N46" s="2" t="str">
        <v/>
      </c>
      <c r="O46" s="2">
        <v>0.26146122529199539</v>
      </c>
      <c r="P46" s="2">
        <v>0.22992089608526689</v>
      </c>
      <c r="Q46" s="2">
        <v>0.60791956018583881</v>
      </c>
      <c r="R46" s="2">
        <v>0.8839682431194642</v>
      </c>
      <c r="S46" s="2" t="str">
        <v/>
      </c>
      <c r="T46" s="2" t="str">
        <v/>
      </c>
      <c r="U46" s="2" t="str">
        <v/>
      </c>
      <c r="V46" s="2" t="str">
        <v/>
      </c>
      <c r="W46" s="2">
        <v>0.52553116751229756</v>
      </c>
      <c r="X46" s="2" t="str">
        <v/>
      </c>
      <c r="Y46" s="2">
        <v>0.65790142511977567</v>
      </c>
      <c r="Z46" s="2">
        <v>0.94765294758082153</v>
      </c>
      <c r="AA46" s="2" t="str">
        <v/>
      </c>
      <c r="AB46" s="2">
        <v>0.66435078996726682</v>
      </c>
      <c r="AC46" s="2" t="str">
        <v/>
      </c>
      <c r="AD46" s="2">
        <v>2.4833182824629207</v>
      </c>
      <c r="AE46" s="2">
        <v>3.034319769570184</v>
      </c>
      <c r="AF46" s="2">
        <v>3.1301382304410139</v>
      </c>
      <c r="AG46" s="2">
        <v>3.1339879511578443</v>
      </c>
      <c r="AH46" s="2">
        <v>2.859768601642382</v>
      </c>
      <c r="AI46" s="2">
        <v>3.4411031617669829</v>
      </c>
      <c r="AJ46" s="2">
        <v>5.2503976480383443</v>
      </c>
      <c r="AK46" s="2">
        <v>5.3014335278717537</v>
      </c>
      <c r="AL46" s="2">
        <v>5.2157453532358442</v>
      </c>
      <c r="AM46" s="2" t="str">
        <v/>
      </c>
      <c r="AN46" s="2" t="str">
        <v/>
      </c>
      <c r="AO46" s="2" t="str">
        <v/>
      </c>
      <c r="AP46" s="2">
        <v>2.4382433773341758</v>
      </c>
      <c r="AQ46" s="2" t="str">
        <v/>
      </c>
      <c r="AR46" s="2" t="str">
        <v/>
      </c>
      <c r="AS46" s="2" t="str">
        <v/>
      </c>
      <c r="AT46" s="2" t="str">
        <v/>
      </c>
      <c r="AU46" s="2">
        <v>3.4687218448812169</v>
      </c>
      <c r="AV46" s="2">
        <v>4.397066744878753</v>
      </c>
      <c r="AW46" s="2" t="str">
        <v/>
      </c>
      <c r="AX46" s="2">
        <v>4.2302954692887491</v>
      </c>
      <c r="AY46" s="2" t="str">
        <v/>
      </c>
      <c r="AZ46" s="2" t="str">
        <v/>
      </c>
      <c r="BA46" s="2" t="str">
        <v/>
      </c>
      <c r="BB46" s="2" t="str">
        <v/>
      </c>
      <c r="BC46" s="2" t="str">
        <v/>
      </c>
      <c r="BD46" s="2">
        <v>3.9412240558000011</v>
      </c>
      <c r="BE46" s="2" t="str">
        <v/>
      </c>
    </row>
    <row r="47" spans="1:57" ht="21" customHeight="1" x14ac:dyDescent="0.45">
      <c r="B47" s="5"/>
      <c r="C47" s="34"/>
      <c r="D47" s="33"/>
      <c r="E47" s="33"/>
      <c r="F47" s="33"/>
      <c r="H47" s="2" t="str">
        <v/>
      </c>
      <c r="I47" s="2" t="str">
        <v/>
      </c>
      <c r="J47" s="2" t="str">
        <v/>
      </c>
      <c r="K47" s="2">
        <v>0.88843690497915973</v>
      </c>
      <c r="L47" s="2" t="str">
        <v/>
      </c>
      <c r="M47" s="2" t="str">
        <v/>
      </c>
      <c r="N47" s="2" t="str">
        <v/>
      </c>
      <c r="O47" s="2">
        <v>0.21540184774756549</v>
      </c>
      <c r="P47" s="2">
        <v>0.1659118001418835</v>
      </c>
      <c r="Q47" s="2">
        <v>0.5767697701859601</v>
      </c>
      <c r="R47" s="2">
        <v>0.60408673944771818</v>
      </c>
      <c r="S47" s="2">
        <v>0.3893070020858535</v>
      </c>
      <c r="T47" s="2">
        <v>0.3078108708145284</v>
      </c>
      <c r="U47" s="2">
        <v>0.29202755823730348</v>
      </c>
      <c r="V47" s="2" t="str">
        <v/>
      </c>
      <c r="W47" s="2" t="str">
        <v/>
      </c>
      <c r="X47" s="2" t="str">
        <v/>
      </c>
      <c r="Y47" s="2" t="str">
        <v/>
      </c>
      <c r="Z47" s="2" t="str">
        <v/>
      </c>
      <c r="AA47" s="2" t="str">
        <v/>
      </c>
      <c r="AB47" s="2" t="str">
        <v/>
      </c>
      <c r="AC47" s="2" t="str">
        <v/>
      </c>
      <c r="AD47" s="2">
        <v>1.296499533738992</v>
      </c>
      <c r="AE47" s="2">
        <v>2.040811298104555</v>
      </c>
      <c r="AF47" s="2">
        <v>2.9984908082059807</v>
      </c>
      <c r="AG47" s="2">
        <v>3.439471989877974</v>
      </c>
      <c r="AH47" s="2">
        <v>3.7737684637997524</v>
      </c>
      <c r="AI47" s="2">
        <v>4.8062247867026997</v>
      </c>
      <c r="AJ47" s="2">
        <v>4.8554161376296667</v>
      </c>
      <c r="AK47" s="2">
        <v>4.8329783142008571</v>
      </c>
      <c r="AL47" s="2">
        <v>4.8097389009228202</v>
      </c>
      <c r="AM47" s="2" t="str">
        <v/>
      </c>
      <c r="AN47" s="2" t="str">
        <v/>
      </c>
      <c r="AO47" s="2" t="str">
        <v/>
      </c>
      <c r="AP47" s="2">
        <v>2.358992753048867</v>
      </c>
      <c r="AQ47" s="2" t="str">
        <v/>
      </c>
      <c r="AR47" s="2" t="str">
        <v/>
      </c>
      <c r="AS47" s="2" t="str">
        <v/>
      </c>
      <c r="AT47" s="2" t="str">
        <v/>
      </c>
      <c r="AU47" s="2">
        <v>4.0217386705145479</v>
      </c>
      <c r="AV47" s="2">
        <v>4.5031315806952064</v>
      </c>
      <c r="AW47" s="2" t="str">
        <v/>
      </c>
      <c r="AX47" s="2" t="str">
        <v/>
      </c>
      <c r="AY47" s="2" t="str">
        <v/>
      </c>
      <c r="AZ47" s="2" t="str">
        <v/>
      </c>
      <c r="BA47" s="2" t="str">
        <v/>
      </c>
      <c r="BB47" s="2" t="str">
        <v/>
      </c>
      <c r="BC47" s="2" t="str">
        <v/>
      </c>
      <c r="BD47" s="2">
        <v>3.4593541989774881</v>
      </c>
      <c r="BE47" s="2" t="str">
        <v/>
      </c>
    </row>
    <row r="48" spans="1:57" ht="21" customHeight="1" x14ac:dyDescent="0.45">
      <c r="B48" s="5"/>
      <c r="C48" s="34"/>
      <c r="D48" s="33"/>
      <c r="E48" s="33"/>
      <c r="F48" s="33"/>
      <c r="H48" s="2" t="str">
        <v/>
      </c>
      <c r="I48" s="2">
        <v>1.0012566512256125</v>
      </c>
      <c r="J48" s="2">
        <v>0.90057674451840486</v>
      </c>
      <c r="K48" s="2">
        <v>0.68931246768699372</v>
      </c>
      <c r="L48" s="2">
        <v>0.27393820724639423</v>
      </c>
      <c r="M48" s="2">
        <v>0.14555615359184371</v>
      </c>
      <c r="N48" s="2">
        <v>0.29567866192981246</v>
      </c>
      <c r="O48" s="2">
        <v>0.18282153022315084</v>
      </c>
      <c r="P48" s="2">
        <v>0.12483645815904779</v>
      </c>
      <c r="Q48" s="2">
        <v>0.52460007573958944</v>
      </c>
      <c r="R48" s="2">
        <v>0.46733171052562678</v>
      </c>
      <c r="S48" s="2">
        <v>0.30500866831337009</v>
      </c>
      <c r="T48" s="2">
        <v>0.3768740096110359</v>
      </c>
      <c r="U48" s="2">
        <v>0.49121732487884129</v>
      </c>
      <c r="V48" s="2">
        <v>0.51124459026254843</v>
      </c>
      <c r="W48" s="2">
        <v>0.43131693148661165</v>
      </c>
      <c r="X48" s="2" t="str">
        <v/>
      </c>
      <c r="Y48" s="2">
        <v>0.74808216036379271</v>
      </c>
      <c r="Z48" s="2" t="str">
        <v/>
      </c>
      <c r="AA48" s="2">
        <v>0.81386823975625733</v>
      </c>
      <c r="AB48" s="2">
        <v>0.6657796639216651</v>
      </c>
      <c r="AC48" s="2">
        <v>1.0269332565873048</v>
      </c>
      <c r="AD48" s="2">
        <v>1.1688945710303527</v>
      </c>
      <c r="AE48" s="2">
        <v>1.1086328366213336</v>
      </c>
      <c r="AF48" s="2">
        <v>1.0217836200387711</v>
      </c>
      <c r="AG48" s="2">
        <v>4.0439312609708358</v>
      </c>
      <c r="AH48" s="2">
        <v>3.994262614575717</v>
      </c>
      <c r="AI48" s="2">
        <v>4.2553980371030029</v>
      </c>
      <c r="AJ48" s="2">
        <v>4.3334204033618775</v>
      </c>
      <c r="AK48" s="2">
        <v>4.3184636052923659</v>
      </c>
      <c r="AL48" s="2">
        <v>4.3095235941628989</v>
      </c>
      <c r="AM48" s="2" t="str">
        <v/>
      </c>
      <c r="AN48" s="2" t="str">
        <v/>
      </c>
      <c r="AO48" s="2" t="str">
        <v/>
      </c>
      <c r="AP48" s="2">
        <v>2.4348756080844272</v>
      </c>
      <c r="AQ48" s="2" t="str">
        <v/>
      </c>
      <c r="AR48" s="2" t="str">
        <v/>
      </c>
      <c r="AS48" s="2" t="str">
        <v/>
      </c>
      <c r="AT48" s="2" t="str">
        <v/>
      </c>
      <c r="AU48" s="2">
        <v>4.255543987538692</v>
      </c>
      <c r="AV48" s="2">
        <v>4.4172555639712758</v>
      </c>
      <c r="AW48" s="2">
        <v>3.7794959170912339</v>
      </c>
      <c r="AX48" s="2">
        <v>3.0253938962934743</v>
      </c>
      <c r="AY48" s="2">
        <v>2.7823955762961408</v>
      </c>
      <c r="AZ48" s="2">
        <v>2.8609771157352499</v>
      </c>
      <c r="BA48" s="2" t="str">
        <v/>
      </c>
      <c r="BB48" s="2" t="str">
        <v/>
      </c>
      <c r="BC48" s="2" t="str">
        <v/>
      </c>
      <c r="BD48" s="2">
        <v>3.388132865162222</v>
      </c>
      <c r="BE48" s="2" t="str">
        <v/>
      </c>
    </row>
    <row r="49" spans="8:57" ht="21" customHeight="1" x14ac:dyDescent="0.45">
      <c r="H49" s="2" t="str">
        <v/>
      </c>
      <c r="I49" s="2">
        <v>0.96446912219325442</v>
      </c>
      <c r="J49" s="2">
        <v>0.68255223717064217</v>
      </c>
      <c r="K49" s="2">
        <v>0.40251035698407245</v>
      </c>
      <c r="L49" s="2">
        <v>0.18165208509179487</v>
      </c>
      <c r="M49" s="2">
        <v>0.17910750962873101</v>
      </c>
      <c r="N49" s="2">
        <v>0.25011155304458116</v>
      </c>
      <c r="O49" s="2">
        <v>0.15356877696387358</v>
      </c>
      <c r="P49" s="2">
        <v>0.18894902210517656</v>
      </c>
      <c r="Q49" s="2">
        <v>0.52937557804911206</v>
      </c>
      <c r="R49" s="2">
        <v>0.44277911161023931</v>
      </c>
      <c r="S49" s="2">
        <v>0.32724010025301459</v>
      </c>
      <c r="T49" s="2">
        <v>0.46135372555962995</v>
      </c>
      <c r="U49" s="2" t="str">
        <v/>
      </c>
      <c r="V49" s="2" t="str">
        <v/>
      </c>
      <c r="W49" s="2" t="str">
        <v/>
      </c>
      <c r="X49" s="2" t="str">
        <v/>
      </c>
      <c r="Y49" s="2" t="str">
        <v/>
      </c>
      <c r="Z49" s="2" t="str">
        <v/>
      </c>
      <c r="AA49" s="2">
        <v>0.80090998135843861</v>
      </c>
      <c r="AB49" s="2">
        <v>0.7954347437764222</v>
      </c>
      <c r="AC49" s="2">
        <v>0.96670817115658025</v>
      </c>
      <c r="AD49" s="2">
        <v>0.84408622931501065</v>
      </c>
      <c r="AE49" s="2" t="str">
        <v/>
      </c>
      <c r="AF49" s="2" t="str">
        <v/>
      </c>
      <c r="AG49" s="2" t="str">
        <v/>
      </c>
      <c r="AH49" s="2">
        <v>3.1426388346458607</v>
      </c>
      <c r="AI49" s="2" t="str">
        <v/>
      </c>
      <c r="AJ49" s="2" t="str">
        <v/>
      </c>
      <c r="AK49" s="2" t="str">
        <v/>
      </c>
      <c r="AL49" s="2">
        <v>4.1128452110037657</v>
      </c>
      <c r="AM49" s="2">
        <v>4.0639528859015037</v>
      </c>
      <c r="AN49" s="2">
        <v>3.8661878088701593</v>
      </c>
      <c r="AO49" s="2">
        <v>2.9470933277676901</v>
      </c>
      <c r="AP49" s="2">
        <v>2.3901002243335436</v>
      </c>
      <c r="AQ49" s="2">
        <v>2.3448185764477261</v>
      </c>
      <c r="AR49" s="2">
        <v>2.2644897657169922</v>
      </c>
      <c r="AS49" s="2">
        <v>2.1768638014248207</v>
      </c>
      <c r="AT49" s="2">
        <v>2.795083867057611</v>
      </c>
      <c r="AU49" s="2">
        <v>4.2594769166126358</v>
      </c>
      <c r="AV49" s="2" t="str">
        <v/>
      </c>
      <c r="AW49" s="2" t="str">
        <v/>
      </c>
      <c r="AX49" s="2" t="str">
        <v/>
      </c>
      <c r="AY49" s="2" t="str">
        <v/>
      </c>
      <c r="AZ49" s="2" t="str">
        <v/>
      </c>
      <c r="BA49" s="2">
        <v>3.4424106397964804</v>
      </c>
      <c r="BB49" s="2">
        <v>3.4687876034572271</v>
      </c>
      <c r="BC49" s="2">
        <v>3.1934672320370656</v>
      </c>
      <c r="BD49" s="2">
        <v>3.4742946223773932</v>
      </c>
      <c r="BE49" s="2" t="str">
        <v/>
      </c>
    </row>
    <row r="50" spans="8:57" ht="21" customHeight="1" x14ac:dyDescent="0.45">
      <c r="H50" s="2" t="str">
        <v/>
      </c>
      <c r="I50" s="2">
        <v>0.72989240885944484</v>
      </c>
      <c r="J50" s="2" t="str">
        <v/>
      </c>
      <c r="K50" s="2" t="str">
        <v/>
      </c>
      <c r="L50" s="2" t="str">
        <v/>
      </c>
      <c r="M50" s="2" t="str">
        <v/>
      </c>
      <c r="N50" s="2" t="str">
        <v/>
      </c>
      <c r="O50" s="2">
        <v>0.19177356039772814</v>
      </c>
      <c r="P50" s="2">
        <v>0.32501237387679388</v>
      </c>
      <c r="Q50" s="2">
        <v>0.57496118341455793</v>
      </c>
      <c r="R50" s="2">
        <v>0.45176853701418757</v>
      </c>
      <c r="S50" s="2">
        <v>0.41925250112726359</v>
      </c>
      <c r="T50" s="2">
        <v>0.66402757120407208</v>
      </c>
      <c r="U50" s="2" t="str">
        <v/>
      </c>
      <c r="V50" s="2">
        <v>0.7641827658072643</v>
      </c>
      <c r="W50" s="2" t="str">
        <v/>
      </c>
      <c r="X50" s="2">
        <v>0.89802580305720325</v>
      </c>
      <c r="Y50" s="2">
        <v>0.90011952593512334</v>
      </c>
      <c r="Z50" s="2">
        <v>0.93976628135501605</v>
      </c>
      <c r="AA50" s="2">
        <v>0.91839008287713708</v>
      </c>
      <c r="AB50" s="2">
        <v>0.92417523487119646</v>
      </c>
      <c r="AC50" s="2">
        <v>0.90272469696687918</v>
      </c>
      <c r="AD50" s="2">
        <v>0.69453721343910635</v>
      </c>
      <c r="AE50" s="2" t="str">
        <v/>
      </c>
      <c r="AF50" s="2">
        <v>0.71417892510193115</v>
      </c>
      <c r="AG50" s="2" t="str">
        <v/>
      </c>
      <c r="AH50" s="2">
        <v>1.0389676385350715</v>
      </c>
      <c r="AI50" s="2" t="str">
        <v/>
      </c>
      <c r="AJ50" s="2">
        <v>4.0268202173254721</v>
      </c>
      <c r="AK50" s="2" t="str">
        <v/>
      </c>
      <c r="AL50" s="2">
        <v>4.0971785369632858</v>
      </c>
      <c r="AM50" s="2">
        <v>4.0488332540071621</v>
      </c>
      <c r="AN50" s="2">
        <v>3.9321846118728234</v>
      </c>
      <c r="AO50" s="2">
        <v>2.984179179969233</v>
      </c>
      <c r="AP50" s="2">
        <v>2.169856931415298</v>
      </c>
      <c r="AQ50" s="2">
        <v>2.1459150333858594</v>
      </c>
      <c r="AR50" s="2" t="str">
        <v/>
      </c>
      <c r="AS50" s="2" t="str">
        <v/>
      </c>
      <c r="AT50" s="2" t="str">
        <v/>
      </c>
      <c r="AU50" s="2">
        <v>4.0022241580463866</v>
      </c>
      <c r="AV50" s="2" t="str">
        <v/>
      </c>
      <c r="AW50" s="2">
        <v>2.7324191590875677</v>
      </c>
      <c r="AX50" s="2" t="str">
        <v/>
      </c>
      <c r="AY50" s="2">
        <v>2.7080327255864929</v>
      </c>
      <c r="AZ50" s="2" t="str">
        <v/>
      </c>
      <c r="BA50" s="2">
        <v>3.5573369261948433</v>
      </c>
      <c r="BB50" s="2">
        <v>3.5111875329550428</v>
      </c>
      <c r="BC50" s="2">
        <v>3.3672706951319742</v>
      </c>
      <c r="BD50" s="2">
        <v>3.7202646828108978</v>
      </c>
      <c r="BE50" s="2" t="str">
        <v/>
      </c>
    </row>
    <row r="51" spans="8:57" ht="21" customHeight="1" x14ac:dyDescent="0.45">
      <c r="H51" s="2" t="str">
        <v/>
      </c>
      <c r="I51" s="2" t="str">
        <v/>
      </c>
      <c r="J51" s="2" t="str">
        <v/>
      </c>
      <c r="K51" s="2" t="str">
        <v/>
      </c>
      <c r="L51" s="2" t="str">
        <v/>
      </c>
      <c r="M51" s="2" t="str">
        <v/>
      </c>
      <c r="N51" s="2" t="str">
        <v/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 t="str">
        <v/>
      </c>
      <c r="U51" s="2" t="str">
        <v/>
      </c>
      <c r="V51" s="2" t="str">
        <v/>
      </c>
      <c r="W51" s="2" t="str">
        <v/>
      </c>
      <c r="X51" s="2" t="str">
        <v/>
      </c>
      <c r="Y51" s="2" t="str">
        <v/>
      </c>
      <c r="Z51" s="2" t="str">
        <v/>
      </c>
      <c r="AA51" s="2" t="str">
        <v/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  <c r="AG51" s="2" t="str">
        <v/>
      </c>
      <c r="AH51" s="2" t="str">
        <v/>
      </c>
      <c r="AI51" s="2" t="str">
        <v/>
      </c>
      <c r="AJ51" s="2" t="str">
        <v/>
      </c>
      <c r="AK51" s="2" t="str">
        <v/>
      </c>
      <c r="AL51" s="2" t="str">
        <v/>
      </c>
      <c r="AM51" s="2" t="str">
        <v/>
      </c>
      <c r="AN51" s="2" t="str">
        <v/>
      </c>
      <c r="AO51" s="2" t="str">
        <v/>
      </c>
      <c r="AP51" s="2" t="str">
        <v/>
      </c>
      <c r="AQ51" s="2" t="str">
        <v/>
      </c>
      <c r="AR51" s="2" t="str">
        <v/>
      </c>
      <c r="AS51" s="2" t="str">
        <v/>
      </c>
      <c r="AT51" s="2" t="str">
        <v/>
      </c>
      <c r="AU51" s="2" t="str">
        <v/>
      </c>
      <c r="AV51" s="2" t="str">
        <v/>
      </c>
      <c r="AW51" s="2" t="str">
        <v/>
      </c>
      <c r="AX51" s="2" t="str">
        <v/>
      </c>
      <c r="AY51" s="2" t="str">
        <v/>
      </c>
      <c r="AZ51" s="2" t="str">
        <v/>
      </c>
      <c r="BA51" s="2" t="str">
        <v/>
      </c>
      <c r="BB51" s="2" t="str">
        <v/>
      </c>
      <c r="BC51" s="2" t="str">
        <v/>
      </c>
      <c r="BD51" s="2" t="str">
        <v/>
      </c>
      <c r="BE51" s="2" t="str">
        <v/>
      </c>
    </row>
  </sheetData>
  <conditionalFormatting sqref="C3:C12">
    <cfRule type="cellIs" dxfId="91" priority="88" operator="equal">
      <formula>"pit"</formula>
    </cfRule>
    <cfRule type="cellIs" dxfId="90" priority="82" operator="equal">
      <formula>"Shoulder"</formula>
    </cfRule>
    <cfRule type="cellIs" dxfId="89" priority="81" operator="equal">
      <formula>"peak"</formula>
    </cfRule>
    <cfRule type="expression" priority="31" stopIfTrue="1">
      <formula>fn_input&lt;&gt;"Classify"</formula>
    </cfRule>
    <cfRule type="cellIs" dxfId="88" priority="80" operator="equal">
      <formula>"ridge"</formula>
    </cfRule>
    <cfRule type="cellIs" dxfId="87" priority="79" operator="equal">
      <formula>"footslope"</formula>
    </cfRule>
    <cfRule type="cellIs" dxfId="86" priority="87" operator="equal">
      <formula>"valley"</formula>
    </cfRule>
    <cfRule type="cellIs" dxfId="85" priority="86" operator="equal">
      <formula>"hollow"</formula>
    </cfRule>
    <cfRule type="cellIs" dxfId="84" priority="85" operator="equal">
      <formula>"flat"</formula>
    </cfRule>
    <cfRule type="cellIs" dxfId="83" priority="84" operator="equal">
      <formula>"slope"</formula>
    </cfRule>
    <cfRule type="cellIs" dxfId="82" priority="83" operator="equal">
      <formula>"spur"</formula>
    </cfRule>
  </conditionalFormatting>
  <conditionalFormatting sqref="C3:D12">
    <cfRule type="expression" dxfId="81" priority="3">
      <formula>LEN(C3)&lt;&gt;0</formula>
    </cfRule>
  </conditionalFormatting>
  <conditionalFormatting sqref="C21:F21">
    <cfRule type="expression" dxfId="80" priority="2">
      <formula>fn_input&lt;&gt;"Classify"</formula>
    </cfRule>
  </conditionalFormatting>
  <conditionalFormatting sqref="C21:F22">
    <cfRule type="expression" dxfId="79" priority="7">
      <formula>LEN(C21)&lt;&gt;0</formula>
    </cfRule>
  </conditionalFormatting>
  <conditionalFormatting sqref="D16:D17">
    <cfRule type="expression" dxfId="78" priority="1">
      <formula>ErrorReport&lt;&gt;"-"</formula>
    </cfRule>
  </conditionalFormatting>
  <conditionalFormatting sqref="E25:F30">
    <cfRule type="expression" dxfId="77" priority="4">
      <formula>LEN(E25)&lt;&gt;0</formula>
    </cfRule>
  </conditionalFormatting>
  <conditionalFormatting sqref="F25:F29">
    <cfRule type="expression" dxfId="76" priority="8">
      <formula>AND(OR(fn_input="Slope (radians)",fn_input="Slope (degrees)"),$F25="Gentle Slope")</formula>
    </cfRule>
  </conditionalFormatting>
  <conditionalFormatting sqref="F25:F30">
    <cfRule type="expression" dxfId="75" priority="10">
      <formula>OR($F25="moderate ruggedness",AND(fn_input="Gradient Magnitude",$F25="Moderate slope"))</formula>
    </cfRule>
    <cfRule type="cellIs" dxfId="74" priority="11" operator="equal">
      <formula>"Upper Slope"</formula>
    </cfRule>
    <cfRule type="expression" dxfId="73" priority="23">
      <formula>OR($F25="Convex (strong)",$F25="Strong acceleration",$F25="Highly rugged / jagged",$F25="Very steep / cliff")</formula>
    </cfRule>
    <cfRule type="cellIs" dxfId="72" priority="24" operator="equal">
      <formula>"Bright highlight"</formula>
    </cfRule>
    <cfRule type="cellIs" dxfId="71" priority="25" operator="equal">
      <formula>"Sunlit slope"</formula>
    </cfRule>
    <cfRule type="cellIs" dxfId="70" priority="26" operator="equal">
      <formula>"Shadowed slope"</formula>
    </cfRule>
    <cfRule type="cellIs" dxfId="69" priority="27" operator="equal">
      <formula>"Deep Shadow"</formula>
    </cfRule>
    <cfRule type="cellIs" dxfId="68" priority="28" operator="equal">
      <formula>"Flat / mid-slope"</formula>
    </cfRule>
    <cfRule type="expression" dxfId="67" priority="29">
      <formula>OR($F25="Flat / Neutral",$F25="Neutral / constant flow",$F25="Flat / smooth terrain",$F25="Flat / nearly flat")</formula>
    </cfRule>
    <cfRule type="cellIs" dxfId="66" priority="30" operator="equal">
      <formula>"Neutral Terrain"</formula>
    </cfRule>
    <cfRule type="cellIs" dxfId="65" priority="21" operator="equal">
      <formula>"Ridge / Peak"</formula>
    </cfRule>
    <cfRule type="expression" dxfId="64" priority="20">
      <formula>OR($F25="Flat terrain",$F25="0 to 72°")</formula>
    </cfRule>
    <cfRule type="cellIs" dxfId="63" priority="19" operator="equal">
      <formula>"Valley / depression"</formula>
    </cfRule>
    <cfRule type="expression" dxfId="62" priority="18">
      <formula>OR($F25="Concave (strong)",$F25="Strong deceleration")</formula>
    </cfRule>
    <cfRule type="expression" dxfId="61" priority="17">
      <formula>OR($F25="Steep slope",$F25="216° to 288°")</formula>
    </cfRule>
    <cfRule type="expression" dxfId="60" priority="16">
      <formula>OR($F25="Moderate slope",$F25="144° to 216°")</formula>
    </cfRule>
    <cfRule type="expression" dxfId="59" priority="14">
      <formula>OR($F25="Concave (gentle)",$F25="Gentle deceleration",$F25="Gentle texture",$F25="Gentle slope",$F25="Lower slope")</formula>
    </cfRule>
    <cfRule type="expression" dxfId="58" priority="13">
      <formula>OR(AND(fn_input&lt;&gt;"Gradient Magnitude"&lt;&gt;$F25="Gentle slope"),$F25="72° to 144°")</formula>
    </cfRule>
    <cfRule type="expression" dxfId="57" priority="12">
      <formula>OR($F25="Rugged Terrain",AND(fn_input="Gradient Magnitude",$F25="Steep slope"),$F25="Convex (gentle)",$F25="Gentle acceleration")</formula>
    </cfRule>
    <cfRule type="expression" dxfId="56" priority="22">
      <formula>OR($F25="Very steep terrain",$F25="288° to 360°")</formula>
    </cfRule>
  </conditionalFormatting>
  <conditionalFormatting sqref="H2:AMP1039">
    <cfRule type="expression" dxfId="55" priority="41">
      <formula>(fn_input="Roughness")*(H2&gt;=50)*(H2&lt;=200)</formula>
    </cfRule>
    <cfRule type="expression" dxfId="54" priority="42">
      <formula>(fn_input="Roughness")*(H2&lt;=50)</formula>
    </cfRule>
    <cfRule type="expression" dxfId="53" priority="43">
      <formula>(fn_input="Gradient Magnitude")*(H2&gt;=1)</formula>
    </cfRule>
    <cfRule type="expression" dxfId="52" priority="44">
      <formula>(fn_input="Gradient Magnitude")*(H2&gt;=0.5)*(H2&lt;=1)</formula>
    </cfRule>
    <cfRule type="expression" dxfId="51" priority="45">
      <formula>(fn_input="Gradient Magnitude")*(H2&gt;=0.2)*(H2&lt;=0.5)</formula>
    </cfRule>
    <cfRule type="expression" dxfId="50" priority="46">
      <formula>(fn_input="Gradient Magnitude")*(H2&gt;=0.05)*(H2&lt;=0.2)</formula>
    </cfRule>
    <cfRule type="expression" dxfId="49" priority="47">
      <formula>(fn_input="Gradient Magnitude")*(H2&lt;=0.05)</formula>
    </cfRule>
    <cfRule type="expression" dxfId="48" priority="48">
      <formula>(fn_input="Profile Curvature")*(H2&gt;=1)</formula>
    </cfRule>
    <cfRule type="expression" dxfId="47" priority="49">
      <formula>(fn_input="Profile Curvature")*(H2&gt;=0.2)*(H2&lt;=1)</formula>
    </cfRule>
    <cfRule type="expression" dxfId="46" priority="50">
      <formula>(fn_input="Profile Curvature")*(H2&gt;=-0.2)*(H2&lt;=0.2)</formula>
    </cfRule>
    <cfRule type="expression" dxfId="45" priority="51">
      <formula>(fn_input="Profile Curvature")*(H2&gt;=-1)*(H2&lt;=-0.2)</formula>
    </cfRule>
    <cfRule type="expression" dxfId="44" priority="52">
      <formula>(fn_input="Profile Curvature")*(H2&lt;=-1)</formula>
    </cfRule>
    <cfRule type="expression" dxfId="43" priority="53">
      <formula>(fn_input="Curvature")*(H2&gt;=1)</formula>
    </cfRule>
    <cfRule type="expression" dxfId="42" priority="54">
      <formula>(fn_input="Curvature")*(H2&gt;=0.2)*(H2&lt;=1)</formula>
    </cfRule>
    <cfRule type="expression" dxfId="41" priority="55">
      <formula>(fn_input="Curvature")*(H2&gt;=-0.2)*(H2&lt;=0.2)</formula>
    </cfRule>
    <cfRule type="expression" dxfId="40" priority="56">
      <formula>(fn_input="Curvature")*(H2&gt;=-1)*(H2&lt;=-0.2)</formula>
    </cfRule>
    <cfRule type="expression" dxfId="39" priority="57">
      <formula>(fn_input="Curvature")*(H2&lt;=-1)</formula>
    </cfRule>
    <cfRule type="expression" dxfId="38" priority="58">
      <formula>(fn_input="Aspect (radians)")*(H2&gt;=5.03)*(H2&lt;=6.28)</formula>
    </cfRule>
    <cfRule type="expression" dxfId="37" priority="59">
      <formula>(fn_input="Aspect (radians)")*(H2&gt;=3.77)*(H2&lt;=5.03)</formula>
    </cfRule>
    <cfRule type="expression" dxfId="36" priority="60">
      <formula>(fn_input="Aspect (radians)")*(H2&gt;=2.51)*(H2&lt;=3.77)</formula>
    </cfRule>
    <cfRule type="expression" dxfId="35" priority="61">
      <formula>(fn_input="Aspect (radians)")*(H2&gt;=1.26)*(H2&lt;=2.51)</formula>
    </cfRule>
    <cfRule type="expression" dxfId="34" priority="62">
      <formula>(fn_input="Aspect (radians)")*(H2&gt;=0)*(H2&lt;=1.26)</formula>
    </cfRule>
    <cfRule type="expression" dxfId="33" priority="63">
      <formula>(fn_input="Slope (degrees)")*(H2&lt;8.6)</formula>
    </cfRule>
    <cfRule type="expression" dxfId="32" priority="64">
      <formula>(fn_input="Slope (degrees)")*(H2&gt;=8.6)*(H2&lt;17)</formula>
    </cfRule>
    <cfRule type="expression" dxfId="31" priority="65">
      <formula>(fn_input="Slope (degrees)")*(H2&gt;=17)*(H2&lt;34)</formula>
    </cfRule>
    <cfRule type="expression" dxfId="30" priority="66">
      <formula>(fn_input="Slope (degrees)")*(H2&gt;=34)*(H2&lt;57)</formula>
    </cfRule>
    <cfRule type="expression" dxfId="29" priority="67">
      <formula>(fn_input="Slope (degrees)")*(H2&gt;=57)</formula>
    </cfRule>
    <cfRule type="expression" dxfId="28" priority="68">
      <formula>(fn_input="Slope (radians)")*(H2&gt;=1)</formula>
    </cfRule>
    <cfRule type="expression" dxfId="27" priority="69">
      <formula>(fn_input="Slope (radians)")*(H2&gt;=0.6)*(H2&lt;1)</formula>
    </cfRule>
    <cfRule type="expression" dxfId="26" priority="70">
      <formula>(fn_input="Slope (radians)")*(H2&gt;=0.3)*(H2&lt;0.6)</formula>
    </cfRule>
    <cfRule type="expression" dxfId="25" priority="71">
      <formula>(fn_input="Slope (radians)")*(H2&gt;=0.15)*(H2&lt;0.3)</formula>
    </cfRule>
    <cfRule type="expression" priority="9" stopIfTrue="1">
      <formula>OR(LEN(H2)=0,ISERROR(H2))</formula>
    </cfRule>
    <cfRule type="expression" dxfId="24" priority="32">
      <formula>LEN(H2)&lt;&gt;0</formula>
    </cfRule>
    <cfRule type="expression" dxfId="23" priority="33">
      <formula>(fn_input="ZTPI")*(H2&gt;=1)</formula>
    </cfRule>
    <cfRule type="expression" dxfId="22" priority="34">
      <formula>(fn_input="ZTPI")*(H2&gt;=0.25)*(H2&lt;=1)</formula>
    </cfRule>
    <cfRule type="expression" dxfId="21" priority="35">
      <formula>(fn_input="ZTPI")*(H2&gt;=-0.25)*(H2&lt;=0.25)</formula>
    </cfRule>
    <cfRule type="expression" dxfId="20" priority="36">
      <formula>(fn_input="ZTPI")*(H2&gt;=-1)*(H2&lt;=-0.25)</formula>
    </cfRule>
    <cfRule type="expression" dxfId="19" priority="37">
      <formula>(fn_input="ZTPI")*(H2&lt;=-1)</formula>
    </cfRule>
    <cfRule type="expression" dxfId="18" priority="38">
      <formula>(fn_input="Roughness")*(H2&gt;=1000)</formula>
    </cfRule>
    <cfRule type="expression" dxfId="17" priority="39">
      <formula>(fn_input="Roughness")*(H2&gt;=500)*(H2&lt;=1000)</formula>
    </cfRule>
    <cfRule type="expression" dxfId="16" priority="40">
      <formula>(fn_input="Roughness")*(H2&gt;=200)*(H2&lt;=500)</formula>
    </cfRule>
    <cfRule type="expression" dxfId="15" priority="89">
      <formula>(fn_input="Slope (radians)")*(H2&lt;0.15)</formula>
    </cfRule>
    <cfRule type="expression" dxfId="14" priority="91">
      <formula>(fn_input="Hillshade")*(H2&gt;151)*(H2&lt;=200)</formula>
    </cfRule>
    <cfRule type="expression" dxfId="13" priority="92">
      <formula>(fn_input="Hillshade")*(H2&gt;=51)*(H2&lt;=100)</formula>
    </cfRule>
    <cfRule type="expression" dxfId="12" priority="93">
      <formula>(fn_input="Hillshade")*(H2&gt;101)*(H2&lt;=150)</formula>
    </cfRule>
    <cfRule type="expression" dxfId="11" priority="94">
      <formula>(fn_input="Hillshade")*(H2&gt;=201)</formula>
    </cfRule>
    <cfRule type="expression" dxfId="10" priority="95">
      <formula>(fn_input="Hillshade")*(H2&lt;=50)</formula>
    </cfRule>
    <cfRule type="cellIs" dxfId="9" priority="106" operator="equal">
      <formula>"footslope"</formula>
    </cfRule>
    <cfRule type="cellIs" dxfId="8" priority="107" operator="equal">
      <formula>"ridge"</formula>
    </cfRule>
    <cfRule type="cellIs" dxfId="7" priority="108" operator="equal">
      <formula>"peak"</formula>
    </cfRule>
    <cfRule type="cellIs" dxfId="6" priority="109" operator="equal">
      <formula>"Shoulder"</formula>
    </cfRule>
    <cfRule type="cellIs" dxfId="5" priority="110" operator="equal">
      <formula>"spur"</formula>
    </cfRule>
    <cfRule type="cellIs" dxfId="4" priority="111" operator="equal">
      <formula>"slope"</formula>
    </cfRule>
    <cfRule type="cellIs" dxfId="3" priority="112" operator="equal">
      <formula>"flat"</formula>
    </cfRule>
    <cfRule type="cellIs" dxfId="2" priority="113" operator="equal">
      <formula>"hollow"</formula>
    </cfRule>
    <cfRule type="cellIs" dxfId="1" priority="114" operator="equal">
      <formula>"valley"</formula>
    </cfRule>
    <cfRule type="cellIs" dxfId="0" priority="115" operator="equal">
      <formula>"pit"</formula>
    </cfRule>
  </conditionalFormatting>
  <dataValidations count="2">
    <dataValidation type="list" allowBlank="1" showInputMessage="1" showErrorMessage="1" sqref="E17" xr:uid="{BF2B8C34-ABD5-48BD-88CF-A0D37AB45C03}">
      <formula1>metric</formula1>
    </dataValidation>
    <dataValidation type="whole" allowBlank="1" showInputMessage="1" showErrorMessage="1" sqref="E13" xr:uid="{6E2EC52A-4631-4C8B-8368-B4A6A1ABA253}">
      <formula1>1</formula1>
      <formula2>90</formula2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Cellsize spinner">
              <controlPr defaultSize="0" autoPict="0" altText="Spin control used to adjust Cellsize in increments of 10.">
                <anchor>
                  <from>
                    <xdr:col>5</xdr:col>
                    <xdr:colOff>25400</xdr:colOff>
                    <xdr:row>10</xdr:row>
                    <xdr:rowOff>241300</xdr:rowOff>
                  </from>
                  <to>
                    <xdr:col>5</xdr:col>
                    <xdr:colOff>1162050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BFEE3-B390-4BD5-BB30-F9D012769657}">
  <sheetPr codeName="Sheet6">
    <tabColor rgb="FF12501A"/>
  </sheetPr>
  <dimension ref="B1:E39"/>
  <sheetViews>
    <sheetView workbookViewId="0">
      <selection activeCell="C4" sqref="C4"/>
    </sheetView>
  </sheetViews>
  <sheetFormatPr defaultRowHeight="14.5" x14ac:dyDescent="0.35"/>
  <cols>
    <col min="2" max="2" width="25.15234375" customWidth="1"/>
    <col min="3" max="3" width="20.53515625" customWidth="1"/>
  </cols>
  <sheetData>
    <row r="1" spans="2:5" x14ac:dyDescent="0.35">
      <c r="B1" s="130" t="s">
        <v>210</v>
      </c>
      <c r="C1" s="131" t="s">
        <v>211</v>
      </c>
      <c r="D1" s="29"/>
    </row>
    <row r="2" spans="2:5" x14ac:dyDescent="0.35">
      <c r="B2" s="132" t="str" cm="1">
        <f t="array" aca="1" ref="B2:C3" ca="1">DEM_Title</f>
        <v>DEM.DeathValley</v>
      </c>
      <c r="C2" s="133" t="str">
        <f ca="1"/>
        <v>50x50</v>
      </c>
      <c r="D2" s="29"/>
    </row>
    <row r="3" spans="2:5" x14ac:dyDescent="0.35">
      <c r="B3" s="134" t="str">
        <f ca="1"/>
        <v>36.5053891,-117.0794078</v>
      </c>
      <c r="C3" s="135" t="str">
        <f ca="1"/>
        <v>2.5 sq km</v>
      </c>
      <c r="D3" s="29"/>
    </row>
    <row r="4" spans="2:5" x14ac:dyDescent="0.35">
      <c r="B4" s="144" t="s">
        <v>82</v>
      </c>
      <c r="C4" s="28" t="b">
        <v>0</v>
      </c>
      <c r="D4" s="29"/>
    </row>
    <row r="5" spans="2:5" x14ac:dyDescent="0.35">
      <c r="D5" s="29"/>
      <c r="E5" t="str" cm="1">
        <f t="array" ref="E5">Export</f>
        <v>-</v>
      </c>
    </row>
    <row r="6" spans="2:5" x14ac:dyDescent="0.35">
      <c r="D6" s="29"/>
    </row>
    <row r="7" spans="2:5" x14ac:dyDescent="0.35">
      <c r="D7" s="29"/>
    </row>
    <row r="8" spans="2:5" x14ac:dyDescent="0.35">
      <c r="D8" s="29"/>
    </row>
    <row r="9" spans="2:5" x14ac:dyDescent="0.35">
      <c r="D9" s="29"/>
    </row>
    <row r="10" spans="2:5" x14ac:dyDescent="0.35">
      <c r="D10" s="29"/>
    </row>
    <row r="11" spans="2:5" x14ac:dyDescent="0.35">
      <c r="D11" s="29"/>
    </row>
    <row r="12" spans="2:5" x14ac:dyDescent="0.35">
      <c r="D12" s="29"/>
    </row>
    <row r="13" spans="2:5" x14ac:dyDescent="0.35">
      <c r="D13" s="29"/>
    </row>
    <row r="14" spans="2:5" x14ac:dyDescent="0.35">
      <c r="D14" s="29"/>
    </row>
    <row r="15" spans="2:5" x14ac:dyDescent="0.35">
      <c r="D15" s="29"/>
    </row>
    <row r="16" spans="2:5" x14ac:dyDescent="0.35">
      <c r="D16" s="29"/>
    </row>
    <row r="17" spans="4:4" x14ac:dyDescent="0.35">
      <c r="D17" s="29"/>
    </row>
    <row r="18" spans="4:4" x14ac:dyDescent="0.35">
      <c r="D18" s="29"/>
    </row>
    <row r="19" spans="4:4" x14ac:dyDescent="0.35">
      <c r="D19" s="29"/>
    </row>
    <row r="20" spans="4:4" x14ac:dyDescent="0.35">
      <c r="D20" s="29"/>
    </row>
    <row r="21" spans="4:4" x14ac:dyDescent="0.35">
      <c r="D21" s="29"/>
    </row>
    <row r="22" spans="4:4" x14ac:dyDescent="0.35">
      <c r="D22" s="29"/>
    </row>
    <row r="23" spans="4:4" x14ac:dyDescent="0.35">
      <c r="D23" s="29"/>
    </row>
    <row r="24" spans="4:4" x14ac:dyDescent="0.35">
      <c r="D24" s="29"/>
    </row>
    <row r="25" spans="4:4" x14ac:dyDescent="0.35">
      <c r="D25" s="29"/>
    </row>
    <row r="26" spans="4:4" x14ac:dyDescent="0.35">
      <c r="D26" s="29"/>
    </row>
    <row r="27" spans="4:4" x14ac:dyDescent="0.35">
      <c r="D27" s="29"/>
    </row>
    <row r="28" spans="4:4" x14ac:dyDescent="0.35">
      <c r="D28" s="29"/>
    </row>
    <row r="29" spans="4:4" x14ac:dyDescent="0.35">
      <c r="D29" s="29"/>
    </row>
    <row r="30" spans="4:4" x14ac:dyDescent="0.35">
      <c r="D30" s="29"/>
    </row>
    <row r="31" spans="4:4" x14ac:dyDescent="0.35">
      <c r="D31" s="29"/>
    </row>
    <row r="32" spans="4:4" x14ac:dyDescent="0.35">
      <c r="D32" s="29"/>
    </row>
    <row r="33" spans="4:4" x14ac:dyDescent="0.35">
      <c r="D33" s="29"/>
    </row>
    <row r="34" spans="4:4" x14ac:dyDescent="0.35">
      <c r="D34" s="29"/>
    </row>
    <row r="35" spans="4:4" x14ac:dyDescent="0.35">
      <c r="D35" s="29"/>
    </row>
    <row r="36" spans="4:4" x14ac:dyDescent="0.35">
      <c r="D36" s="29"/>
    </row>
    <row r="37" spans="4:4" x14ac:dyDescent="0.35">
      <c r="D37" s="29"/>
    </row>
    <row r="38" spans="4:4" x14ac:dyDescent="0.35">
      <c r="D38" s="29"/>
    </row>
    <row r="39" spans="4:4" x14ac:dyDescent="0.35">
      <c r="D39" s="29"/>
    </row>
  </sheetData>
  <pageMargins left="0.7" right="0.7" top="0.75" bottom="0.75" header="0.3" footer="0.3"/>
  <picture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0863-E4AF-43A9-8E40-ECF446C0D2F3}">
  <sheetPr codeName="Sheet5">
    <tabColor theme="4"/>
  </sheetPr>
  <dimension ref="A1:E41"/>
  <sheetViews>
    <sheetView showGridLines="0" showRowColHeaders="0" workbookViewId="0"/>
  </sheetViews>
  <sheetFormatPr defaultColWidth="0" defaultRowHeight="15" zeroHeight="1" x14ac:dyDescent="0.3"/>
  <cols>
    <col min="1" max="1" width="21.3828125" style="41" customWidth="1"/>
    <col min="2" max="2" width="60.3828125" style="41" customWidth="1"/>
    <col min="3" max="3" width="18.765625" style="41" bestFit="1" customWidth="1"/>
    <col min="4" max="4" width="18.921875" style="41" bestFit="1" customWidth="1"/>
    <col min="5" max="5" width="23.3046875" style="41" customWidth="1"/>
    <col min="6" max="16384" width="9.23046875" style="41" hidden="1"/>
  </cols>
  <sheetData>
    <row r="1" spans="2:4" ht="34" customHeight="1" x14ac:dyDescent="0.3">
      <c r="B1" s="76" t="s">
        <v>120</v>
      </c>
    </row>
    <row r="2" spans="2:4" ht="90" x14ac:dyDescent="0.3">
      <c r="B2" s="46" t="s">
        <v>166</v>
      </c>
    </row>
    <row r="3" spans="2:4" x14ac:dyDescent="0.3"/>
    <row r="4" spans="2:4" x14ac:dyDescent="0.3">
      <c r="B4" s="69" t="s">
        <v>114</v>
      </c>
    </row>
    <row r="5" spans="2:4" x14ac:dyDescent="0.3">
      <c r="B5" s="70" t="s">
        <v>94</v>
      </c>
      <c r="C5" s="70" t="s">
        <v>95</v>
      </c>
      <c r="D5" s="70" t="s">
        <v>49</v>
      </c>
    </row>
    <row r="6" spans="2:4" x14ac:dyDescent="0.3">
      <c r="B6" s="71" t="s">
        <v>96</v>
      </c>
      <c r="C6" s="71" t="s">
        <v>97</v>
      </c>
      <c r="D6" s="71" t="s">
        <v>98</v>
      </c>
    </row>
    <row r="7" spans="2:4" x14ac:dyDescent="0.3">
      <c r="B7" s="71" t="s">
        <v>99</v>
      </c>
      <c r="C7" s="71" t="s">
        <v>97</v>
      </c>
      <c r="D7" s="71" t="s">
        <v>100</v>
      </c>
    </row>
    <row r="8" spans="2:4" x14ac:dyDescent="0.3">
      <c r="B8" s="71" t="s">
        <v>101</v>
      </c>
      <c r="C8" s="71" t="s">
        <v>97</v>
      </c>
      <c r="D8" s="71" t="s">
        <v>102</v>
      </c>
    </row>
    <row r="9" spans="2:4" x14ac:dyDescent="0.3">
      <c r="B9" s="71" t="s">
        <v>103</v>
      </c>
      <c r="C9" s="71" t="s">
        <v>104</v>
      </c>
      <c r="D9" s="71" t="s">
        <v>105</v>
      </c>
    </row>
    <row r="10" spans="2:4" x14ac:dyDescent="0.3">
      <c r="B10" s="71" t="s">
        <v>106</v>
      </c>
      <c r="C10" s="71" t="s">
        <v>107</v>
      </c>
      <c r="D10" s="71" t="s">
        <v>108</v>
      </c>
    </row>
    <row r="11" spans="2:4" x14ac:dyDescent="0.3">
      <c r="B11" s="71" t="s">
        <v>109</v>
      </c>
      <c r="C11" s="71" t="s">
        <v>110</v>
      </c>
      <c r="D11" s="71" t="s">
        <v>111</v>
      </c>
    </row>
    <row r="12" spans="2:4" x14ac:dyDescent="0.3">
      <c r="B12" s="71" t="s">
        <v>112</v>
      </c>
      <c r="C12" s="71" t="s">
        <v>113</v>
      </c>
      <c r="D12" s="71"/>
    </row>
    <row r="13" spans="2:4" x14ac:dyDescent="0.3"/>
    <row r="14" spans="2:4" x14ac:dyDescent="0.3"/>
    <row r="15" spans="2:4" x14ac:dyDescent="0.3">
      <c r="B15" s="69" t="s">
        <v>115</v>
      </c>
    </row>
    <row r="16" spans="2:4" x14ac:dyDescent="0.3">
      <c r="B16" s="41" t="s">
        <v>118</v>
      </c>
    </row>
    <row r="17" spans="2:4" x14ac:dyDescent="0.3">
      <c r="B17" s="41" t="s">
        <v>117</v>
      </c>
    </row>
    <row r="18" spans="2:4" x14ac:dyDescent="0.3">
      <c r="B18" s="41" t="s">
        <v>116</v>
      </c>
    </row>
    <row r="19" spans="2:4" x14ac:dyDescent="0.3"/>
    <row r="20" spans="2:4" x14ac:dyDescent="0.3">
      <c r="D20" s="72"/>
    </row>
    <row r="21" spans="2:4" x14ac:dyDescent="0.3">
      <c r="B21" s="73" t="s">
        <v>119</v>
      </c>
    </row>
    <row r="22" spans="2:4" x14ac:dyDescent="0.3"/>
    <row r="23" spans="2:4" x14ac:dyDescent="0.3">
      <c r="B23" s="69" t="s">
        <v>121</v>
      </c>
    </row>
    <row r="24" spans="2:4" ht="195" x14ac:dyDescent="0.3">
      <c r="B24" s="46" t="s">
        <v>176</v>
      </c>
    </row>
    <row r="25" spans="2:4" x14ac:dyDescent="0.3">
      <c r="B25" s="73" t="s">
        <v>175</v>
      </c>
    </row>
    <row r="26" spans="2:4" ht="15.5" x14ac:dyDescent="0.35">
      <c r="B26" s="39"/>
    </row>
    <row r="27" spans="2:4" x14ac:dyDescent="0.3">
      <c r="B27" s="69" t="s">
        <v>122</v>
      </c>
    </row>
    <row r="28" spans="2:4" ht="45" x14ac:dyDescent="0.3">
      <c r="B28" s="46" t="s">
        <v>177</v>
      </c>
    </row>
    <row r="29" spans="2:4" x14ac:dyDescent="0.3"/>
    <row r="30" spans="2:4" x14ac:dyDescent="0.3">
      <c r="B30" s="69" t="s">
        <v>123</v>
      </c>
    </row>
    <row r="31" spans="2:4" ht="30" x14ac:dyDescent="0.3">
      <c r="B31" s="46" t="s">
        <v>178</v>
      </c>
    </row>
    <row r="32" spans="2:4" ht="30" x14ac:dyDescent="0.3">
      <c r="B32" s="46" t="s">
        <v>165</v>
      </c>
    </row>
    <row r="33" spans="2:2" ht="30" x14ac:dyDescent="0.3">
      <c r="B33" s="46" t="s">
        <v>124</v>
      </c>
    </row>
    <row r="34" spans="2:2" x14ac:dyDescent="0.3">
      <c r="B34" s="46"/>
    </row>
    <row r="35" spans="2:2" x14ac:dyDescent="0.3"/>
    <row r="36" spans="2:2" x14ac:dyDescent="0.3"/>
    <row r="37" spans="2:2" x14ac:dyDescent="0.3"/>
    <row r="38" spans="2:2" x14ac:dyDescent="0.3"/>
    <row r="39" spans="2:2" x14ac:dyDescent="0.3"/>
    <row r="40" spans="2:2" x14ac:dyDescent="0.3"/>
    <row r="41" spans="2:2" x14ac:dyDescent="0.3"/>
  </sheetData>
  <hyperlinks>
    <hyperlink ref="B21" r:id="rId1" xr:uid="{73D30BB0-AC78-44FF-BE48-C85D9C7F173D}"/>
    <hyperlink ref="B25" r:id="rId2" xr:uid="{706A940F-ADFC-44CD-9518-5E5F09DC1FB9}"/>
  </hyperlinks>
  <pageMargins left="0.7" right="0.7" top="0.75" bottom="0.75" header="0.3" footer="0.3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8D398-1C89-485F-A532-4B2B1F88D44B}">
  <sheetPr codeName="Sheet2">
    <tabColor rgb="FF7E350E"/>
  </sheetPr>
  <dimension ref="A1:L53"/>
  <sheetViews>
    <sheetView showRowColHeaders="0" zoomScale="85" zoomScaleNormal="85" workbookViewId="0"/>
  </sheetViews>
  <sheetFormatPr defaultColWidth="0" defaultRowHeight="17.5" zeroHeight="1" x14ac:dyDescent="0.45"/>
  <cols>
    <col min="1" max="1" width="6.23046875" style="22" customWidth="1"/>
    <col min="2" max="2" width="5.3828125" style="22" customWidth="1"/>
    <col min="3" max="3" width="20" style="22" customWidth="1"/>
    <col min="4" max="4" width="56.23046875" style="23" customWidth="1"/>
    <col min="5" max="5" width="18.84375" style="27" bestFit="1" customWidth="1"/>
    <col min="6" max="6" width="30.53515625" style="23" bestFit="1" customWidth="1"/>
    <col min="7" max="7" width="26.69140625" style="5" customWidth="1"/>
    <col min="8" max="8" width="43.84375" style="23" customWidth="1"/>
    <col min="9" max="9" width="6.3828125" style="22" hidden="1" customWidth="1"/>
    <col min="10" max="10" width="32.23046875" style="22" hidden="1" customWidth="1"/>
    <col min="11" max="12" width="0" style="22" hidden="1" customWidth="1"/>
    <col min="13" max="16384" width="9.23046875" style="22" hidden="1"/>
  </cols>
  <sheetData>
    <row r="1" spans="3:8" s="15" customFormat="1" x14ac:dyDescent="0.45">
      <c r="D1" s="16"/>
      <c r="E1" s="17"/>
      <c r="F1" s="16"/>
      <c r="G1" s="5"/>
      <c r="H1" s="16"/>
    </row>
    <row r="2" spans="3:8" s="15" customFormat="1" x14ac:dyDescent="0.45">
      <c r="C2" s="18" t="s">
        <v>47</v>
      </c>
      <c r="D2" s="19" t="s">
        <v>5</v>
      </c>
      <c r="E2" s="20" t="s">
        <v>48</v>
      </c>
      <c r="F2" s="19" t="s">
        <v>49</v>
      </c>
      <c r="G2" s="19" t="s">
        <v>73</v>
      </c>
      <c r="H2" s="16"/>
    </row>
    <row r="3" spans="3:8" s="15" customFormat="1" ht="35" customHeight="1" x14ac:dyDescent="0.35">
      <c r="C3" s="13" t="s">
        <v>50</v>
      </c>
      <c r="D3" s="31" t="s">
        <v>222</v>
      </c>
      <c r="E3" s="14" t="s">
        <v>51</v>
      </c>
      <c r="F3" s="31" t="s">
        <v>67</v>
      </c>
      <c r="G3" s="30" t="s">
        <v>76</v>
      </c>
      <c r="H3" s="16"/>
    </row>
    <row r="4" spans="3:8" s="15" customFormat="1" ht="35" customHeight="1" x14ac:dyDescent="0.35">
      <c r="C4" s="13" t="s">
        <v>52</v>
      </c>
      <c r="D4" s="31" t="s">
        <v>53</v>
      </c>
      <c r="E4" s="14" t="s">
        <v>54</v>
      </c>
      <c r="F4" s="31" t="s">
        <v>71</v>
      </c>
      <c r="G4" s="30" t="s">
        <v>74</v>
      </c>
      <c r="H4" s="16"/>
    </row>
    <row r="5" spans="3:8" s="15" customFormat="1" ht="50" customHeight="1" x14ac:dyDescent="0.35">
      <c r="C5" s="13" t="s">
        <v>55</v>
      </c>
      <c r="D5" s="31" t="s">
        <v>56</v>
      </c>
      <c r="E5" s="14" t="s">
        <v>54</v>
      </c>
      <c r="F5" s="31" t="s">
        <v>212</v>
      </c>
      <c r="G5" s="30" t="s">
        <v>75</v>
      </c>
      <c r="H5" s="16"/>
    </row>
    <row r="6" spans="3:8" s="15" customFormat="1" ht="35" customHeight="1" x14ac:dyDescent="0.35">
      <c r="C6" s="13" t="s">
        <v>57</v>
      </c>
      <c r="D6" s="31" t="s">
        <v>58</v>
      </c>
      <c r="E6" s="14" t="s">
        <v>54</v>
      </c>
      <c r="F6" s="31" t="s">
        <v>59</v>
      </c>
      <c r="G6" s="30" t="s">
        <v>77</v>
      </c>
      <c r="H6" s="16"/>
    </row>
    <row r="7" spans="3:8" s="15" customFormat="1" ht="35" customHeight="1" x14ac:dyDescent="0.35">
      <c r="C7" s="13" t="s">
        <v>60</v>
      </c>
      <c r="D7" s="31" t="s">
        <v>61</v>
      </c>
      <c r="E7" s="14" t="s">
        <v>51</v>
      </c>
      <c r="F7" s="31" t="s">
        <v>62</v>
      </c>
      <c r="G7" s="30" t="s">
        <v>78</v>
      </c>
      <c r="H7" s="16"/>
    </row>
    <row r="8" spans="3:8" s="15" customFormat="1" ht="35" customHeight="1" x14ac:dyDescent="0.35">
      <c r="C8" s="13" t="s">
        <v>63</v>
      </c>
      <c r="D8" s="31" t="s">
        <v>87</v>
      </c>
      <c r="E8" s="14" t="s">
        <v>51</v>
      </c>
      <c r="F8" s="31" t="s">
        <v>64</v>
      </c>
      <c r="G8" s="30" t="s">
        <v>76</v>
      </c>
      <c r="H8" s="16"/>
    </row>
    <row r="9" spans="3:8" s="15" customFormat="1" ht="35" customHeight="1" x14ac:dyDescent="0.35">
      <c r="C9" s="13" t="s">
        <v>65</v>
      </c>
      <c r="D9" s="31" t="s">
        <v>66</v>
      </c>
      <c r="E9" s="14" t="s">
        <v>51</v>
      </c>
      <c r="F9" s="31" t="s">
        <v>72</v>
      </c>
      <c r="G9" s="30" t="s">
        <v>76</v>
      </c>
      <c r="H9" s="16"/>
    </row>
    <row r="10" spans="3:8" s="15" customFormat="1" ht="35" customHeight="1" x14ac:dyDescent="0.35">
      <c r="C10" s="161"/>
      <c r="D10" s="162"/>
      <c r="E10" s="163"/>
      <c r="F10" s="162"/>
      <c r="G10" s="164"/>
      <c r="H10" s="16"/>
    </row>
    <row r="11" spans="3:8" s="15" customFormat="1" x14ac:dyDescent="0.45">
      <c r="C11" s="18" t="s">
        <v>225</v>
      </c>
      <c r="D11" s="18" t="s">
        <v>5</v>
      </c>
      <c r="E11" s="163"/>
      <c r="F11" s="162"/>
      <c r="G11" s="164"/>
      <c r="H11" s="16"/>
    </row>
    <row r="12" spans="3:8" s="15" customFormat="1" ht="35" customHeight="1" x14ac:dyDescent="0.35">
      <c r="C12" s="13" t="s">
        <v>226</v>
      </c>
      <c r="D12" s="31" t="s">
        <v>236</v>
      </c>
      <c r="E12" s="163"/>
      <c r="F12" s="162"/>
      <c r="G12" s="164"/>
      <c r="H12" s="16"/>
    </row>
    <row r="13" spans="3:8" s="15" customFormat="1" ht="35" customHeight="1" x14ac:dyDescent="0.35">
      <c r="C13" s="13" t="s">
        <v>227</v>
      </c>
      <c r="D13" s="31" t="s">
        <v>232</v>
      </c>
      <c r="E13" s="163"/>
      <c r="F13" s="162"/>
      <c r="G13" s="164"/>
      <c r="H13" s="16"/>
    </row>
    <row r="14" spans="3:8" s="15" customFormat="1" ht="35" customHeight="1" x14ac:dyDescent="0.35">
      <c r="C14" s="13" t="s">
        <v>229</v>
      </c>
      <c r="D14" s="31" t="s">
        <v>233</v>
      </c>
      <c r="E14" s="163"/>
      <c r="F14" s="162"/>
      <c r="G14" s="164"/>
      <c r="H14" s="16"/>
    </row>
    <row r="15" spans="3:8" s="15" customFormat="1" ht="35" customHeight="1" x14ac:dyDescent="0.35">
      <c r="C15" s="13" t="s">
        <v>228</v>
      </c>
      <c r="D15" s="31" t="s">
        <v>234</v>
      </c>
      <c r="E15" s="163"/>
      <c r="F15" s="162"/>
      <c r="G15" s="164"/>
      <c r="H15" s="16"/>
    </row>
    <row r="16" spans="3:8" s="15" customFormat="1" ht="35" customHeight="1" x14ac:dyDescent="0.35">
      <c r="C16" s="13" t="s">
        <v>230</v>
      </c>
      <c r="D16" s="31" t="s">
        <v>235</v>
      </c>
      <c r="E16" s="163"/>
      <c r="F16" s="162"/>
      <c r="G16" s="164"/>
      <c r="H16" s="16"/>
    </row>
    <row r="17" spans="3:12" s="15" customFormat="1" x14ac:dyDescent="0.45">
      <c r="C17" s="13" t="s">
        <v>231</v>
      </c>
      <c r="D17" s="31" t="s">
        <v>235</v>
      </c>
      <c r="E17" s="17"/>
      <c r="F17" s="16"/>
      <c r="G17" s="5"/>
      <c r="H17" s="16"/>
    </row>
    <row r="18" spans="3:12" s="15" customFormat="1" x14ac:dyDescent="0.45">
      <c r="D18" s="16"/>
      <c r="E18" s="17"/>
      <c r="F18" s="16"/>
      <c r="G18" s="5"/>
      <c r="H18" s="16"/>
    </row>
    <row r="19" spans="3:12" x14ac:dyDescent="0.45">
      <c r="C19" s="62" t="s">
        <v>9</v>
      </c>
      <c r="D19" s="63" t="s">
        <v>5</v>
      </c>
      <c r="E19"/>
      <c r="F19" s="21"/>
    </row>
    <row r="20" spans="3:12" ht="42" customHeight="1" x14ac:dyDescent="0.45">
      <c r="C20" s="64" t="s">
        <v>8</v>
      </c>
      <c r="D20" s="65" t="s">
        <v>19</v>
      </c>
      <c r="E20"/>
      <c r="F20" s="21"/>
      <c r="H20" s="24"/>
      <c r="I20" s="24"/>
      <c r="J20" s="24"/>
      <c r="K20" s="24"/>
      <c r="L20" s="24"/>
    </row>
    <row r="21" spans="3:12" x14ac:dyDescent="0.45">
      <c r="C21" s="64" t="s">
        <v>168</v>
      </c>
      <c r="D21" s="65" t="s">
        <v>169</v>
      </c>
      <c r="E21"/>
      <c r="F21" s="21"/>
      <c r="H21" s="25"/>
      <c r="I21" s="26"/>
      <c r="J21" s="26"/>
      <c r="K21" s="26"/>
      <c r="L21" s="26"/>
    </row>
    <row r="22" spans="3:12" ht="61" customHeight="1" x14ac:dyDescent="0.45">
      <c r="C22" s="64" t="s">
        <v>1</v>
      </c>
      <c r="D22" s="65" t="s">
        <v>17</v>
      </c>
      <c r="E22"/>
      <c r="F22" s="21"/>
      <c r="H22" s="25"/>
      <c r="I22" s="26"/>
      <c r="J22" s="26"/>
      <c r="K22" s="26"/>
      <c r="L22" s="26"/>
    </row>
    <row r="23" spans="3:12" ht="58.5" customHeight="1" x14ac:dyDescent="0.45">
      <c r="C23" s="64" t="s">
        <v>2</v>
      </c>
      <c r="D23" s="65" t="s">
        <v>185</v>
      </c>
      <c r="E23"/>
      <c r="F23" s="21"/>
      <c r="H23" s="25"/>
      <c r="I23" s="26"/>
      <c r="J23" s="26"/>
      <c r="K23" s="26"/>
      <c r="L23" s="26"/>
    </row>
    <row r="24" spans="3:12" ht="45" x14ac:dyDescent="0.45">
      <c r="C24" s="64" t="s">
        <v>0</v>
      </c>
      <c r="D24" s="65" t="s">
        <v>20</v>
      </c>
      <c r="E24"/>
      <c r="F24" s="21"/>
      <c r="H24" s="25"/>
      <c r="I24" s="26"/>
      <c r="J24" s="26"/>
      <c r="K24" s="26"/>
      <c r="L24" s="26"/>
    </row>
    <row r="25" spans="3:12" ht="57" customHeight="1" x14ac:dyDescent="0.45">
      <c r="C25" s="64" t="s">
        <v>4</v>
      </c>
      <c r="D25" s="65" t="s">
        <v>186</v>
      </c>
      <c r="E25" s="41"/>
      <c r="F25" s="41"/>
      <c r="H25" s="25"/>
      <c r="I25" s="26"/>
      <c r="J25" s="26"/>
      <c r="K25" s="26"/>
      <c r="L25" s="26"/>
    </row>
    <row r="26" spans="3:12" ht="60.5" customHeight="1" x14ac:dyDescent="0.45">
      <c r="C26" s="64" t="s">
        <v>3</v>
      </c>
      <c r="D26" s="65" t="s">
        <v>18</v>
      </c>
      <c r="E26" s="41"/>
      <c r="F26" s="41"/>
      <c r="H26" s="25"/>
      <c r="I26" s="26"/>
      <c r="J26" s="26"/>
      <c r="K26" s="26"/>
      <c r="L26" s="26"/>
    </row>
    <row r="27" spans="3:12" ht="45" customHeight="1" x14ac:dyDescent="0.45">
      <c r="C27" s="64" t="s">
        <v>7</v>
      </c>
      <c r="D27" s="65" t="s">
        <v>162</v>
      </c>
      <c r="E27" s="41"/>
      <c r="F27" s="41"/>
      <c r="H27" s="25"/>
      <c r="I27" s="26"/>
      <c r="J27" s="26"/>
      <c r="K27" s="26"/>
      <c r="L27" s="26"/>
    </row>
    <row r="28" spans="3:12" ht="30" x14ac:dyDescent="0.45">
      <c r="C28" s="64" t="s">
        <v>6</v>
      </c>
      <c r="D28" s="65" t="s">
        <v>21</v>
      </c>
      <c r="E28" s="41"/>
      <c r="F28" s="41"/>
    </row>
    <row r="29" spans="3:12" ht="60" x14ac:dyDescent="0.45">
      <c r="C29" s="64" t="s">
        <v>161</v>
      </c>
      <c r="D29" s="65" t="s">
        <v>187</v>
      </c>
      <c r="E29" s="41"/>
      <c r="F29" s="46"/>
    </row>
    <row r="30" spans="3:12" x14ac:dyDescent="0.45">
      <c r="C30" s="41"/>
      <c r="D30" s="46"/>
      <c r="E30" s="41"/>
      <c r="F30" s="46"/>
    </row>
    <row r="31" spans="3:12" x14ac:dyDescent="0.45">
      <c r="C31" s="41"/>
      <c r="D31" s="46"/>
      <c r="F31" s="46"/>
    </row>
    <row r="32" spans="3:12" ht="43.5" customHeight="1" x14ac:dyDescent="0.45">
      <c r="C32" s="66" t="s">
        <v>9</v>
      </c>
      <c r="D32" s="67" t="s">
        <v>5</v>
      </c>
      <c r="E32" s="67" t="s">
        <v>79</v>
      </c>
      <c r="F32" s="46"/>
    </row>
    <row r="33" spans="3:6" ht="53.5" customHeight="1" x14ac:dyDescent="0.45">
      <c r="C33" s="64" t="s">
        <v>11</v>
      </c>
      <c r="D33" s="65" t="s">
        <v>179</v>
      </c>
      <c r="E33" s="68" t="s">
        <v>80</v>
      </c>
      <c r="F33" s="46"/>
    </row>
    <row r="34" spans="3:6" ht="60" customHeight="1" x14ac:dyDescent="0.45">
      <c r="C34" s="64" t="s">
        <v>10</v>
      </c>
      <c r="D34" s="65" t="s">
        <v>180</v>
      </c>
      <c r="E34" s="68" t="s">
        <v>81</v>
      </c>
      <c r="F34" s="46"/>
    </row>
    <row r="35" spans="3:6" ht="43.5" customHeight="1" x14ac:dyDescent="0.45">
      <c r="C35" s="64" t="s">
        <v>13</v>
      </c>
      <c r="D35" s="65" t="s">
        <v>181</v>
      </c>
      <c r="E35" s="68" t="s">
        <v>160</v>
      </c>
      <c r="F35" s="46"/>
    </row>
    <row r="36" spans="3:6" ht="62" customHeight="1" x14ac:dyDescent="0.45">
      <c r="C36" s="64" t="s">
        <v>12</v>
      </c>
      <c r="D36" s="65" t="s">
        <v>14</v>
      </c>
      <c r="E36" s="68" t="s">
        <v>83</v>
      </c>
      <c r="F36" s="46"/>
    </row>
    <row r="37" spans="3:6" ht="51.5" customHeight="1" x14ac:dyDescent="0.45">
      <c r="C37" s="64" t="s">
        <v>68</v>
      </c>
      <c r="D37" s="65" t="s">
        <v>15</v>
      </c>
      <c r="E37" s="68">
        <v>0.30480000000000002</v>
      </c>
      <c r="F37" s="46"/>
    </row>
    <row r="38" spans="3:6" ht="40" customHeight="1" x14ac:dyDescent="0.45">
      <c r="C38" s="64" t="s">
        <v>69</v>
      </c>
      <c r="D38" s="65" t="s">
        <v>182</v>
      </c>
      <c r="E38" s="68" t="s">
        <v>183</v>
      </c>
      <c r="F38" s="46"/>
    </row>
    <row r="39" spans="3:6" ht="45" x14ac:dyDescent="0.45">
      <c r="C39" s="64" t="s">
        <v>70</v>
      </c>
      <c r="D39" s="65" t="s">
        <v>16</v>
      </c>
      <c r="E39" s="68" t="s">
        <v>184</v>
      </c>
      <c r="F39" s="46"/>
    </row>
    <row r="40" spans="3:6" x14ac:dyDescent="0.45">
      <c r="C40" s="41"/>
      <c r="D40" s="46"/>
      <c r="E40" s="41"/>
      <c r="F40" s="46"/>
    </row>
    <row r="41" spans="3:6" x14ac:dyDescent="0.45">
      <c r="C41" s="41"/>
      <c r="D41" s="46"/>
    </row>
    <row r="42" spans="3:6" x14ac:dyDescent="0.45"/>
    <row r="43" spans="3:6" x14ac:dyDescent="0.45"/>
    <row r="45" spans="3:6" hidden="1" x14ac:dyDescent="0.45">
      <c r="E45" s="24"/>
    </row>
    <row r="46" spans="3:6" hidden="1" x14ac:dyDescent="0.45">
      <c r="C46" s="24"/>
      <c r="D46" s="24"/>
      <c r="E46" s="26"/>
    </row>
    <row r="47" spans="3:6" hidden="1" x14ac:dyDescent="0.45">
      <c r="C47" s="26"/>
      <c r="D47" s="26"/>
      <c r="E47" s="26"/>
    </row>
    <row r="48" spans="3:6" hidden="1" x14ac:dyDescent="0.45">
      <c r="C48" s="26"/>
      <c r="D48" s="26"/>
      <c r="E48" s="26"/>
    </row>
    <row r="49" spans="3:5" hidden="1" x14ac:dyDescent="0.45">
      <c r="C49" s="26"/>
      <c r="D49" s="26"/>
      <c r="E49" s="26"/>
    </row>
    <row r="50" spans="3:5" hidden="1" x14ac:dyDescent="0.45">
      <c r="C50" s="26"/>
      <c r="D50" s="26"/>
      <c r="E50" s="26"/>
    </row>
    <row r="51" spans="3:5" hidden="1" x14ac:dyDescent="0.45">
      <c r="C51" s="26"/>
      <c r="D51" s="26"/>
      <c r="E51" s="26"/>
    </row>
    <row r="52" spans="3:5" hidden="1" x14ac:dyDescent="0.45">
      <c r="C52" s="26"/>
      <c r="D52" s="26"/>
      <c r="E52" s="26"/>
    </row>
    <row r="53" spans="3:5" hidden="1" x14ac:dyDescent="0.45">
      <c r="C53" s="26"/>
      <c r="D53" s="26"/>
    </row>
  </sheetData>
  <sortState xmlns:xlrd2="http://schemas.microsoft.com/office/spreadsheetml/2017/richdata2" ref="C20:E28">
    <sortCondition ref="C20:C28"/>
  </sortState>
  <pageMargins left="0.7" right="0.7" top="0.75" bottom="0.75" header="0.3" footer="0.3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812D7-97B9-448F-AEEC-EFBBA692BD8E}">
  <sheetPr codeName="Sheet1">
    <tabColor theme="1" tint="0.499984740745262"/>
  </sheetPr>
  <dimension ref="B2:DQ128"/>
  <sheetViews>
    <sheetView workbookViewId="0">
      <selection activeCell="C2" sqref="C2"/>
    </sheetView>
  </sheetViews>
  <sheetFormatPr defaultRowHeight="14.5" x14ac:dyDescent="0.35"/>
  <cols>
    <col min="2" max="1024" width="5.15234375" bestFit="1" customWidth="1"/>
  </cols>
  <sheetData>
    <row r="2" spans="2:121" x14ac:dyDescent="0.35">
      <c r="C2" t="s">
        <v>208</v>
      </c>
      <c r="F2" s="78" t="s">
        <v>206</v>
      </c>
    </row>
    <row r="4" spans="2:121" x14ac:dyDescent="0.35">
      <c r="C4" t="s">
        <v>207</v>
      </c>
    </row>
    <row r="9" spans="2:121" x14ac:dyDescent="0.35">
      <c r="B9">
        <v>60</v>
      </c>
      <c r="C9">
        <v>182</v>
      </c>
      <c r="D9">
        <v>258</v>
      </c>
      <c r="E9">
        <v>293</v>
      </c>
      <c r="F9">
        <v>395</v>
      </c>
      <c r="G9">
        <v>376</v>
      </c>
      <c r="H9">
        <v>355</v>
      </c>
      <c r="I9">
        <v>402</v>
      </c>
      <c r="J9">
        <v>455</v>
      </c>
      <c r="K9">
        <v>351</v>
      </c>
      <c r="L9">
        <v>244</v>
      </c>
      <c r="M9">
        <v>181</v>
      </c>
      <c r="N9">
        <v>262</v>
      </c>
      <c r="O9">
        <v>354</v>
      </c>
      <c r="P9">
        <v>320</v>
      </c>
      <c r="Q9">
        <v>270</v>
      </c>
      <c r="R9">
        <v>284</v>
      </c>
      <c r="S9">
        <v>261</v>
      </c>
      <c r="T9">
        <v>268</v>
      </c>
      <c r="U9">
        <v>253</v>
      </c>
      <c r="V9">
        <v>134</v>
      </c>
      <c r="W9">
        <v>50</v>
      </c>
      <c r="X9">
        <v>17</v>
      </c>
      <c r="Y9">
        <v>5</v>
      </c>
      <c r="Z9">
        <v>41</v>
      </c>
      <c r="AA9">
        <v>137</v>
      </c>
      <c r="AB9">
        <v>242</v>
      </c>
      <c r="AC9">
        <v>341</v>
      </c>
      <c r="AD9">
        <v>396</v>
      </c>
      <c r="AE9">
        <v>545</v>
      </c>
      <c r="AF9">
        <v>480</v>
      </c>
      <c r="AG9">
        <v>441</v>
      </c>
      <c r="AH9">
        <v>548</v>
      </c>
      <c r="AI9">
        <v>352</v>
      </c>
      <c r="AJ9">
        <v>280</v>
      </c>
      <c r="AK9">
        <v>274</v>
      </c>
      <c r="AL9">
        <v>292</v>
      </c>
      <c r="AM9">
        <v>412</v>
      </c>
      <c r="AN9">
        <v>359</v>
      </c>
      <c r="AO9">
        <v>223</v>
      </c>
      <c r="AP9">
        <v>190</v>
      </c>
      <c r="AQ9">
        <v>239</v>
      </c>
      <c r="AR9">
        <v>162</v>
      </c>
      <c r="AS9">
        <v>137</v>
      </c>
      <c r="AT9">
        <v>139</v>
      </c>
      <c r="AU9">
        <v>63</v>
      </c>
      <c r="AV9">
        <v>19</v>
      </c>
      <c r="AW9">
        <v>14</v>
      </c>
      <c r="AX9">
        <v>13</v>
      </c>
      <c r="AY9">
        <v>97</v>
      </c>
      <c r="AZ9">
        <v>174</v>
      </c>
      <c r="BA9">
        <v>175</v>
      </c>
      <c r="BB9">
        <v>194</v>
      </c>
      <c r="BC9">
        <v>413</v>
      </c>
      <c r="BD9">
        <v>515</v>
      </c>
      <c r="BE9">
        <v>504</v>
      </c>
      <c r="BF9">
        <v>698</v>
      </c>
      <c r="BG9">
        <v>497</v>
      </c>
      <c r="BH9">
        <v>401</v>
      </c>
      <c r="BI9">
        <v>319</v>
      </c>
      <c r="BJ9">
        <v>293</v>
      </c>
      <c r="BK9">
        <v>408</v>
      </c>
      <c r="BL9">
        <v>382</v>
      </c>
      <c r="BM9">
        <v>301</v>
      </c>
      <c r="BN9">
        <v>178</v>
      </c>
      <c r="BO9">
        <v>152</v>
      </c>
      <c r="BP9">
        <v>157</v>
      </c>
      <c r="BQ9">
        <v>169</v>
      </c>
      <c r="BR9">
        <v>132</v>
      </c>
      <c r="BS9">
        <v>84</v>
      </c>
      <c r="BT9">
        <v>66</v>
      </c>
      <c r="BU9">
        <v>18</v>
      </c>
      <c r="BV9">
        <v>12</v>
      </c>
      <c r="BW9">
        <v>4</v>
      </c>
      <c r="BX9">
        <v>5</v>
      </c>
      <c r="BY9">
        <v>10</v>
      </c>
      <c r="BZ9">
        <v>61</v>
      </c>
      <c r="CA9">
        <v>91</v>
      </c>
      <c r="CB9">
        <v>173</v>
      </c>
      <c r="CC9">
        <v>407</v>
      </c>
      <c r="CD9">
        <v>570</v>
      </c>
      <c r="CE9">
        <v>630</v>
      </c>
      <c r="CF9">
        <v>462</v>
      </c>
      <c r="CG9">
        <v>379</v>
      </c>
      <c r="CH9">
        <v>378</v>
      </c>
      <c r="CI9">
        <v>385</v>
      </c>
      <c r="CJ9">
        <v>299</v>
      </c>
      <c r="CK9">
        <v>275</v>
      </c>
      <c r="CL9">
        <v>365</v>
      </c>
      <c r="CM9">
        <v>272</v>
      </c>
      <c r="CN9">
        <v>168</v>
      </c>
      <c r="CO9">
        <v>131</v>
      </c>
      <c r="CP9">
        <v>119</v>
      </c>
      <c r="CQ9">
        <v>141</v>
      </c>
      <c r="CR9">
        <v>100</v>
      </c>
      <c r="CS9">
        <v>66</v>
      </c>
      <c r="CT9">
        <v>28</v>
      </c>
      <c r="CU9">
        <v>3</v>
      </c>
      <c r="CV9">
        <v>88</v>
      </c>
      <c r="CW9">
        <v>220</v>
      </c>
      <c r="CX9">
        <v>270</v>
      </c>
      <c r="CY9">
        <v>323</v>
      </c>
      <c r="CZ9">
        <v>267</v>
      </c>
      <c r="DA9">
        <v>463</v>
      </c>
      <c r="DB9">
        <v>530</v>
      </c>
      <c r="DC9">
        <v>495</v>
      </c>
      <c r="DD9">
        <v>473</v>
      </c>
      <c r="DE9">
        <v>439</v>
      </c>
      <c r="DF9">
        <v>447</v>
      </c>
      <c r="DG9">
        <v>271</v>
      </c>
      <c r="DH9">
        <v>192</v>
      </c>
      <c r="DI9">
        <v>200</v>
      </c>
      <c r="DJ9">
        <v>292</v>
      </c>
      <c r="DK9">
        <v>254</v>
      </c>
      <c r="DL9">
        <v>185</v>
      </c>
      <c r="DM9">
        <v>134</v>
      </c>
      <c r="DN9">
        <v>58</v>
      </c>
      <c r="DO9">
        <v>98</v>
      </c>
      <c r="DP9">
        <v>95</v>
      </c>
      <c r="DQ9">
        <v>35</v>
      </c>
    </row>
    <row r="10" spans="2:121" x14ac:dyDescent="0.35">
      <c r="B10">
        <v>333</v>
      </c>
      <c r="C10">
        <v>286</v>
      </c>
      <c r="D10">
        <v>205</v>
      </c>
      <c r="E10">
        <v>154</v>
      </c>
      <c r="F10">
        <v>167</v>
      </c>
      <c r="G10">
        <v>119</v>
      </c>
      <c r="H10">
        <v>49</v>
      </c>
      <c r="I10">
        <v>0</v>
      </c>
      <c r="J10">
        <v>9</v>
      </c>
      <c r="K10">
        <v>55</v>
      </c>
      <c r="L10">
        <v>98</v>
      </c>
      <c r="M10">
        <v>144</v>
      </c>
      <c r="N10">
        <v>200</v>
      </c>
      <c r="O10">
        <v>234</v>
      </c>
      <c r="P10">
        <v>228</v>
      </c>
      <c r="Q10">
        <v>228</v>
      </c>
      <c r="R10">
        <v>233</v>
      </c>
      <c r="S10">
        <v>245</v>
      </c>
      <c r="T10">
        <v>254</v>
      </c>
      <c r="U10">
        <v>258</v>
      </c>
      <c r="V10">
        <v>248</v>
      </c>
      <c r="W10">
        <v>236</v>
      </c>
      <c r="X10">
        <v>225</v>
      </c>
      <c r="Y10">
        <v>222</v>
      </c>
      <c r="Z10">
        <v>229</v>
      </c>
      <c r="AA10">
        <v>226</v>
      </c>
      <c r="AB10">
        <v>199</v>
      </c>
      <c r="AC10">
        <v>120</v>
      </c>
      <c r="AD10">
        <v>42</v>
      </c>
      <c r="AE10">
        <v>40</v>
      </c>
      <c r="AF10">
        <v>15</v>
      </c>
      <c r="AG10">
        <v>3</v>
      </c>
      <c r="AH10">
        <v>3</v>
      </c>
      <c r="AI10">
        <v>29</v>
      </c>
      <c r="AJ10">
        <v>96</v>
      </c>
      <c r="AK10">
        <v>54</v>
      </c>
      <c r="AL10">
        <v>176</v>
      </c>
      <c r="AM10">
        <v>342</v>
      </c>
      <c r="AN10">
        <v>275</v>
      </c>
      <c r="AO10">
        <v>217</v>
      </c>
      <c r="AP10">
        <v>274</v>
      </c>
      <c r="AQ10">
        <v>228</v>
      </c>
      <c r="AR10">
        <v>181</v>
      </c>
      <c r="AS10">
        <v>218</v>
      </c>
      <c r="AT10">
        <v>82</v>
      </c>
      <c r="AU10">
        <v>25</v>
      </c>
      <c r="AV10">
        <v>0</v>
      </c>
      <c r="AW10">
        <v>11</v>
      </c>
      <c r="AX10">
        <v>59</v>
      </c>
      <c r="AY10">
        <v>99</v>
      </c>
      <c r="AZ10">
        <v>150</v>
      </c>
      <c r="BA10">
        <v>202</v>
      </c>
      <c r="BB10">
        <v>208</v>
      </c>
      <c r="BC10">
        <v>179</v>
      </c>
      <c r="BD10">
        <v>174</v>
      </c>
      <c r="BE10">
        <v>191</v>
      </c>
      <c r="BF10">
        <v>218</v>
      </c>
      <c r="BG10">
        <v>228</v>
      </c>
      <c r="BH10">
        <v>221</v>
      </c>
      <c r="BI10">
        <v>229</v>
      </c>
      <c r="BJ10">
        <v>227</v>
      </c>
      <c r="BK10">
        <v>215</v>
      </c>
      <c r="BL10">
        <v>201</v>
      </c>
      <c r="BM10">
        <v>194</v>
      </c>
      <c r="BN10">
        <v>203</v>
      </c>
      <c r="BO10">
        <v>199</v>
      </c>
      <c r="BP10">
        <v>176</v>
      </c>
      <c r="BQ10">
        <v>86</v>
      </c>
      <c r="BR10">
        <v>65</v>
      </c>
      <c r="BS10">
        <v>35</v>
      </c>
      <c r="BT10">
        <v>7</v>
      </c>
      <c r="BU10">
        <v>3</v>
      </c>
      <c r="BV10">
        <v>18</v>
      </c>
      <c r="BW10">
        <v>10</v>
      </c>
      <c r="BX10">
        <v>1</v>
      </c>
      <c r="BY10">
        <v>102</v>
      </c>
      <c r="BZ10">
        <v>242</v>
      </c>
      <c r="CA10">
        <v>221</v>
      </c>
      <c r="CB10">
        <v>142</v>
      </c>
      <c r="CC10">
        <v>206</v>
      </c>
      <c r="CD10">
        <v>268</v>
      </c>
      <c r="CE10">
        <v>219</v>
      </c>
      <c r="CF10">
        <v>156</v>
      </c>
      <c r="CG10">
        <v>70</v>
      </c>
      <c r="CH10">
        <v>15</v>
      </c>
      <c r="CI10">
        <v>2</v>
      </c>
      <c r="CJ10">
        <v>10</v>
      </c>
      <c r="CK10">
        <v>66</v>
      </c>
      <c r="CL10">
        <v>110</v>
      </c>
      <c r="CM10">
        <v>153</v>
      </c>
      <c r="CN10">
        <v>182</v>
      </c>
      <c r="CO10">
        <v>155</v>
      </c>
      <c r="CP10">
        <v>145</v>
      </c>
      <c r="CQ10">
        <v>148</v>
      </c>
      <c r="CR10">
        <v>175</v>
      </c>
      <c r="CS10">
        <v>205</v>
      </c>
      <c r="CT10">
        <v>225</v>
      </c>
      <c r="CU10">
        <v>255</v>
      </c>
      <c r="CV10">
        <v>249</v>
      </c>
      <c r="CW10">
        <v>218</v>
      </c>
      <c r="CX10">
        <v>198</v>
      </c>
      <c r="CY10">
        <v>184</v>
      </c>
      <c r="CZ10">
        <v>181</v>
      </c>
      <c r="DA10">
        <v>176</v>
      </c>
      <c r="DB10">
        <v>187</v>
      </c>
      <c r="DC10">
        <v>183</v>
      </c>
      <c r="DD10">
        <v>125</v>
      </c>
      <c r="DE10">
        <v>73</v>
      </c>
      <c r="DF10">
        <v>42</v>
      </c>
      <c r="DG10">
        <v>30</v>
      </c>
      <c r="DH10">
        <v>27</v>
      </c>
      <c r="DI10">
        <v>15</v>
      </c>
      <c r="DJ10">
        <v>2</v>
      </c>
      <c r="DK10">
        <v>2</v>
      </c>
      <c r="DL10">
        <v>12</v>
      </c>
      <c r="DM10">
        <v>61</v>
      </c>
      <c r="DN10">
        <v>186</v>
      </c>
      <c r="DO10">
        <v>104</v>
      </c>
      <c r="DP10">
        <v>100</v>
      </c>
      <c r="DQ10">
        <v>142</v>
      </c>
    </row>
    <row r="11" spans="2:121" x14ac:dyDescent="0.35">
      <c r="B11">
        <v>3</v>
      </c>
      <c r="C11">
        <v>2</v>
      </c>
      <c r="D11">
        <v>1</v>
      </c>
      <c r="E11">
        <v>5</v>
      </c>
      <c r="F11">
        <v>8</v>
      </c>
      <c r="G11">
        <v>10</v>
      </c>
      <c r="H11">
        <v>12</v>
      </c>
      <c r="I11">
        <v>14</v>
      </c>
      <c r="J11">
        <v>15</v>
      </c>
      <c r="K11">
        <v>17</v>
      </c>
      <c r="L11">
        <v>18</v>
      </c>
      <c r="M11">
        <v>18</v>
      </c>
      <c r="N11">
        <v>18</v>
      </c>
      <c r="O11">
        <v>16</v>
      </c>
      <c r="P11">
        <v>13</v>
      </c>
      <c r="Q11">
        <v>11</v>
      </c>
      <c r="R11">
        <v>9</v>
      </c>
      <c r="S11">
        <v>7</v>
      </c>
      <c r="T11">
        <v>4</v>
      </c>
      <c r="U11">
        <v>2</v>
      </c>
      <c r="V11">
        <v>1</v>
      </c>
      <c r="W11">
        <v>1</v>
      </c>
      <c r="X11">
        <v>1</v>
      </c>
      <c r="Y11">
        <v>0</v>
      </c>
      <c r="Z11">
        <v>1</v>
      </c>
      <c r="AA11">
        <v>1</v>
      </c>
      <c r="AB11">
        <v>1</v>
      </c>
      <c r="AC11">
        <v>2</v>
      </c>
      <c r="AD11">
        <v>1</v>
      </c>
      <c r="AE11">
        <v>1</v>
      </c>
      <c r="AF11">
        <v>1</v>
      </c>
      <c r="AG11">
        <v>0</v>
      </c>
      <c r="AH11">
        <v>3</v>
      </c>
      <c r="AI11">
        <v>2</v>
      </c>
      <c r="AJ11">
        <v>0</v>
      </c>
      <c r="AK11">
        <v>8</v>
      </c>
      <c r="AL11">
        <v>12</v>
      </c>
      <c r="AM11">
        <v>15</v>
      </c>
      <c r="AN11">
        <v>17</v>
      </c>
      <c r="AO11">
        <v>19</v>
      </c>
      <c r="AP11">
        <v>21</v>
      </c>
      <c r="AQ11">
        <v>23</v>
      </c>
      <c r="AR11">
        <v>24</v>
      </c>
      <c r="AS11">
        <v>24</v>
      </c>
      <c r="AT11">
        <v>23</v>
      </c>
      <c r="AU11">
        <v>21</v>
      </c>
      <c r="AV11">
        <v>19</v>
      </c>
      <c r="AW11">
        <v>17</v>
      </c>
      <c r="AX11">
        <v>14</v>
      </c>
      <c r="AY11">
        <v>12</v>
      </c>
      <c r="AZ11">
        <v>9</v>
      </c>
      <c r="BA11">
        <v>6</v>
      </c>
      <c r="BB11">
        <v>4</v>
      </c>
      <c r="BC11">
        <v>1</v>
      </c>
      <c r="BD11">
        <v>1</v>
      </c>
      <c r="BE11">
        <v>1</v>
      </c>
      <c r="BF11">
        <v>3</v>
      </c>
      <c r="BG11">
        <v>2</v>
      </c>
      <c r="BH11">
        <v>0</v>
      </c>
      <c r="BI11">
        <v>0</v>
      </c>
      <c r="BJ11">
        <v>2</v>
      </c>
      <c r="BK11">
        <v>5</v>
      </c>
      <c r="BL11">
        <v>1</v>
      </c>
      <c r="BM11">
        <v>0</v>
      </c>
      <c r="BN11">
        <v>0</v>
      </c>
      <c r="BO11">
        <v>0</v>
      </c>
      <c r="BP11">
        <v>1</v>
      </c>
      <c r="BQ11">
        <v>13</v>
      </c>
      <c r="BR11">
        <v>16</v>
      </c>
      <c r="BS11">
        <v>20</v>
      </c>
      <c r="BT11">
        <v>22</v>
      </c>
      <c r="BU11">
        <v>25</v>
      </c>
      <c r="BV11">
        <v>27</v>
      </c>
      <c r="BW11">
        <v>29</v>
      </c>
      <c r="BX11">
        <v>30</v>
      </c>
      <c r="BY11">
        <v>30</v>
      </c>
      <c r="BZ11">
        <v>29</v>
      </c>
      <c r="CA11">
        <v>27</v>
      </c>
      <c r="CB11">
        <v>25</v>
      </c>
      <c r="CC11">
        <v>23</v>
      </c>
      <c r="CD11">
        <v>20</v>
      </c>
      <c r="CE11">
        <v>18</v>
      </c>
      <c r="CF11">
        <v>15</v>
      </c>
      <c r="CG11">
        <v>11</v>
      </c>
      <c r="CH11">
        <v>8</v>
      </c>
      <c r="CI11">
        <v>5</v>
      </c>
      <c r="CJ11">
        <v>2</v>
      </c>
      <c r="CK11">
        <v>1</v>
      </c>
      <c r="CL11">
        <v>1</v>
      </c>
      <c r="CM11">
        <v>5</v>
      </c>
      <c r="CN11">
        <v>8</v>
      </c>
      <c r="CO11">
        <v>2</v>
      </c>
      <c r="CP11">
        <v>5</v>
      </c>
      <c r="CQ11">
        <v>6</v>
      </c>
      <c r="CR11">
        <v>8</v>
      </c>
      <c r="CS11">
        <v>4</v>
      </c>
      <c r="CT11">
        <v>2</v>
      </c>
      <c r="CU11">
        <v>1</v>
      </c>
      <c r="CV11">
        <v>0</v>
      </c>
      <c r="CW11">
        <v>0</v>
      </c>
      <c r="CX11">
        <v>2</v>
      </c>
      <c r="CY11">
        <v>20</v>
      </c>
      <c r="CZ11">
        <v>24</v>
      </c>
      <c r="DA11">
        <v>27</v>
      </c>
      <c r="DB11">
        <v>30</v>
      </c>
      <c r="DC11">
        <v>33</v>
      </c>
      <c r="DD11">
        <v>34</v>
      </c>
      <c r="DE11">
        <v>35</v>
      </c>
      <c r="DF11">
        <v>35</v>
      </c>
      <c r="DG11">
        <v>34</v>
      </c>
      <c r="DH11">
        <v>33</v>
      </c>
      <c r="DI11">
        <v>31</v>
      </c>
      <c r="DJ11">
        <v>29</v>
      </c>
      <c r="DK11">
        <v>27</v>
      </c>
      <c r="DL11">
        <v>24</v>
      </c>
      <c r="DM11">
        <v>21</v>
      </c>
      <c r="DN11">
        <v>17</v>
      </c>
      <c r="DO11">
        <v>13</v>
      </c>
      <c r="DP11">
        <v>9</v>
      </c>
      <c r="DQ11">
        <v>5</v>
      </c>
    </row>
    <row r="12" spans="2:121" x14ac:dyDescent="0.35">
      <c r="B12">
        <v>64</v>
      </c>
      <c r="C12">
        <v>64</v>
      </c>
      <c r="D12">
        <v>62</v>
      </c>
      <c r="E12">
        <v>58</v>
      </c>
      <c r="F12">
        <v>53</v>
      </c>
      <c r="G12">
        <v>47</v>
      </c>
      <c r="H12">
        <v>41</v>
      </c>
      <c r="I12">
        <v>35</v>
      </c>
      <c r="J12">
        <v>30</v>
      </c>
      <c r="K12">
        <v>26</v>
      </c>
      <c r="L12">
        <v>23</v>
      </c>
      <c r="M12">
        <v>21</v>
      </c>
      <c r="N12">
        <v>21</v>
      </c>
      <c r="O12">
        <v>20</v>
      </c>
      <c r="P12">
        <v>17</v>
      </c>
      <c r="Q12">
        <v>12</v>
      </c>
      <c r="R12">
        <v>6</v>
      </c>
      <c r="S12">
        <v>1</v>
      </c>
      <c r="T12">
        <v>23</v>
      </c>
      <c r="U12">
        <v>55</v>
      </c>
      <c r="V12">
        <v>52</v>
      </c>
      <c r="W12">
        <v>31</v>
      </c>
      <c r="X12">
        <v>63</v>
      </c>
      <c r="Y12">
        <v>59</v>
      </c>
      <c r="Z12">
        <v>47</v>
      </c>
      <c r="AA12">
        <v>58</v>
      </c>
      <c r="AB12">
        <v>48</v>
      </c>
      <c r="AC12">
        <v>33</v>
      </c>
      <c r="AD12">
        <v>44</v>
      </c>
      <c r="AE12">
        <v>31</v>
      </c>
      <c r="AF12">
        <v>4</v>
      </c>
      <c r="AG12">
        <v>22</v>
      </c>
      <c r="AH12">
        <v>31</v>
      </c>
      <c r="AI12">
        <v>43</v>
      </c>
      <c r="AJ12">
        <v>36</v>
      </c>
      <c r="AK12">
        <v>16</v>
      </c>
      <c r="AL12">
        <v>17</v>
      </c>
      <c r="AM12">
        <v>12</v>
      </c>
      <c r="AN12">
        <v>60</v>
      </c>
      <c r="AO12">
        <v>0</v>
      </c>
      <c r="AP12">
        <v>1</v>
      </c>
      <c r="AQ12">
        <v>14</v>
      </c>
      <c r="AR12">
        <v>27</v>
      </c>
      <c r="AS12">
        <v>27</v>
      </c>
      <c r="AT12">
        <v>9</v>
      </c>
      <c r="AU12">
        <v>4</v>
      </c>
      <c r="AV12">
        <v>5</v>
      </c>
      <c r="AW12">
        <v>3</v>
      </c>
      <c r="AX12">
        <v>1</v>
      </c>
      <c r="AY12">
        <v>5</v>
      </c>
      <c r="AZ12">
        <v>9</v>
      </c>
      <c r="BA12">
        <v>9</v>
      </c>
      <c r="BB12">
        <v>10</v>
      </c>
      <c r="BC12">
        <v>14</v>
      </c>
      <c r="BD12">
        <v>14</v>
      </c>
      <c r="BE12">
        <v>18</v>
      </c>
      <c r="BF12">
        <v>31</v>
      </c>
      <c r="BG12">
        <v>57</v>
      </c>
      <c r="BH12">
        <v>84</v>
      </c>
      <c r="BI12">
        <v>137</v>
      </c>
      <c r="BJ12">
        <v>185</v>
      </c>
      <c r="BK12">
        <v>125</v>
      </c>
      <c r="BL12">
        <v>80</v>
      </c>
      <c r="BM12">
        <v>70</v>
      </c>
      <c r="BN12">
        <v>84</v>
      </c>
      <c r="BO12">
        <v>69</v>
      </c>
      <c r="BP12">
        <v>63</v>
      </c>
      <c r="BQ12">
        <v>64</v>
      </c>
      <c r="BR12">
        <v>74</v>
      </c>
      <c r="BS12">
        <v>98</v>
      </c>
      <c r="BT12">
        <v>75</v>
      </c>
      <c r="BU12">
        <v>94</v>
      </c>
      <c r="BV12">
        <v>97</v>
      </c>
      <c r="BW12">
        <v>80</v>
      </c>
      <c r="BX12">
        <v>71</v>
      </c>
      <c r="BY12">
        <v>80</v>
      </c>
      <c r="BZ12">
        <v>76</v>
      </c>
      <c r="CA12">
        <v>70</v>
      </c>
      <c r="CB12">
        <v>98</v>
      </c>
      <c r="CC12">
        <v>97</v>
      </c>
      <c r="CD12">
        <v>94</v>
      </c>
      <c r="CE12">
        <v>89</v>
      </c>
      <c r="CF12">
        <v>81</v>
      </c>
      <c r="CG12">
        <v>74</v>
      </c>
      <c r="CH12">
        <v>67</v>
      </c>
      <c r="CI12">
        <v>64</v>
      </c>
      <c r="CJ12">
        <v>61</v>
      </c>
      <c r="CK12">
        <v>58</v>
      </c>
      <c r="CL12">
        <v>57</v>
      </c>
      <c r="CM12">
        <v>55</v>
      </c>
      <c r="CN12">
        <v>60</v>
      </c>
      <c r="CO12">
        <v>66</v>
      </c>
      <c r="CP12">
        <v>72</v>
      </c>
      <c r="CQ12">
        <v>76</v>
      </c>
      <c r="CR12">
        <v>78</v>
      </c>
      <c r="CS12">
        <v>78</v>
      </c>
      <c r="CT12">
        <v>76</v>
      </c>
      <c r="CU12">
        <v>74</v>
      </c>
      <c r="CV12">
        <v>72</v>
      </c>
      <c r="CW12">
        <v>71</v>
      </c>
      <c r="CX12">
        <v>71</v>
      </c>
      <c r="CY12">
        <v>70</v>
      </c>
      <c r="CZ12">
        <v>67</v>
      </c>
      <c r="DA12">
        <v>63</v>
      </c>
      <c r="DB12">
        <v>57</v>
      </c>
      <c r="DC12">
        <v>50</v>
      </c>
      <c r="DD12">
        <v>44</v>
      </c>
      <c r="DE12">
        <v>40</v>
      </c>
      <c r="DF12">
        <v>36</v>
      </c>
      <c r="DG12">
        <v>34</v>
      </c>
      <c r="DH12">
        <v>31</v>
      </c>
      <c r="DI12">
        <v>29</v>
      </c>
      <c r="DJ12">
        <v>27</v>
      </c>
      <c r="DK12">
        <v>25</v>
      </c>
      <c r="DL12">
        <v>19</v>
      </c>
      <c r="DM12">
        <v>13</v>
      </c>
      <c r="DN12">
        <v>5</v>
      </c>
      <c r="DO12">
        <v>1</v>
      </c>
      <c r="DP12">
        <v>8</v>
      </c>
      <c r="DQ12">
        <v>48</v>
      </c>
    </row>
    <row r="13" spans="2:121" x14ac:dyDescent="0.35">
      <c r="B13">
        <v>164</v>
      </c>
      <c r="C13">
        <v>124</v>
      </c>
      <c r="D13">
        <v>121</v>
      </c>
      <c r="E13">
        <v>116</v>
      </c>
      <c r="F13">
        <v>100</v>
      </c>
      <c r="G13">
        <v>95</v>
      </c>
      <c r="H13">
        <v>92</v>
      </c>
      <c r="I13">
        <v>88</v>
      </c>
      <c r="J13">
        <v>83</v>
      </c>
      <c r="K13">
        <v>80</v>
      </c>
      <c r="L13">
        <v>78</v>
      </c>
      <c r="M13">
        <v>78</v>
      </c>
      <c r="N13">
        <v>83</v>
      </c>
      <c r="O13">
        <v>98</v>
      </c>
      <c r="P13">
        <v>126</v>
      </c>
      <c r="Q13">
        <v>155</v>
      </c>
      <c r="R13">
        <v>182</v>
      </c>
      <c r="S13">
        <v>213</v>
      </c>
      <c r="T13">
        <v>240</v>
      </c>
      <c r="U13">
        <v>253</v>
      </c>
      <c r="V13">
        <v>231</v>
      </c>
      <c r="W13">
        <v>203</v>
      </c>
      <c r="X13">
        <v>167</v>
      </c>
      <c r="Y13">
        <v>142</v>
      </c>
      <c r="Z13">
        <v>132</v>
      </c>
      <c r="AA13">
        <v>122</v>
      </c>
      <c r="AB13">
        <v>122</v>
      </c>
      <c r="AC13">
        <v>115</v>
      </c>
      <c r="AD13">
        <v>107</v>
      </c>
      <c r="AE13">
        <v>98</v>
      </c>
      <c r="AF13">
        <v>90</v>
      </c>
      <c r="AG13">
        <v>84</v>
      </c>
      <c r="AH13">
        <v>77</v>
      </c>
      <c r="AI13">
        <v>71</v>
      </c>
      <c r="AJ13">
        <v>65</v>
      </c>
      <c r="AK13">
        <v>57</v>
      </c>
      <c r="AL13">
        <v>49</v>
      </c>
      <c r="AM13">
        <v>39</v>
      </c>
      <c r="AN13">
        <v>30</v>
      </c>
      <c r="AO13">
        <v>21</v>
      </c>
      <c r="AP13">
        <v>13</v>
      </c>
      <c r="AQ13">
        <v>7</v>
      </c>
      <c r="AR13">
        <v>2</v>
      </c>
      <c r="AS13">
        <v>1</v>
      </c>
      <c r="AT13">
        <v>1</v>
      </c>
      <c r="AU13">
        <v>2</v>
      </c>
      <c r="AV13">
        <v>13</v>
      </c>
      <c r="AW13">
        <v>14</v>
      </c>
      <c r="AX13">
        <v>15</v>
      </c>
      <c r="AY13">
        <v>21</v>
      </c>
      <c r="AZ13">
        <v>21</v>
      </c>
      <c r="BA13">
        <v>48</v>
      </c>
      <c r="BB13">
        <v>97</v>
      </c>
      <c r="BC13">
        <v>78</v>
      </c>
      <c r="BD13">
        <v>58</v>
      </c>
      <c r="BE13">
        <v>27</v>
      </c>
      <c r="BF13">
        <v>3</v>
      </c>
      <c r="BG13">
        <v>9</v>
      </c>
      <c r="BH13">
        <v>11</v>
      </c>
      <c r="BI13">
        <v>14</v>
      </c>
      <c r="BJ13">
        <v>5</v>
      </c>
      <c r="BK13">
        <v>6</v>
      </c>
      <c r="BL13">
        <v>12</v>
      </c>
      <c r="BM13">
        <v>31</v>
      </c>
      <c r="BN13">
        <v>49</v>
      </c>
      <c r="BO13">
        <v>57</v>
      </c>
      <c r="BP13">
        <v>63</v>
      </c>
      <c r="BQ13">
        <v>76</v>
      </c>
      <c r="BR13">
        <v>92</v>
      </c>
      <c r="BS13">
        <v>105</v>
      </c>
      <c r="BT13">
        <v>68</v>
      </c>
      <c r="BU13">
        <v>49</v>
      </c>
      <c r="BV13">
        <v>43</v>
      </c>
      <c r="BW13">
        <v>37</v>
      </c>
      <c r="BX13">
        <v>28</v>
      </c>
      <c r="BY13">
        <v>23</v>
      </c>
      <c r="BZ13">
        <v>17</v>
      </c>
      <c r="CA13">
        <v>12</v>
      </c>
      <c r="CB13">
        <v>9</v>
      </c>
      <c r="CC13">
        <v>7</v>
      </c>
      <c r="CD13">
        <v>6</v>
      </c>
      <c r="CE13">
        <v>3</v>
      </c>
      <c r="CF13">
        <v>23</v>
      </c>
      <c r="CG13">
        <v>72</v>
      </c>
      <c r="CH13">
        <v>70</v>
      </c>
      <c r="CI13">
        <v>6</v>
      </c>
      <c r="CJ13">
        <v>6</v>
      </c>
      <c r="CK13">
        <v>17</v>
      </c>
      <c r="CL13">
        <v>37</v>
      </c>
      <c r="CM13">
        <v>1</v>
      </c>
      <c r="CN13">
        <v>0</v>
      </c>
      <c r="CO13">
        <v>0</v>
      </c>
      <c r="CP13">
        <v>0</v>
      </c>
      <c r="CQ13">
        <v>1</v>
      </c>
      <c r="CR13">
        <v>4</v>
      </c>
      <c r="CS13">
        <v>10</v>
      </c>
      <c r="CT13">
        <v>13</v>
      </c>
      <c r="CU13">
        <v>18</v>
      </c>
      <c r="CV13">
        <v>24</v>
      </c>
      <c r="CW13">
        <v>19</v>
      </c>
      <c r="CX13">
        <v>22</v>
      </c>
      <c r="CY13">
        <v>31</v>
      </c>
      <c r="CZ13">
        <v>42</v>
      </c>
      <c r="DA13">
        <v>38</v>
      </c>
      <c r="DB13">
        <v>32</v>
      </c>
      <c r="DC13">
        <v>26</v>
      </c>
      <c r="DD13">
        <v>27</v>
      </c>
      <c r="DE13">
        <v>20</v>
      </c>
      <c r="DF13">
        <v>7</v>
      </c>
      <c r="DG13">
        <v>1</v>
      </c>
      <c r="DH13">
        <v>0</v>
      </c>
      <c r="DI13">
        <v>0</v>
      </c>
      <c r="DJ13">
        <v>0</v>
      </c>
      <c r="DK13">
        <v>1</v>
      </c>
      <c r="DL13">
        <v>9</v>
      </c>
      <c r="DM13">
        <v>11</v>
      </c>
      <c r="DN13">
        <v>13</v>
      </c>
      <c r="DO13">
        <v>18</v>
      </c>
      <c r="DP13">
        <v>23</v>
      </c>
      <c r="DQ13">
        <v>29</v>
      </c>
    </row>
    <row r="14" spans="2:121" x14ac:dyDescent="0.35">
      <c r="B14">
        <v>11</v>
      </c>
      <c r="C14">
        <v>1</v>
      </c>
      <c r="D14">
        <v>2</v>
      </c>
      <c r="E14">
        <v>4</v>
      </c>
      <c r="F14">
        <v>11</v>
      </c>
      <c r="G14">
        <v>17</v>
      </c>
      <c r="H14">
        <v>27</v>
      </c>
      <c r="I14">
        <v>33</v>
      </c>
      <c r="J14">
        <v>26</v>
      </c>
      <c r="K14">
        <v>19</v>
      </c>
      <c r="L14">
        <v>11</v>
      </c>
      <c r="M14">
        <v>10</v>
      </c>
      <c r="N14">
        <v>3</v>
      </c>
      <c r="O14">
        <v>100</v>
      </c>
      <c r="P14">
        <v>200</v>
      </c>
      <c r="Q14">
        <v>222</v>
      </c>
      <c r="R14">
        <v>149</v>
      </c>
      <c r="S14">
        <v>271</v>
      </c>
      <c r="T14">
        <v>480</v>
      </c>
      <c r="U14">
        <v>538</v>
      </c>
      <c r="V14">
        <v>433</v>
      </c>
      <c r="W14">
        <v>358</v>
      </c>
      <c r="X14">
        <v>296</v>
      </c>
      <c r="Y14">
        <v>168</v>
      </c>
      <c r="Z14">
        <v>141</v>
      </c>
      <c r="AA14">
        <v>74</v>
      </c>
      <c r="AB14">
        <v>47</v>
      </c>
      <c r="AC14">
        <v>10</v>
      </c>
      <c r="AD14">
        <v>0</v>
      </c>
      <c r="AE14">
        <v>0</v>
      </c>
      <c r="AF14">
        <v>5</v>
      </c>
      <c r="AG14">
        <v>18</v>
      </c>
      <c r="AH14">
        <v>37</v>
      </c>
      <c r="AI14">
        <v>61</v>
      </c>
      <c r="AJ14">
        <v>69</v>
      </c>
      <c r="AK14">
        <v>93</v>
      </c>
      <c r="AL14">
        <v>73</v>
      </c>
      <c r="AM14">
        <v>70</v>
      </c>
      <c r="AN14">
        <v>57</v>
      </c>
      <c r="AO14">
        <v>46</v>
      </c>
      <c r="AP14">
        <v>35</v>
      </c>
      <c r="AQ14">
        <v>29</v>
      </c>
      <c r="AR14">
        <v>26</v>
      </c>
      <c r="AS14">
        <v>23</v>
      </c>
      <c r="AT14">
        <v>20</v>
      </c>
      <c r="AU14">
        <v>15</v>
      </c>
      <c r="AV14">
        <v>6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3</v>
      </c>
      <c r="BI14">
        <v>7</v>
      </c>
      <c r="BJ14">
        <v>13</v>
      </c>
      <c r="BK14">
        <v>13</v>
      </c>
      <c r="BL14">
        <v>20</v>
      </c>
      <c r="BM14">
        <v>23</v>
      </c>
      <c r="BN14">
        <v>16</v>
      </c>
      <c r="BO14">
        <v>13</v>
      </c>
      <c r="BP14">
        <v>17</v>
      </c>
      <c r="BQ14">
        <v>13</v>
      </c>
      <c r="BR14">
        <v>15</v>
      </c>
      <c r="BS14">
        <v>18</v>
      </c>
      <c r="BT14">
        <v>20</v>
      </c>
      <c r="BU14">
        <v>22</v>
      </c>
      <c r="BV14">
        <v>26</v>
      </c>
      <c r="BW14">
        <v>32</v>
      </c>
      <c r="BX14">
        <v>38</v>
      </c>
      <c r="BY14">
        <v>46</v>
      </c>
      <c r="BZ14">
        <v>55</v>
      </c>
      <c r="CA14">
        <v>65</v>
      </c>
      <c r="CB14">
        <v>130</v>
      </c>
      <c r="CC14">
        <v>135</v>
      </c>
      <c r="CD14">
        <v>149</v>
      </c>
      <c r="CE14">
        <v>143</v>
      </c>
      <c r="CF14">
        <v>174</v>
      </c>
      <c r="CG14">
        <v>263</v>
      </c>
      <c r="CH14">
        <v>313</v>
      </c>
      <c r="CI14">
        <v>240</v>
      </c>
      <c r="CJ14">
        <v>218</v>
      </c>
      <c r="CK14">
        <v>264</v>
      </c>
      <c r="CL14">
        <v>339</v>
      </c>
      <c r="CM14">
        <v>325</v>
      </c>
      <c r="CN14">
        <v>236</v>
      </c>
      <c r="CO14">
        <v>213</v>
      </c>
      <c r="CP14">
        <v>203</v>
      </c>
      <c r="CQ14">
        <v>189</v>
      </c>
      <c r="CR14">
        <v>239</v>
      </c>
      <c r="CS14">
        <v>287</v>
      </c>
      <c r="CT14">
        <v>282</v>
      </c>
      <c r="CU14">
        <v>307</v>
      </c>
      <c r="CV14">
        <v>274</v>
      </c>
      <c r="CW14">
        <v>277</v>
      </c>
      <c r="CX14">
        <v>274</v>
      </c>
      <c r="CY14">
        <v>241</v>
      </c>
      <c r="CZ14">
        <v>233</v>
      </c>
      <c r="DA14">
        <v>279</v>
      </c>
      <c r="DB14">
        <v>183</v>
      </c>
      <c r="DC14">
        <v>178</v>
      </c>
      <c r="DD14">
        <v>170</v>
      </c>
      <c r="DE14">
        <v>151</v>
      </c>
      <c r="DF14">
        <v>150</v>
      </c>
      <c r="DG14">
        <v>139</v>
      </c>
      <c r="DH14">
        <v>128</v>
      </c>
      <c r="DI14">
        <v>113</v>
      </c>
      <c r="DJ14">
        <v>99</v>
      </c>
      <c r="DK14">
        <v>93</v>
      </c>
      <c r="DL14">
        <v>92</v>
      </c>
      <c r="DM14">
        <v>95</v>
      </c>
      <c r="DN14">
        <v>106</v>
      </c>
      <c r="DO14">
        <v>145</v>
      </c>
      <c r="DP14">
        <v>223</v>
      </c>
      <c r="DQ14">
        <v>349</v>
      </c>
    </row>
    <row r="15" spans="2:121" x14ac:dyDescent="0.35">
      <c r="B15">
        <v>8</v>
      </c>
      <c r="C15">
        <v>11</v>
      </c>
      <c r="D15">
        <v>16</v>
      </c>
      <c r="E15">
        <v>18</v>
      </c>
      <c r="F15">
        <v>21</v>
      </c>
      <c r="G15">
        <v>24</v>
      </c>
      <c r="H15">
        <v>24</v>
      </c>
      <c r="I15">
        <v>22</v>
      </c>
      <c r="J15">
        <v>22</v>
      </c>
      <c r="K15">
        <v>20</v>
      </c>
      <c r="L15">
        <v>20</v>
      </c>
      <c r="M15">
        <v>23</v>
      </c>
      <c r="N15">
        <v>25</v>
      </c>
      <c r="O15">
        <v>18</v>
      </c>
      <c r="P15">
        <v>8</v>
      </c>
      <c r="Q15">
        <v>5</v>
      </c>
      <c r="R15">
        <v>6</v>
      </c>
      <c r="S15">
        <v>9</v>
      </c>
      <c r="T15">
        <v>11</v>
      </c>
      <c r="U15">
        <v>15</v>
      </c>
      <c r="V15">
        <v>20</v>
      </c>
      <c r="W15">
        <v>27</v>
      </c>
      <c r="X15">
        <v>34</v>
      </c>
      <c r="Y15">
        <v>28</v>
      </c>
      <c r="Z15">
        <v>19</v>
      </c>
      <c r="AA15">
        <v>15</v>
      </c>
      <c r="AB15">
        <v>12</v>
      </c>
      <c r="AC15">
        <v>18</v>
      </c>
      <c r="AD15">
        <v>27</v>
      </c>
      <c r="AE15">
        <v>35</v>
      </c>
      <c r="AF15">
        <v>37</v>
      </c>
      <c r="AG15">
        <v>31</v>
      </c>
      <c r="AH15">
        <v>27</v>
      </c>
      <c r="AI15">
        <v>32</v>
      </c>
      <c r="AJ15">
        <v>35</v>
      </c>
      <c r="AK15">
        <v>30</v>
      </c>
      <c r="AL15">
        <v>31</v>
      </c>
      <c r="AM15">
        <v>36</v>
      </c>
      <c r="AN15">
        <v>35</v>
      </c>
      <c r="AO15">
        <v>31</v>
      </c>
      <c r="AP15">
        <v>32</v>
      </c>
      <c r="AQ15">
        <v>38</v>
      </c>
      <c r="AR15">
        <v>45</v>
      </c>
      <c r="AS15">
        <v>50</v>
      </c>
      <c r="AT15">
        <v>56</v>
      </c>
      <c r="AU15">
        <v>57</v>
      </c>
      <c r="AV15">
        <v>64</v>
      </c>
      <c r="AW15">
        <v>72</v>
      </c>
      <c r="AX15">
        <v>73</v>
      </c>
      <c r="AY15">
        <v>76</v>
      </c>
      <c r="AZ15">
        <v>85</v>
      </c>
      <c r="BA15">
        <v>97</v>
      </c>
      <c r="BB15">
        <v>112</v>
      </c>
      <c r="BC15">
        <v>127</v>
      </c>
      <c r="BD15">
        <v>147</v>
      </c>
      <c r="BE15">
        <v>141</v>
      </c>
      <c r="BF15">
        <v>137</v>
      </c>
      <c r="BG15">
        <v>153</v>
      </c>
      <c r="BH15">
        <v>150</v>
      </c>
      <c r="BI15">
        <v>158</v>
      </c>
      <c r="BJ15">
        <v>176</v>
      </c>
      <c r="BK15">
        <v>254</v>
      </c>
      <c r="BL15">
        <v>406</v>
      </c>
      <c r="BM15">
        <v>442</v>
      </c>
      <c r="BN15">
        <v>458</v>
      </c>
      <c r="BO15">
        <v>539</v>
      </c>
      <c r="BP15">
        <v>374</v>
      </c>
      <c r="BQ15">
        <v>368</v>
      </c>
      <c r="BR15">
        <v>369</v>
      </c>
      <c r="BS15">
        <v>392</v>
      </c>
      <c r="BT15">
        <v>311</v>
      </c>
      <c r="BU15">
        <v>293</v>
      </c>
      <c r="BV15">
        <v>276</v>
      </c>
      <c r="BW15">
        <v>365</v>
      </c>
      <c r="BX15">
        <v>389</v>
      </c>
      <c r="BY15">
        <v>387</v>
      </c>
      <c r="BZ15">
        <v>357</v>
      </c>
      <c r="CA15">
        <v>325</v>
      </c>
      <c r="CB15">
        <v>286</v>
      </c>
      <c r="CC15">
        <v>228</v>
      </c>
      <c r="CD15">
        <v>172</v>
      </c>
      <c r="CE15">
        <v>144</v>
      </c>
      <c r="CF15">
        <v>129</v>
      </c>
      <c r="CG15">
        <v>106</v>
      </c>
      <c r="CH15">
        <v>105</v>
      </c>
      <c r="CI15">
        <v>107</v>
      </c>
      <c r="CJ15">
        <v>110</v>
      </c>
      <c r="CK15">
        <v>119</v>
      </c>
      <c r="CL15">
        <v>136</v>
      </c>
      <c r="CM15">
        <v>173</v>
      </c>
      <c r="CN15">
        <v>223</v>
      </c>
      <c r="CO15">
        <v>276</v>
      </c>
      <c r="CP15">
        <v>304</v>
      </c>
      <c r="CQ15">
        <v>314</v>
      </c>
      <c r="CR15">
        <v>315</v>
      </c>
      <c r="CS15">
        <v>310</v>
      </c>
      <c r="CT15">
        <v>304</v>
      </c>
      <c r="CU15">
        <v>309</v>
      </c>
      <c r="CV15">
        <v>352</v>
      </c>
      <c r="CW15">
        <v>389</v>
      </c>
      <c r="CX15">
        <v>368</v>
      </c>
      <c r="CY15">
        <v>299</v>
      </c>
      <c r="CZ15">
        <v>229</v>
      </c>
      <c r="DA15">
        <v>184</v>
      </c>
      <c r="DB15">
        <v>154</v>
      </c>
      <c r="DC15">
        <v>143</v>
      </c>
      <c r="DD15">
        <v>146</v>
      </c>
      <c r="DE15">
        <v>117</v>
      </c>
      <c r="DF15">
        <v>105</v>
      </c>
      <c r="DG15">
        <v>91</v>
      </c>
      <c r="DH15">
        <v>79</v>
      </c>
      <c r="DI15">
        <v>67</v>
      </c>
      <c r="DJ15">
        <v>49</v>
      </c>
      <c r="DK15">
        <v>30</v>
      </c>
      <c r="DL15">
        <v>15</v>
      </c>
      <c r="DM15">
        <v>6</v>
      </c>
      <c r="DN15">
        <v>2</v>
      </c>
      <c r="DO15">
        <v>1</v>
      </c>
      <c r="DP15">
        <v>0</v>
      </c>
      <c r="DQ15">
        <v>7</v>
      </c>
    </row>
    <row r="16" spans="2:121" x14ac:dyDescent="0.35">
      <c r="B16">
        <v>12</v>
      </c>
      <c r="C16">
        <v>14</v>
      </c>
      <c r="D16">
        <v>15</v>
      </c>
      <c r="E16">
        <v>20</v>
      </c>
      <c r="F16">
        <v>29</v>
      </c>
      <c r="G16">
        <v>22</v>
      </c>
      <c r="H16">
        <v>22</v>
      </c>
      <c r="I16">
        <v>23</v>
      </c>
      <c r="J16">
        <v>25</v>
      </c>
      <c r="K16">
        <v>26</v>
      </c>
      <c r="L16">
        <v>26</v>
      </c>
      <c r="M16">
        <v>29</v>
      </c>
      <c r="N16">
        <v>29</v>
      </c>
      <c r="O16">
        <v>31</v>
      </c>
      <c r="P16">
        <v>29</v>
      </c>
      <c r="Q16">
        <v>27</v>
      </c>
      <c r="R16">
        <v>29</v>
      </c>
      <c r="S16">
        <v>36</v>
      </c>
      <c r="T16">
        <v>42</v>
      </c>
      <c r="U16">
        <v>45</v>
      </c>
      <c r="V16">
        <v>41</v>
      </c>
      <c r="W16">
        <v>49</v>
      </c>
      <c r="X16">
        <v>47</v>
      </c>
      <c r="Y16">
        <v>45</v>
      </c>
      <c r="Z16">
        <v>45</v>
      </c>
      <c r="AA16">
        <v>54</v>
      </c>
      <c r="AB16">
        <v>55</v>
      </c>
      <c r="AC16">
        <v>42</v>
      </c>
      <c r="AD16">
        <v>42</v>
      </c>
      <c r="AE16">
        <v>42</v>
      </c>
      <c r="AF16">
        <v>51</v>
      </c>
      <c r="AG16">
        <v>47</v>
      </c>
      <c r="AH16">
        <v>44</v>
      </c>
      <c r="AI16">
        <v>47</v>
      </c>
      <c r="AJ16">
        <v>47</v>
      </c>
      <c r="AK16">
        <v>51</v>
      </c>
      <c r="AL16">
        <v>47</v>
      </c>
      <c r="AM16">
        <v>44</v>
      </c>
      <c r="AN16">
        <v>46</v>
      </c>
      <c r="AO16">
        <v>50</v>
      </c>
      <c r="AP16">
        <v>52</v>
      </c>
      <c r="AQ16">
        <v>57</v>
      </c>
      <c r="AR16">
        <v>62</v>
      </c>
      <c r="AS16">
        <v>69</v>
      </c>
      <c r="AT16">
        <v>78</v>
      </c>
      <c r="AU16">
        <v>76</v>
      </c>
      <c r="AV16">
        <v>74</v>
      </c>
      <c r="AW16">
        <v>75</v>
      </c>
      <c r="AX16">
        <v>82</v>
      </c>
      <c r="AY16">
        <v>88</v>
      </c>
      <c r="AZ16">
        <v>93</v>
      </c>
      <c r="BA16">
        <v>97</v>
      </c>
      <c r="BB16">
        <v>103</v>
      </c>
      <c r="BC16">
        <v>117</v>
      </c>
      <c r="BD16">
        <v>145</v>
      </c>
      <c r="BE16">
        <v>168</v>
      </c>
      <c r="BF16">
        <v>149</v>
      </c>
      <c r="BG16">
        <v>154</v>
      </c>
      <c r="BH16">
        <v>168</v>
      </c>
      <c r="BI16">
        <v>181</v>
      </c>
      <c r="BJ16">
        <v>199</v>
      </c>
      <c r="BK16">
        <v>191</v>
      </c>
      <c r="BL16">
        <v>183</v>
      </c>
      <c r="BM16">
        <v>183</v>
      </c>
      <c r="BN16">
        <v>190</v>
      </c>
      <c r="BO16">
        <v>209</v>
      </c>
      <c r="BP16">
        <v>231</v>
      </c>
      <c r="BQ16">
        <v>298</v>
      </c>
      <c r="BR16">
        <v>251</v>
      </c>
      <c r="BS16">
        <v>340</v>
      </c>
      <c r="BT16">
        <v>280</v>
      </c>
      <c r="BU16">
        <v>292</v>
      </c>
      <c r="BV16">
        <v>332</v>
      </c>
      <c r="BW16">
        <v>380</v>
      </c>
      <c r="BX16">
        <v>355</v>
      </c>
      <c r="BY16">
        <v>282</v>
      </c>
      <c r="BZ16">
        <v>260</v>
      </c>
      <c r="CA16">
        <v>212</v>
      </c>
      <c r="CB16">
        <v>164</v>
      </c>
      <c r="CC16">
        <v>143</v>
      </c>
      <c r="CD16">
        <v>128</v>
      </c>
      <c r="CE16">
        <v>114</v>
      </c>
      <c r="CF16">
        <v>103</v>
      </c>
      <c r="CG16">
        <v>99</v>
      </c>
      <c r="CH16">
        <v>109</v>
      </c>
      <c r="CI16">
        <v>115</v>
      </c>
      <c r="CJ16">
        <v>114</v>
      </c>
      <c r="CK16">
        <v>107</v>
      </c>
      <c r="CL16">
        <v>98</v>
      </c>
      <c r="CM16">
        <v>89</v>
      </c>
      <c r="CN16">
        <v>90</v>
      </c>
      <c r="CO16">
        <v>113</v>
      </c>
      <c r="CP16">
        <v>169</v>
      </c>
      <c r="CQ16">
        <v>271</v>
      </c>
      <c r="CR16">
        <v>402</v>
      </c>
      <c r="CS16">
        <v>512</v>
      </c>
      <c r="CT16">
        <v>552</v>
      </c>
      <c r="CU16">
        <v>493</v>
      </c>
      <c r="CV16">
        <v>390</v>
      </c>
      <c r="CW16">
        <v>293</v>
      </c>
      <c r="CX16">
        <v>215</v>
      </c>
      <c r="CY16">
        <v>162</v>
      </c>
      <c r="CZ16">
        <v>145</v>
      </c>
      <c r="DA16">
        <v>123</v>
      </c>
      <c r="DB16">
        <v>76</v>
      </c>
      <c r="DC16">
        <v>84</v>
      </c>
      <c r="DD16">
        <v>121</v>
      </c>
      <c r="DE16">
        <v>147</v>
      </c>
      <c r="DF16">
        <v>138</v>
      </c>
      <c r="DG16">
        <v>109</v>
      </c>
      <c r="DH16">
        <v>78</v>
      </c>
      <c r="DI16">
        <v>57</v>
      </c>
      <c r="DJ16">
        <v>41</v>
      </c>
      <c r="DK16">
        <v>20</v>
      </c>
      <c r="DL16">
        <v>1</v>
      </c>
      <c r="DM16">
        <v>0</v>
      </c>
      <c r="DN16">
        <v>3</v>
      </c>
      <c r="DO16">
        <v>7</v>
      </c>
      <c r="DP16">
        <v>12</v>
      </c>
      <c r="DQ16">
        <v>15</v>
      </c>
    </row>
    <row r="17" spans="2:121" x14ac:dyDescent="0.35">
      <c r="B17">
        <v>0</v>
      </c>
      <c r="C17">
        <v>0</v>
      </c>
      <c r="D17">
        <v>0</v>
      </c>
      <c r="E17">
        <v>3</v>
      </c>
      <c r="F17">
        <v>6</v>
      </c>
      <c r="G17">
        <v>7</v>
      </c>
      <c r="H17">
        <v>9</v>
      </c>
      <c r="I17">
        <v>10</v>
      </c>
      <c r="J17">
        <v>13</v>
      </c>
      <c r="K17">
        <v>14</v>
      </c>
      <c r="L17">
        <v>16</v>
      </c>
      <c r="M17">
        <v>17</v>
      </c>
      <c r="N17">
        <v>20</v>
      </c>
      <c r="O17">
        <v>22</v>
      </c>
      <c r="P17">
        <v>25</v>
      </c>
      <c r="Q17">
        <v>27</v>
      </c>
      <c r="R17">
        <v>31</v>
      </c>
      <c r="S17">
        <v>34</v>
      </c>
      <c r="T17">
        <v>36</v>
      </c>
      <c r="U17">
        <v>35</v>
      </c>
      <c r="V17">
        <v>39</v>
      </c>
      <c r="W17">
        <v>41</v>
      </c>
      <c r="X17">
        <v>43</v>
      </c>
      <c r="Y17">
        <v>43</v>
      </c>
      <c r="Z17">
        <v>47</v>
      </c>
      <c r="AA17">
        <v>51</v>
      </c>
      <c r="AB17">
        <v>51</v>
      </c>
      <c r="AC17">
        <v>54</v>
      </c>
      <c r="AD17">
        <v>56</v>
      </c>
      <c r="AE17">
        <v>51</v>
      </c>
      <c r="AF17">
        <v>58</v>
      </c>
      <c r="AG17">
        <v>60</v>
      </c>
      <c r="AH17">
        <v>66</v>
      </c>
      <c r="AI17">
        <v>70</v>
      </c>
      <c r="AJ17">
        <v>64</v>
      </c>
      <c r="AK17">
        <v>69</v>
      </c>
      <c r="AL17">
        <v>74</v>
      </c>
      <c r="AM17">
        <v>69</v>
      </c>
      <c r="AN17">
        <v>64</v>
      </c>
      <c r="AO17">
        <v>72</v>
      </c>
      <c r="AP17">
        <v>76</v>
      </c>
      <c r="AQ17">
        <v>66</v>
      </c>
      <c r="AR17">
        <v>66</v>
      </c>
      <c r="AS17">
        <v>70</v>
      </c>
      <c r="AT17">
        <v>75</v>
      </c>
      <c r="AU17">
        <v>73</v>
      </c>
      <c r="AV17">
        <v>68</v>
      </c>
      <c r="AW17">
        <v>71</v>
      </c>
      <c r="AX17">
        <v>77</v>
      </c>
      <c r="AY17">
        <v>93</v>
      </c>
      <c r="AZ17">
        <v>85</v>
      </c>
      <c r="BA17">
        <v>102</v>
      </c>
      <c r="BB17">
        <v>79</v>
      </c>
      <c r="BC17">
        <v>68</v>
      </c>
      <c r="BD17">
        <v>71</v>
      </c>
      <c r="BE17">
        <v>69</v>
      </c>
      <c r="BF17">
        <v>77</v>
      </c>
      <c r="BG17">
        <v>102</v>
      </c>
      <c r="BH17">
        <v>108</v>
      </c>
      <c r="BI17">
        <v>100</v>
      </c>
      <c r="BJ17">
        <v>85</v>
      </c>
      <c r="BK17">
        <v>89</v>
      </c>
      <c r="BL17">
        <v>98</v>
      </c>
      <c r="BM17">
        <v>108</v>
      </c>
      <c r="BN17">
        <v>115</v>
      </c>
      <c r="BO17">
        <v>143</v>
      </c>
      <c r="BP17">
        <v>172</v>
      </c>
      <c r="BQ17">
        <v>175</v>
      </c>
      <c r="BR17">
        <v>195</v>
      </c>
      <c r="BS17">
        <v>223</v>
      </c>
      <c r="BT17">
        <v>197</v>
      </c>
      <c r="BU17">
        <v>213</v>
      </c>
      <c r="BV17">
        <v>217</v>
      </c>
      <c r="BW17">
        <v>167</v>
      </c>
      <c r="BX17">
        <v>131</v>
      </c>
      <c r="BY17">
        <v>140</v>
      </c>
      <c r="BZ17">
        <v>157</v>
      </c>
      <c r="CA17">
        <v>162</v>
      </c>
      <c r="CB17">
        <v>140</v>
      </c>
      <c r="CC17">
        <v>147</v>
      </c>
      <c r="CD17">
        <v>129</v>
      </c>
      <c r="CE17">
        <v>125</v>
      </c>
      <c r="CF17">
        <v>122</v>
      </c>
      <c r="CG17">
        <v>152</v>
      </c>
      <c r="CH17">
        <v>196</v>
      </c>
      <c r="CI17">
        <v>173</v>
      </c>
      <c r="CJ17">
        <v>169</v>
      </c>
      <c r="CK17">
        <v>170</v>
      </c>
      <c r="CL17">
        <v>158</v>
      </c>
      <c r="CM17">
        <v>135</v>
      </c>
      <c r="CN17">
        <v>113</v>
      </c>
      <c r="CO17">
        <v>107</v>
      </c>
      <c r="CP17">
        <v>106</v>
      </c>
      <c r="CQ17">
        <v>103</v>
      </c>
      <c r="CR17">
        <v>94</v>
      </c>
      <c r="CS17">
        <v>84</v>
      </c>
      <c r="CT17">
        <v>77</v>
      </c>
      <c r="CU17">
        <v>77</v>
      </c>
      <c r="CV17">
        <v>79</v>
      </c>
      <c r="CW17">
        <v>79</v>
      </c>
      <c r="CX17">
        <v>79</v>
      </c>
      <c r="CY17">
        <v>76</v>
      </c>
      <c r="CZ17">
        <v>72</v>
      </c>
      <c r="DA17">
        <v>67</v>
      </c>
      <c r="DB17">
        <v>61</v>
      </c>
      <c r="DC17">
        <v>56</v>
      </c>
      <c r="DD17">
        <v>51</v>
      </c>
      <c r="DE17">
        <v>72</v>
      </c>
      <c r="DF17">
        <v>75</v>
      </c>
      <c r="DG17">
        <v>71</v>
      </c>
      <c r="DH17">
        <v>64</v>
      </c>
      <c r="DI17">
        <v>60</v>
      </c>
      <c r="DJ17">
        <v>63</v>
      </c>
      <c r="DK17">
        <v>66</v>
      </c>
      <c r="DL17">
        <v>67</v>
      </c>
      <c r="DM17">
        <v>64</v>
      </c>
      <c r="DN17">
        <v>59</v>
      </c>
      <c r="DO17">
        <v>50</v>
      </c>
      <c r="DP17">
        <v>41</v>
      </c>
      <c r="DQ17">
        <v>32</v>
      </c>
    </row>
    <row r="18" spans="2:121" x14ac:dyDescent="0.35">
      <c r="B18">
        <v>98</v>
      </c>
      <c r="C18">
        <v>86</v>
      </c>
      <c r="D18">
        <v>86</v>
      </c>
      <c r="E18">
        <v>94</v>
      </c>
      <c r="F18">
        <v>90</v>
      </c>
      <c r="G18">
        <v>94</v>
      </c>
      <c r="H18">
        <v>105</v>
      </c>
      <c r="I18">
        <v>117</v>
      </c>
      <c r="J18">
        <v>122</v>
      </c>
      <c r="K18">
        <v>121</v>
      </c>
      <c r="L18">
        <v>118</v>
      </c>
      <c r="M18">
        <v>114</v>
      </c>
      <c r="N18">
        <v>115</v>
      </c>
      <c r="O18">
        <v>110</v>
      </c>
      <c r="P18">
        <v>109</v>
      </c>
      <c r="Q18">
        <v>105</v>
      </c>
      <c r="R18">
        <v>92</v>
      </c>
      <c r="S18">
        <v>87</v>
      </c>
      <c r="T18">
        <v>83</v>
      </c>
      <c r="U18">
        <v>88</v>
      </c>
      <c r="V18">
        <v>79</v>
      </c>
      <c r="W18">
        <v>85</v>
      </c>
      <c r="X18">
        <v>80</v>
      </c>
      <c r="Y18">
        <v>80</v>
      </c>
      <c r="Z18">
        <v>94</v>
      </c>
      <c r="AA18">
        <v>86</v>
      </c>
      <c r="AB18">
        <v>84</v>
      </c>
      <c r="AC18">
        <v>85</v>
      </c>
      <c r="AD18">
        <v>78</v>
      </c>
      <c r="AE18">
        <v>74</v>
      </c>
      <c r="AF18">
        <v>64</v>
      </c>
      <c r="AG18">
        <v>61</v>
      </c>
      <c r="AH18">
        <v>66</v>
      </c>
      <c r="AI18">
        <v>77</v>
      </c>
      <c r="AJ18">
        <v>73</v>
      </c>
      <c r="AK18">
        <v>75</v>
      </c>
      <c r="AL18">
        <v>79</v>
      </c>
      <c r="AM18">
        <v>76</v>
      </c>
      <c r="AN18">
        <v>73</v>
      </c>
      <c r="AO18">
        <v>68</v>
      </c>
      <c r="AP18">
        <v>61</v>
      </c>
      <c r="AQ18">
        <v>54</v>
      </c>
      <c r="AR18">
        <v>48</v>
      </c>
      <c r="AS18">
        <v>50</v>
      </c>
      <c r="AT18">
        <v>55</v>
      </c>
      <c r="AU18">
        <v>58</v>
      </c>
      <c r="AV18">
        <v>58</v>
      </c>
      <c r="AW18">
        <v>55</v>
      </c>
      <c r="AX18">
        <v>48</v>
      </c>
      <c r="AY18">
        <v>41</v>
      </c>
      <c r="AZ18">
        <v>34</v>
      </c>
      <c r="BA18">
        <v>29</v>
      </c>
      <c r="BB18">
        <v>25</v>
      </c>
      <c r="BC18">
        <v>21</v>
      </c>
      <c r="BD18">
        <v>19</v>
      </c>
      <c r="BE18">
        <v>15</v>
      </c>
      <c r="BF18">
        <v>11</v>
      </c>
      <c r="BG18">
        <v>7</v>
      </c>
      <c r="BH18">
        <v>4</v>
      </c>
      <c r="BI18">
        <v>1</v>
      </c>
      <c r="BJ18">
        <v>0</v>
      </c>
      <c r="BK18">
        <v>1</v>
      </c>
      <c r="BL18">
        <v>5</v>
      </c>
      <c r="BM18">
        <v>9</v>
      </c>
      <c r="BN18">
        <v>11</v>
      </c>
      <c r="BO18">
        <v>14</v>
      </c>
      <c r="BP18">
        <v>14</v>
      </c>
      <c r="BQ18">
        <v>17</v>
      </c>
      <c r="BR18">
        <v>19</v>
      </c>
      <c r="BS18">
        <v>21</v>
      </c>
      <c r="BT18">
        <v>24</v>
      </c>
      <c r="BU18">
        <v>28</v>
      </c>
      <c r="BV18">
        <v>33</v>
      </c>
      <c r="BW18">
        <v>37</v>
      </c>
      <c r="BX18">
        <v>42</v>
      </c>
      <c r="BY18">
        <v>48</v>
      </c>
      <c r="BZ18">
        <v>53</v>
      </c>
      <c r="CA18">
        <v>53</v>
      </c>
      <c r="CB18">
        <v>56</v>
      </c>
      <c r="CC18">
        <v>61</v>
      </c>
      <c r="CD18">
        <v>63</v>
      </c>
      <c r="CE18">
        <v>64</v>
      </c>
      <c r="CF18">
        <v>64</v>
      </c>
      <c r="CG18">
        <v>63</v>
      </c>
      <c r="CH18">
        <v>65</v>
      </c>
      <c r="CI18">
        <v>72</v>
      </c>
      <c r="CJ18">
        <v>75</v>
      </c>
      <c r="CK18">
        <v>77</v>
      </c>
      <c r="CL18">
        <v>87</v>
      </c>
      <c r="CM18">
        <v>97</v>
      </c>
      <c r="CN18">
        <v>99</v>
      </c>
      <c r="CO18">
        <v>99</v>
      </c>
      <c r="CP18">
        <v>104</v>
      </c>
      <c r="CQ18">
        <v>104</v>
      </c>
      <c r="CR18">
        <v>101</v>
      </c>
      <c r="CS18">
        <v>103</v>
      </c>
      <c r="CT18">
        <v>92</v>
      </c>
      <c r="CU18">
        <v>81</v>
      </c>
      <c r="CV18">
        <v>76</v>
      </c>
      <c r="CW18">
        <v>82</v>
      </c>
      <c r="CX18">
        <v>91</v>
      </c>
      <c r="CY18">
        <v>88</v>
      </c>
      <c r="CZ18">
        <v>93</v>
      </c>
      <c r="DA18">
        <v>94</v>
      </c>
      <c r="DB18">
        <v>92</v>
      </c>
      <c r="DC18">
        <v>82</v>
      </c>
      <c r="DD18">
        <v>49</v>
      </c>
      <c r="DE18">
        <v>35</v>
      </c>
      <c r="DF18">
        <v>34</v>
      </c>
      <c r="DG18">
        <v>25</v>
      </c>
      <c r="DH18">
        <v>18</v>
      </c>
      <c r="DI18">
        <v>12</v>
      </c>
      <c r="DJ18">
        <v>8</v>
      </c>
      <c r="DK18">
        <v>7</v>
      </c>
      <c r="DL18">
        <v>3</v>
      </c>
      <c r="DM18">
        <v>3</v>
      </c>
      <c r="DN18">
        <v>3</v>
      </c>
      <c r="DO18">
        <v>8</v>
      </c>
      <c r="DP18">
        <v>10</v>
      </c>
      <c r="DQ18">
        <v>10</v>
      </c>
    </row>
    <row r="19" spans="2:121" x14ac:dyDescent="0.35">
      <c r="B19">
        <v>19</v>
      </c>
      <c r="C19">
        <v>21</v>
      </c>
      <c r="D19">
        <v>24</v>
      </c>
      <c r="E19">
        <v>28</v>
      </c>
      <c r="F19">
        <v>29</v>
      </c>
      <c r="G19">
        <v>31</v>
      </c>
      <c r="H19">
        <v>33</v>
      </c>
      <c r="I19">
        <v>36</v>
      </c>
      <c r="J19">
        <v>39</v>
      </c>
      <c r="K19">
        <v>41</v>
      </c>
      <c r="L19">
        <v>44</v>
      </c>
      <c r="M19">
        <v>47</v>
      </c>
      <c r="N19">
        <v>51</v>
      </c>
      <c r="O19">
        <v>55</v>
      </c>
      <c r="P19">
        <v>60</v>
      </c>
      <c r="Q19">
        <v>64</v>
      </c>
      <c r="R19">
        <v>70</v>
      </c>
      <c r="S19">
        <v>75</v>
      </c>
      <c r="T19">
        <v>79</v>
      </c>
      <c r="U19">
        <v>84</v>
      </c>
      <c r="V19">
        <v>85</v>
      </c>
      <c r="W19">
        <v>89</v>
      </c>
      <c r="X19">
        <v>93</v>
      </c>
      <c r="Y19">
        <v>93</v>
      </c>
      <c r="Z19">
        <v>91</v>
      </c>
      <c r="AA19">
        <v>92</v>
      </c>
      <c r="AB19">
        <v>96</v>
      </c>
      <c r="AC19">
        <v>102</v>
      </c>
      <c r="AD19">
        <v>106</v>
      </c>
      <c r="AE19">
        <v>112</v>
      </c>
      <c r="AF19">
        <v>116</v>
      </c>
      <c r="AG19">
        <v>114</v>
      </c>
      <c r="AH19">
        <v>116</v>
      </c>
      <c r="AI19">
        <v>117</v>
      </c>
      <c r="AJ19">
        <v>120</v>
      </c>
      <c r="AK19">
        <v>128</v>
      </c>
      <c r="AL19">
        <v>133</v>
      </c>
      <c r="AM19">
        <v>131</v>
      </c>
      <c r="AN19">
        <v>132</v>
      </c>
      <c r="AO19">
        <v>131</v>
      </c>
      <c r="AP19">
        <v>126</v>
      </c>
      <c r="AQ19">
        <v>118</v>
      </c>
      <c r="AR19">
        <v>117</v>
      </c>
      <c r="AS19">
        <v>123</v>
      </c>
      <c r="AT19">
        <v>121</v>
      </c>
      <c r="AU19">
        <v>115</v>
      </c>
      <c r="AV19">
        <v>116</v>
      </c>
      <c r="AW19">
        <v>118</v>
      </c>
      <c r="AX19">
        <v>131</v>
      </c>
      <c r="AY19">
        <v>121</v>
      </c>
      <c r="AZ19">
        <v>124</v>
      </c>
      <c r="BA19">
        <v>131</v>
      </c>
      <c r="BB19">
        <v>137</v>
      </c>
      <c r="BC19">
        <v>150</v>
      </c>
      <c r="BD19">
        <v>152</v>
      </c>
      <c r="BE19">
        <v>142</v>
      </c>
      <c r="BF19">
        <v>128</v>
      </c>
      <c r="BG19">
        <v>129</v>
      </c>
      <c r="BH19">
        <v>140</v>
      </c>
      <c r="BI19">
        <v>148</v>
      </c>
      <c r="BJ19">
        <v>144</v>
      </c>
      <c r="BK19">
        <v>128</v>
      </c>
      <c r="BL19">
        <v>113</v>
      </c>
      <c r="BM19">
        <v>95</v>
      </c>
      <c r="BN19">
        <v>68</v>
      </c>
      <c r="BO19">
        <v>61</v>
      </c>
      <c r="BP19">
        <v>61</v>
      </c>
      <c r="BQ19">
        <v>64</v>
      </c>
      <c r="BR19">
        <v>63</v>
      </c>
      <c r="BS19">
        <v>62</v>
      </c>
      <c r="BT19">
        <v>55</v>
      </c>
      <c r="BU19">
        <v>54</v>
      </c>
      <c r="BV19">
        <v>51</v>
      </c>
      <c r="BW19">
        <v>52</v>
      </c>
      <c r="BX19">
        <v>64</v>
      </c>
      <c r="BY19">
        <v>67</v>
      </c>
      <c r="BZ19">
        <v>64</v>
      </c>
      <c r="CA19">
        <v>58</v>
      </c>
      <c r="CB19">
        <v>68</v>
      </c>
      <c r="CC19">
        <v>79</v>
      </c>
      <c r="CD19">
        <v>83</v>
      </c>
      <c r="CE19">
        <v>76</v>
      </c>
      <c r="CF19">
        <v>68</v>
      </c>
      <c r="CG19">
        <v>59</v>
      </c>
      <c r="CH19">
        <v>49</v>
      </c>
      <c r="CI19">
        <v>27</v>
      </c>
      <c r="CJ19">
        <v>25</v>
      </c>
      <c r="CK19">
        <v>44</v>
      </c>
      <c r="CL19">
        <v>36</v>
      </c>
      <c r="CM19">
        <v>32</v>
      </c>
      <c r="CN19">
        <v>32</v>
      </c>
      <c r="CO19">
        <v>31</v>
      </c>
      <c r="CP19">
        <v>28</v>
      </c>
      <c r="CQ19">
        <v>24</v>
      </c>
      <c r="CR19">
        <v>18</v>
      </c>
      <c r="CS19">
        <v>13</v>
      </c>
      <c r="CT19">
        <v>9</v>
      </c>
      <c r="CU19">
        <v>4</v>
      </c>
      <c r="CV19">
        <v>3</v>
      </c>
      <c r="CW19">
        <v>2</v>
      </c>
      <c r="CX19">
        <v>2</v>
      </c>
      <c r="CY19">
        <v>1</v>
      </c>
      <c r="CZ19">
        <v>0</v>
      </c>
      <c r="DA19">
        <v>0</v>
      </c>
      <c r="DB19">
        <v>3</v>
      </c>
      <c r="DC19">
        <v>6</v>
      </c>
      <c r="DD19">
        <v>7</v>
      </c>
      <c r="DE19">
        <v>9</v>
      </c>
      <c r="DF19">
        <v>9</v>
      </c>
      <c r="DG19">
        <v>12</v>
      </c>
      <c r="DH19">
        <v>13</v>
      </c>
      <c r="DI19">
        <v>14</v>
      </c>
      <c r="DJ19">
        <v>18</v>
      </c>
      <c r="DK19">
        <v>24</v>
      </c>
      <c r="DL19">
        <v>27</v>
      </c>
      <c r="DM19">
        <v>29</v>
      </c>
      <c r="DN19">
        <v>32</v>
      </c>
      <c r="DO19">
        <v>36</v>
      </c>
      <c r="DP19">
        <v>39</v>
      </c>
      <c r="DQ19">
        <v>40</v>
      </c>
    </row>
    <row r="20" spans="2:121" x14ac:dyDescent="0.35">
      <c r="B20">
        <v>7</v>
      </c>
      <c r="C20">
        <v>3</v>
      </c>
      <c r="D20">
        <v>3</v>
      </c>
      <c r="E20">
        <v>3</v>
      </c>
      <c r="F20">
        <v>3</v>
      </c>
      <c r="G20">
        <v>2</v>
      </c>
      <c r="H20">
        <v>3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2</v>
      </c>
      <c r="R20">
        <v>5</v>
      </c>
      <c r="S20">
        <v>6</v>
      </c>
      <c r="T20">
        <v>10</v>
      </c>
      <c r="U20">
        <v>15</v>
      </c>
      <c r="V20">
        <v>21</v>
      </c>
      <c r="W20">
        <v>25</v>
      </c>
      <c r="X20">
        <v>30</v>
      </c>
      <c r="Y20">
        <v>34</v>
      </c>
      <c r="Z20">
        <v>35</v>
      </c>
      <c r="AA20">
        <v>43</v>
      </c>
      <c r="AB20">
        <v>40</v>
      </c>
      <c r="AC20">
        <v>37</v>
      </c>
      <c r="AD20">
        <v>39</v>
      </c>
      <c r="AE20">
        <v>43</v>
      </c>
      <c r="AF20">
        <v>50</v>
      </c>
      <c r="AG20">
        <v>54</v>
      </c>
      <c r="AH20">
        <v>60</v>
      </c>
      <c r="AI20">
        <v>60</v>
      </c>
      <c r="AJ20">
        <v>66</v>
      </c>
      <c r="AK20">
        <v>68</v>
      </c>
      <c r="AL20">
        <v>70</v>
      </c>
      <c r="AM20">
        <v>78</v>
      </c>
      <c r="AN20">
        <v>88</v>
      </c>
      <c r="AO20">
        <v>92</v>
      </c>
      <c r="AP20">
        <v>92</v>
      </c>
      <c r="AQ20">
        <v>97</v>
      </c>
      <c r="AR20">
        <v>107</v>
      </c>
      <c r="AS20">
        <v>104</v>
      </c>
      <c r="AT20">
        <v>108</v>
      </c>
      <c r="AU20">
        <v>109</v>
      </c>
      <c r="AV20">
        <v>112</v>
      </c>
      <c r="AW20">
        <v>115</v>
      </c>
      <c r="AX20">
        <v>115</v>
      </c>
      <c r="AY20">
        <v>117</v>
      </c>
      <c r="AZ20">
        <v>119</v>
      </c>
      <c r="BA20">
        <v>110</v>
      </c>
      <c r="BB20">
        <v>110</v>
      </c>
      <c r="BC20">
        <v>107</v>
      </c>
      <c r="BD20">
        <v>121</v>
      </c>
      <c r="BE20">
        <v>138</v>
      </c>
      <c r="BF20">
        <v>154</v>
      </c>
      <c r="BG20">
        <v>176</v>
      </c>
      <c r="BH20">
        <v>213</v>
      </c>
      <c r="BI20">
        <v>189</v>
      </c>
      <c r="BJ20">
        <v>162</v>
      </c>
      <c r="BK20">
        <v>156</v>
      </c>
      <c r="BL20">
        <v>146</v>
      </c>
      <c r="BM20">
        <v>133</v>
      </c>
      <c r="BN20">
        <v>132</v>
      </c>
      <c r="BO20">
        <v>186</v>
      </c>
      <c r="BP20">
        <v>212</v>
      </c>
      <c r="BQ20">
        <v>201</v>
      </c>
      <c r="BR20">
        <v>172</v>
      </c>
      <c r="BS20">
        <v>152</v>
      </c>
      <c r="BT20">
        <v>150</v>
      </c>
      <c r="BU20">
        <v>153</v>
      </c>
      <c r="BV20">
        <v>146</v>
      </c>
      <c r="BW20">
        <v>138</v>
      </c>
      <c r="BX20">
        <v>128</v>
      </c>
      <c r="BY20">
        <v>129</v>
      </c>
      <c r="BZ20">
        <v>126</v>
      </c>
      <c r="CA20">
        <v>134</v>
      </c>
      <c r="CB20">
        <v>127</v>
      </c>
      <c r="CC20">
        <v>121</v>
      </c>
      <c r="CD20">
        <v>119</v>
      </c>
      <c r="CE20">
        <v>124</v>
      </c>
      <c r="CF20">
        <v>124</v>
      </c>
      <c r="CG20">
        <v>98</v>
      </c>
      <c r="CH20">
        <v>94</v>
      </c>
      <c r="CI20">
        <v>94</v>
      </c>
      <c r="CJ20">
        <v>88</v>
      </c>
      <c r="CK20">
        <v>89</v>
      </c>
      <c r="CL20">
        <v>94</v>
      </c>
      <c r="CM20">
        <v>89</v>
      </c>
      <c r="CN20">
        <v>84</v>
      </c>
      <c r="CO20">
        <v>82</v>
      </c>
      <c r="CP20">
        <v>87</v>
      </c>
      <c r="CQ20">
        <v>82</v>
      </c>
      <c r="CR20">
        <v>77</v>
      </c>
      <c r="CS20">
        <v>71</v>
      </c>
      <c r="CT20">
        <v>68</v>
      </c>
      <c r="CU20">
        <v>69</v>
      </c>
      <c r="CV20">
        <v>73</v>
      </c>
      <c r="CW20">
        <v>74</v>
      </c>
      <c r="CX20">
        <v>80</v>
      </c>
      <c r="CY20">
        <v>77</v>
      </c>
      <c r="CZ20">
        <v>69</v>
      </c>
      <c r="DA20">
        <v>52</v>
      </c>
      <c r="DB20">
        <v>40</v>
      </c>
      <c r="DC20">
        <v>30</v>
      </c>
      <c r="DD20">
        <v>24</v>
      </c>
      <c r="DE20">
        <v>23</v>
      </c>
      <c r="DF20">
        <v>30</v>
      </c>
      <c r="DG20">
        <v>21</v>
      </c>
      <c r="DH20">
        <v>31</v>
      </c>
      <c r="DI20">
        <v>39</v>
      </c>
      <c r="DJ20">
        <v>41</v>
      </c>
      <c r="DK20">
        <v>39</v>
      </c>
      <c r="DL20">
        <v>40</v>
      </c>
      <c r="DM20">
        <v>42</v>
      </c>
      <c r="DN20">
        <v>41</v>
      </c>
      <c r="DO20">
        <v>28</v>
      </c>
      <c r="DP20">
        <v>15</v>
      </c>
      <c r="DQ20">
        <v>12</v>
      </c>
    </row>
    <row r="21" spans="2:121" x14ac:dyDescent="0.35">
      <c r="B21">
        <v>148</v>
      </c>
      <c r="C21">
        <v>143</v>
      </c>
      <c r="D21">
        <v>137</v>
      </c>
      <c r="E21">
        <v>115</v>
      </c>
      <c r="F21">
        <v>92</v>
      </c>
      <c r="G21">
        <v>84</v>
      </c>
      <c r="H21">
        <v>77</v>
      </c>
      <c r="I21">
        <v>72</v>
      </c>
      <c r="J21">
        <v>66</v>
      </c>
      <c r="K21">
        <v>62</v>
      </c>
      <c r="L21">
        <v>58</v>
      </c>
      <c r="M21">
        <v>59</v>
      </c>
      <c r="N21">
        <v>63</v>
      </c>
      <c r="O21">
        <v>108</v>
      </c>
      <c r="P21">
        <v>158</v>
      </c>
      <c r="Q21">
        <v>134</v>
      </c>
      <c r="R21">
        <v>93</v>
      </c>
      <c r="S21">
        <v>94</v>
      </c>
      <c r="T21">
        <v>64</v>
      </c>
      <c r="U21">
        <v>51</v>
      </c>
      <c r="V21">
        <v>63</v>
      </c>
      <c r="W21">
        <v>71</v>
      </c>
      <c r="X21">
        <v>66</v>
      </c>
      <c r="Y21">
        <v>64</v>
      </c>
      <c r="Z21">
        <v>59</v>
      </c>
      <c r="AA21">
        <v>55</v>
      </c>
      <c r="AB21">
        <v>50</v>
      </c>
      <c r="AC21">
        <v>54</v>
      </c>
      <c r="AD21">
        <v>55</v>
      </c>
      <c r="AE21">
        <v>53</v>
      </c>
      <c r="AF21">
        <v>51</v>
      </c>
      <c r="AG21">
        <v>35</v>
      </c>
      <c r="AH21">
        <v>15</v>
      </c>
      <c r="AI21">
        <v>4</v>
      </c>
      <c r="AJ21">
        <v>11</v>
      </c>
      <c r="AK21">
        <v>16</v>
      </c>
      <c r="AL21">
        <v>18</v>
      </c>
      <c r="AM21">
        <v>5</v>
      </c>
      <c r="AN21">
        <v>0</v>
      </c>
      <c r="AO21">
        <v>1</v>
      </c>
      <c r="AP21">
        <v>3</v>
      </c>
      <c r="AQ21">
        <v>0</v>
      </c>
      <c r="AR21">
        <v>0</v>
      </c>
      <c r="AS21">
        <v>4</v>
      </c>
      <c r="AT21">
        <v>18</v>
      </c>
      <c r="AU21">
        <v>25</v>
      </c>
      <c r="AV21">
        <v>30</v>
      </c>
      <c r="AW21">
        <v>28</v>
      </c>
      <c r="AX21">
        <v>31</v>
      </c>
      <c r="AY21">
        <v>34</v>
      </c>
      <c r="AZ21">
        <v>35</v>
      </c>
      <c r="BA21">
        <v>33</v>
      </c>
      <c r="BB21">
        <v>35</v>
      </c>
      <c r="BC21">
        <v>35</v>
      </c>
      <c r="BD21">
        <v>34</v>
      </c>
      <c r="BE21">
        <v>32</v>
      </c>
      <c r="BF21">
        <v>32</v>
      </c>
      <c r="BG21">
        <v>33</v>
      </c>
      <c r="BH21">
        <v>33</v>
      </c>
      <c r="BI21">
        <v>34</v>
      </c>
      <c r="BJ21">
        <v>35</v>
      </c>
      <c r="BK21">
        <v>37</v>
      </c>
      <c r="BL21">
        <v>39</v>
      </c>
      <c r="BM21">
        <v>43</v>
      </c>
      <c r="BN21">
        <v>43</v>
      </c>
      <c r="BO21">
        <v>46</v>
      </c>
      <c r="BP21">
        <v>50</v>
      </c>
      <c r="BQ21">
        <v>54</v>
      </c>
      <c r="BR21">
        <v>60</v>
      </c>
      <c r="BS21">
        <v>67</v>
      </c>
      <c r="BT21">
        <v>74</v>
      </c>
      <c r="BU21">
        <v>70</v>
      </c>
      <c r="BV21">
        <v>73</v>
      </c>
      <c r="BW21">
        <v>76</v>
      </c>
      <c r="BX21">
        <v>81</v>
      </c>
      <c r="BY21">
        <v>81</v>
      </c>
      <c r="BZ21">
        <v>80</v>
      </c>
      <c r="CA21">
        <v>80</v>
      </c>
      <c r="CB21">
        <v>79</v>
      </c>
      <c r="CC21">
        <v>85</v>
      </c>
      <c r="CD21">
        <v>95</v>
      </c>
      <c r="CE21">
        <v>104</v>
      </c>
      <c r="CF21">
        <v>109</v>
      </c>
      <c r="CG21">
        <v>118</v>
      </c>
      <c r="CH21">
        <v>123</v>
      </c>
      <c r="CI21">
        <v>116</v>
      </c>
      <c r="CJ21">
        <v>115</v>
      </c>
      <c r="CK21">
        <v>146</v>
      </c>
      <c r="CL21">
        <v>153</v>
      </c>
      <c r="CM21">
        <v>105</v>
      </c>
      <c r="CN21">
        <v>88</v>
      </c>
      <c r="CO21">
        <v>75</v>
      </c>
      <c r="CP21">
        <v>51</v>
      </c>
      <c r="CQ21">
        <v>32</v>
      </c>
      <c r="CR21">
        <v>19</v>
      </c>
      <c r="CS21">
        <v>9</v>
      </c>
      <c r="CT21">
        <v>3</v>
      </c>
      <c r="CU21">
        <v>0</v>
      </c>
      <c r="CV21">
        <v>3</v>
      </c>
      <c r="CW21">
        <v>7</v>
      </c>
      <c r="CX21">
        <v>1</v>
      </c>
      <c r="CY21">
        <v>1</v>
      </c>
      <c r="CZ21">
        <v>10</v>
      </c>
      <c r="DA21">
        <v>27</v>
      </c>
      <c r="DB21">
        <v>25</v>
      </c>
      <c r="DC21">
        <v>21</v>
      </c>
      <c r="DD21">
        <v>17</v>
      </c>
      <c r="DE21">
        <v>14</v>
      </c>
      <c r="DF21">
        <v>10</v>
      </c>
      <c r="DG21">
        <v>6</v>
      </c>
      <c r="DH21">
        <v>0</v>
      </c>
      <c r="DI21">
        <v>0</v>
      </c>
      <c r="DJ21">
        <v>0</v>
      </c>
      <c r="DK21">
        <v>0</v>
      </c>
      <c r="DL21">
        <v>1</v>
      </c>
      <c r="DM21">
        <v>2</v>
      </c>
      <c r="DN21">
        <v>4</v>
      </c>
      <c r="DO21">
        <v>5</v>
      </c>
      <c r="DP21">
        <v>8</v>
      </c>
      <c r="DQ21">
        <v>9</v>
      </c>
    </row>
    <row r="22" spans="2:121" x14ac:dyDescent="0.35">
      <c r="B22">
        <v>34</v>
      </c>
      <c r="C22">
        <v>32</v>
      </c>
      <c r="D22">
        <v>37</v>
      </c>
      <c r="E22">
        <v>40</v>
      </c>
      <c r="F22">
        <v>38</v>
      </c>
      <c r="G22">
        <v>34</v>
      </c>
      <c r="H22">
        <v>31</v>
      </c>
      <c r="I22">
        <v>30</v>
      </c>
      <c r="J22">
        <v>26</v>
      </c>
      <c r="K22">
        <v>24</v>
      </c>
      <c r="L22">
        <v>26</v>
      </c>
      <c r="M22">
        <v>27</v>
      </c>
      <c r="N22">
        <v>26</v>
      </c>
      <c r="O22">
        <v>24</v>
      </c>
      <c r="P22">
        <v>16</v>
      </c>
      <c r="Q22">
        <v>21</v>
      </c>
      <c r="R22">
        <v>20</v>
      </c>
      <c r="S22">
        <v>7</v>
      </c>
      <c r="T22">
        <v>4</v>
      </c>
      <c r="U22">
        <v>1</v>
      </c>
      <c r="V22">
        <v>3</v>
      </c>
      <c r="W22">
        <v>24</v>
      </c>
      <c r="X22">
        <v>30</v>
      </c>
      <c r="Y22">
        <v>34</v>
      </c>
      <c r="Z22">
        <v>33</v>
      </c>
      <c r="AA22">
        <v>25</v>
      </c>
      <c r="AB22">
        <v>41</v>
      </c>
      <c r="AC22">
        <v>40</v>
      </c>
      <c r="AD22">
        <v>36</v>
      </c>
      <c r="AE22">
        <v>33</v>
      </c>
      <c r="AF22">
        <v>31</v>
      </c>
      <c r="AG22">
        <v>29</v>
      </c>
      <c r="AH22">
        <v>27</v>
      </c>
      <c r="AI22">
        <v>27</v>
      </c>
      <c r="AJ22">
        <v>29</v>
      </c>
      <c r="AK22">
        <v>29</v>
      </c>
      <c r="AL22">
        <v>29</v>
      </c>
      <c r="AM22">
        <v>32</v>
      </c>
      <c r="AN22">
        <v>33</v>
      </c>
      <c r="AO22">
        <v>35</v>
      </c>
      <c r="AP22">
        <v>37</v>
      </c>
      <c r="AQ22">
        <v>39</v>
      </c>
      <c r="AR22">
        <v>43</v>
      </c>
      <c r="AS22">
        <v>48</v>
      </c>
      <c r="AT22">
        <v>52</v>
      </c>
      <c r="AU22">
        <v>59</v>
      </c>
      <c r="AV22">
        <v>63</v>
      </c>
      <c r="AW22">
        <v>65</v>
      </c>
      <c r="AX22">
        <v>66</v>
      </c>
      <c r="AY22">
        <v>63</v>
      </c>
      <c r="AZ22">
        <v>60</v>
      </c>
      <c r="BA22">
        <v>61</v>
      </c>
      <c r="BB22">
        <v>68</v>
      </c>
      <c r="BC22">
        <v>83</v>
      </c>
      <c r="BD22">
        <v>115</v>
      </c>
      <c r="BE22">
        <v>244</v>
      </c>
      <c r="BF22">
        <v>154</v>
      </c>
      <c r="BG22">
        <v>138</v>
      </c>
      <c r="BH22">
        <v>144</v>
      </c>
      <c r="BI22">
        <v>159</v>
      </c>
      <c r="BJ22">
        <v>95</v>
      </c>
      <c r="BK22">
        <v>77</v>
      </c>
      <c r="BL22">
        <v>71</v>
      </c>
      <c r="BM22">
        <v>68</v>
      </c>
      <c r="BN22">
        <v>57</v>
      </c>
      <c r="BO22">
        <v>54</v>
      </c>
      <c r="BP22">
        <v>50</v>
      </c>
      <c r="BQ22">
        <v>48</v>
      </c>
      <c r="BR22">
        <v>43</v>
      </c>
      <c r="BS22">
        <v>36</v>
      </c>
      <c r="BT22">
        <v>25</v>
      </c>
      <c r="BU22">
        <v>19</v>
      </c>
      <c r="BV22">
        <v>12</v>
      </c>
      <c r="BW22">
        <v>5</v>
      </c>
      <c r="BX22">
        <v>2</v>
      </c>
      <c r="BY22">
        <v>2</v>
      </c>
      <c r="BZ22">
        <v>1</v>
      </c>
      <c r="CA22">
        <v>1</v>
      </c>
      <c r="CB22">
        <v>5</v>
      </c>
      <c r="CC22">
        <v>11</v>
      </c>
      <c r="CD22">
        <v>24</v>
      </c>
      <c r="CE22">
        <v>4</v>
      </c>
      <c r="CF22">
        <v>0</v>
      </c>
      <c r="CG22">
        <v>1</v>
      </c>
      <c r="CH22">
        <v>1</v>
      </c>
      <c r="CI22">
        <v>1</v>
      </c>
      <c r="CJ22">
        <v>0</v>
      </c>
      <c r="CK22">
        <v>0</v>
      </c>
      <c r="CL22">
        <v>11</v>
      </c>
      <c r="CM22">
        <v>19</v>
      </c>
      <c r="CN22">
        <v>5</v>
      </c>
      <c r="CO22">
        <v>8</v>
      </c>
      <c r="CP22">
        <v>13</v>
      </c>
      <c r="CQ22">
        <v>18</v>
      </c>
      <c r="CR22">
        <v>13</v>
      </c>
      <c r="CS22">
        <v>9</v>
      </c>
      <c r="CT22">
        <v>0</v>
      </c>
      <c r="CU22">
        <v>0</v>
      </c>
      <c r="CV22">
        <v>0</v>
      </c>
      <c r="CW22">
        <v>0</v>
      </c>
      <c r="CX22">
        <v>1</v>
      </c>
      <c r="CY22">
        <v>4</v>
      </c>
      <c r="CZ22">
        <v>6</v>
      </c>
      <c r="DA22">
        <v>8</v>
      </c>
      <c r="DB22">
        <v>10</v>
      </c>
      <c r="DC22">
        <v>11</v>
      </c>
      <c r="DD22">
        <v>8</v>
      </c>
      <c r="DE22">
        <v>7</v>
      </c>
      <c r="DF22">
        <v>7</v>
      </c>
      <c r="DG22">
        <v>9</v>
      </c>
      <c r="DH22">
        <v>12</v>
      </c>
      <c r="DI22">
        <v>13</v>
      </c>
      <c r="DJ22">
        <v>15</v>
      </c>
      <c r="DK22">
        <v>18</v>
      </c>
      <c r="DL22">
        <v>22</v>
      </c>
      <c r="DM22">
        <v>25</v>
      </c>
      <c r="DN22">
        <v>29</v>
      </c>
      <c r="DO22">
        <v>32</v>
      </c>
      <c r="DP22">
        <v>36</v>
      </c>
      <c r="DQ22">
        <v>38</v>
      </c>
    </row>
    <row r="23" spans="2:121" x14ac:dyDescent="0.35">
      <c r="B23">
        <v>32</v>
      </c>
      <c r="C23">
        <v>28</v>
      </c>
      <c r="D23">
        <v>26</v>
      </c>
      <c r="E23">
        <v>23</v>
      </c>
      <c r="F23">
        <v>21</v>
      </c>
      <c r="G23">
        <v>20</v>
      </c>
      <c r="H23">
        <v>21</v>
      </c>
      <c r="I23">
        <v>21</v>
      </c>
      <c r="J23">
        <v>22</v>
      </c>
      <c r="K23">
        <v>24</v>
      </c>
      <c r="L23">
        <v>32</v>
      </c>
      <c r="M23">
        <v>31</v>
      </c>
      <c r="N23">
        <v>26</v>
      </c>
      <c r="O23">
        <v>27</v>
      </c>
      <c r="P23">
        <v>32</v>
      </c>
      <c r="Q23">
        <v>31</v>
      </c>
      <c r="R23">
        <v>31</v>
      </c>
      <c r="S23">
        <v>32</v>
      </c>
      <c r="T23">
        <v>33</v>
      </c>
      <c r="U23">
        <v>34</v>
      </c>
      <c r="V23">
        <v>35</v>
      </c>
      <c r="W23">
        <v>37</v>
      </c>
      <c r="X23">
        <v>41</v>
      </c>
      <c r="Y23">
        <v>41</v>
      </c>
      <c r="Z23">
        <v>40</v>
      </c>
      <c r="AA23">
        <v>41</v>
      </c>
      <c r="AB23">
        <v>43</v>
      </c>
      <c r="AC23">
        <v>49</v>
      </c>
      <c r="AD23">
        <v>65</v>
      </c>
      <c r="AE23">
        <v>65</v>
      </c>
      <c r="AF23">
        <v>60</v>
      </c>
      <c r="AG23">
        <v>46</v>
      </c>
      <c r="AH23">
        <v>42</v>
      </c>
      <c r="AI23">
        <v>40</v>
      </c>
      <c r="AJ23">
        <v>41</v>
      </c>
      <c r="AK23">
        <v>42</v>
      </c>
      <c r="AL23">
        <v>47</v>
      </c>
      <c r="AM23">
        <v>47</v>
      </c>
      <c r="AN23">
        <v>48</v>
      </c>
      <c r="AO23">
        <v>47</v>
      </c>
      <c r="AP23">
        <v>44</v>
      </c>
      <c r="AQ23">
        <v>40</v>
      </c>
      <c r="AR23">
        <v>36</v>
      </c>
      <c r="AS23">
        <v>34</v>
      </c>
      <c r="AT23">
        <v>27</v>
      </c>
      <c r="AU23">
        <v>19</v>
      </c>
      <c r="AV23">
        <v>8</v>
      </c>
      <c r="AW23">
        <v>0</v>
      </c>
      <c r="AX23">
        <v>3</v>
      </c>
      <c r="AY23">
        <v>1</v>
      </c>
      <c r="AZ23">
        <v>1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H23">
        <v>0</v>
      </c>
      <c r="BI23">
        <v>1</v>
      </c>
      <c r="BJ23">
        <v>2</v>
      </c>
      <c r="BK23">
        <v>2</v>
      </c>
      <c r="BL23">
        <v>2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1</v>
      </c>
      <c r="BU23">
        <v>3</v>
      </c>
      <c r="BV23">
        <v>5</v>
      </c>
      <c r="BW23">
        <v>4</v>
      </c>
      <c r="BX23">
        <v>1</v>
      </c>
      <c r="BY23">
        <v>1</v>
      </c>
      <c r="BZ23">
        <v>4</v>
      </c>
      <c r="CA23">
        <v>8</v>
      </c>
      <c r="CB23">
        <v>11</v>
      </c>
      <c r="CC23">
        <v>13</v>
      </c>
      <c r="CD23">
        <v>16</v>
      </c>
      <c r="CE23">
        <v>17</v>
      </c>
      <c r="CF23">
        <v>20</v>
      </c>
      <c r="CG23">
        <v>23</v>
      </c>
      <c r="CH23">
        <v>26</v>
      </c>
      <c r="CI23">
        <v>24</v>
      </c>
      <c r="CJ23">
        <v>21</v>
      </c>
      <c r="CK23">
        <v>18</v>
      </c>
      <c r="CL23">
        <v>14</v>
      </c>
      <c r="CM23">
        <v>15</v>
      </c>
      <c r="CN23">
        <v>18</v>
      </c>
      <c r="CO23">
        <v>18</v>
      </c>
      <c r="CP23">
        <v>17</v>
      </c>
      <c r="CQ23">
        <v>18</v>
      </c>
      <c r="CR23">
        <v>19</v>
      </c>
      <c r="CS23">
        <v>20</v>
      </c>
      <c r="CT23">
        <v>22</v>
      </c>
      <c r="CU23">
        <v>24</v>
      </c>
      <c r="CV23">
        <v>24</v>
      </c>
      <c r="CW23">
        <v>26</v>
      </c>
      <c r="CX23">
        <v>28</v>
      </c>
      <c r="CY23">
        <v>30</v>
      </c>
      <c r="CZ23">
        <v>33</v>
      </c>
      <c r="DA23">
        <v>36</v>
      </c>
      <c r="DB23">
        <v>37</v>
      </c>
      <c r="DC23">
        <v>37</v>
      </c>
      <c r="DD23">
        <v>38</v>
      </c>
      <c r="DE23">
        <v>39</v>
      </c>
      <c r="DF23">
        <v>41</v>
      </c>
      <c r="DG23">
        <v>45</v>
      </c>
      <c r="DH23">
        <v>47</v>
      </c>
      <c r="DI23">
        <v>49</v>
      </c>
      <c r="DJ23">
        <v>51</v>
      </c>
      <c r="DK23">
        <v>52</v>
      </c>
      <c r="DL23">
        <v>53</v>
      </c>
      <c r="DM23">
        <v>55</v>
      </c>
      <c r="DN23">
        <v>57</v>
      </c>
      <c r="DO23">
        <v>57</v>
      </c>
      <c r="DP23">
        <v>58</v>
      </c>
      <c r="DQ23">
        <v>59</v>
      </c>
    </row>
    <row r="24" spans="2:121" x14ac:dyDescent="0.35">
      <c r="B24">
        <v>6</v>
      </c>
      <c r="C24">
        <v>4</v>
      </c>
      <c r="D24">
        <v>1</v>
      </c>
      <c r="E24">
        <v>1</v>
      </c>
      <c r="F24">
        <v>3</v>
      </c>
      <c r="G24">
        <v>3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3</v>
      </c>
      <c r="S24">
        <v>5</v>
      </c>
      <c r="T24">
        <v>7</v>
      </c>
      <c r="U24">
        <v>10</v>
      </c>
      <c r="V24">
        <v>12</v>
      </c>
      <c r="W24">
        <v>14</v>
      </c>
      <c r="X24">
        <v>14</v>
      </c>
      <c r="Y24">
        <v>18</v>
      </c>
      <c r="Z24">
        <v>21</v>
      </c>
      <c r="AA24">
        <v>23</v>
      </c>
      <c r="AB24">
        <v>22</v>
      </c>
      <c r="AC24">
        <v>16</v>
      </c>
      <c r="AD24">
        <v>11</v>
      </c>
      <c r="AE24">
        <v>6</v>
      </c>
      <c r="AF24">
        <v>8</v>
      </c>
      <c r="AG24">
        <v>7</v>
      </c>
      <c r="AH24">
        <v>8</v>
      </c>
      <c r="AI24">
        <v>11</v>
      </c>
      <c r="AJ24">
        <v>13</v>
      </c>
      <c r="AK24">
        <v>14</v>
      </c>
      <c r="AL24">
        <v>16</v>
      </c>
      <c r="AM24">
        <v>17</v>
      </c>
      <c r="AN24">
        <v>19</v>
      </c>
      <c r="AO24">
        <v>20</v>
      </c>
      <c r="AP24">
        <v>21</v>
      </c>
      <c r="AQ24">
        <v>21</v>
      </c>
      <c r="AR24">
        <v>22</v>
      </c>
      <c r="AS24">
        <v>23</v>
      </c>
      <c r="AT24">
        <v>25</v>
      </c>
      <c r="AU24">
        <v>27</v>
      </c>
      <c r="AV24">
        <v>28</v>
      </c>
      <c r="AW24">
        <v>28</v>
      </c>
      <c r="AX24">
        <v>29</v>
      </c>
      <c r="AY24">
        <v>28</v>
      </c>
      <c r="AZ24">
        <v>27</v>
      </c>
      <c r="BA24">
        <v>25</v>
      </c>
      <c r="BB24">
        <v>24</v>
      </c>
      <c r="BC24">
        <v>23</v>
      </c>
      <c r="BD24">
        <v>23</v>
      </c>
      <c r="BE24">
        <v>25</v>
      </c>
      <c r="BF24">
        <v>26</v>
      </c>
      <c r="BG24">
        <v>27</v>
      </c>
      <c r="BH24">
        <v>28</v>
      </c>
      <c r="BI24">
        <v>30</v>
      </c>
      <c r="BJ24">
        <v>31</v>
      </c>
      <c r="BK24">
        <v>31</v>
      </c>
      <c r="BL24">
        <v>32</v>
      </c>
      <c r="BM24">
        <v>33</v>
      </c>
      <c r="BN24">
        <v>34</v>
      </c>
      <c r="BO24">
        <v>36</v>
      </c>
      <c r="BP24">
        <v>36</v>
      </c>
      <c r="BQ24">
        <v>39</v>
      </c>
      <c r="BR24">
        <v>41</v>
      </c>
      <c r="BS24">
        <v>43</v>
      </c>
      <c r="BT24">
        <v>45</v>
      </c>
      <c r="BU24">
        <v>45</v>
      </c>
      <c r="BV24">
        <v>44</v>
      </c>
      <c r="BW24">
        <v>44</v>
      </c>
      <c r="BX24">
        <v>43</v>
      </c>
      <c r="BY24">
        <v>43</v>
      </c>
      <c r="BZ24">
        <v>44</v>
      </c>
      <c r="CA24">
        <v>42</v>
      </c>
      <c r="CB24">
        <v>40</v>
      </c>
      <c r="CC24">
        <v>40</v>
      </c>
      <c r="CD24">
        <v>41</v>
      </c>
      <c r="CE24">
        <v>41</v>
      </c>
      <c r="CF24">
        <v>41</v>
      </c>
      <c r="CG24">
        <v>40</v>
      </c>
      <c r="CH24">
        <v>42</v>
      </c>
      <c r="CI24">
        <v>40</v>
      </c>
      <c r="CJ24">
        <v>39</v>
      </c>
      <c r="CK24">
        <v>39</v>
      </c>
      <c r="CL24">
        <v>41</v>
      </c>
      <c r="CM24">
        <v>43</v>
      </c>
      <c r="CN24">
        <v>39</v>
      </c>
      <c r="CO24">
        <v>35</v>
      </c>
      <c r="CP24">
        <v>42</v>
      </c>
      <c r="CQ24">
        <v>35</v>
      </c>
      <c r="CR24">
        <v>42</v>
      </c>
      <c r="CS24">
        <v>64</v>
      </c>
      <c r="CT24">
        <v>53</v>
      </c>
      <c r="CU24">
        <v>59</v>
      </c>
      <c r="CV24">
        <v>47</v>
      </c>
      <c r="CW24">
        <v>74</v>
      </c>
      <c r="CX24">
        <v>84</v>
      </c>
      <c r="CY24">
        <v>62</v>
      </c>
      <c r="CZ24">
        <v>84</v>
      </c>
      <c r="DA24">
        <v>154</v>
      </c>
      <c r="DB24">
        <v>63</v>
      </c>
      <c r="DC24">
        <v>57</v>
      </c>
      <c r="DD24">
        <v>55</v>
      </c>
      <c r="DE24">
        <v>94</v>
      </c>
      <c r="DF24">
        <v>124</v>
      </c>
      <c r="DG24">
        <v>120</v>
      </c>
      <c r="DH24">
        <v>132</v>
      </c>
      <c r="DI24">
        <v>137</v>
      </c>
      <c r="DJ24">
        <v>97</v>
      </c>
      <c r="DK24">
        <v>63</v>
      </c>
      <c r="DL24">
        <v>43</v>
      </c>
      <c r="DM24">
        <v>33</v>
      </c>
      <c r="DN24">
        <v>27</v>
      </c>
      <c r="DO24">
        <v>23</v>
      </c>
      <c r="DP24">
        <v>26</v>
      </c>
      <c r="DQ24">
        <v>23</v>
      </c>
    </row>
    <row r="25" spans="2:121" x14ac:dyDescent="0.35">
      <c r="B25">
        <v>31</v>
      </c>
      <c r="C25">
        <v>32</v>
      </c>
      <c r="D25">
        <v>32</v>
      </c>
      <c r="E25">
        <v>31</v>
      </c>
      <c r="F25">
        <v>31</v>
      </c>
      <c r="G25">
        <v>31</v>
      </c>
      <c r="H25">
        <v>30</v>
      </c>
      <c r="I25">
        <v>31</v>
      </c>
      <c r="J25">
        <v>29</v>
      </c>
      <c r="K25">
        <v>29</v>
      </c>
      <c r="L25">
        <v>29</v>
      </c>
      <c r="M25">
        <v>28</v>
      </c>
      <c r="N25">
        <v>27</v>
      </c>
      <c r="O25">
        <v>26</v>
      </c>
      <c r="P25">
        <v>27</v>
      </c>
      <c r="Q25">
        <v>32</v>
      </c>
      <c r="R25">
        <v>33</v>
      </c>
      <c r="S25">
        <v>28</v>
      </c>
      <c r="T25">
        <v>27</v>
      </c>
      <c r="U25">
        <v>27</v>
      </c>
      <c r="V25">
        <v>26</v>
      </c>
      <c r="W25">
        <v>28</v>
      </c>
      <c r="X25">
        <v>30</v>
      </c>
      <c r="Y25">
        <v>25</v>
      </c>
      <c r="Z25">
        <v>22</v>
      </c>
      <c r="AA25">
        <v>19</v>
      </c>
      <c r="AB25">
        <v>18</v>
      </c>
      <c r="AC25">
        <v>18</v>
      </c>
      <c r="AD25">
        <v>18</v>
      </c>
      <c r="AE25">
        <v>17</v>
      </c>
      <c r="AF25">
        <v>15</v>
      </c>
      <c r="AG25">
        <v>17</v>
      </c>
      <c r="AH25">
        <v>16</v>
      </c>
      <c r="AI25">
        <v>20</v>
      </c>
      <c r="AJ25">
        <v>19</v>
      </c>
      <c r="AK25">
        <v>20</v>
      </c>
      <c r="AL25">
        <v>21</v>
      </c>
      <c r="AM25">
        <v>23</v>
      </c>
      <c r="AN25">
        <v>20</v>
      </c>
      <c r="AO25">
        <v>19</v>
      </c>
      <c r="AP25">
        <v>19</v>
      </c>
      <c r="AQ25">
        <v>16</v>
      </c>
      <c r="AR25">
        <v>13</v>
      </c>
      <c r="AS25">
        <v>10</v>
      </c>
      <c r="AT25">
        <v>8</v>
      </c>
      <c r="AU25">
        <v>7</v>
      </c>
      <c r="AV25">
        <v>0</v>
      </c>
      <c r="AW25">
        <v>0</v>
      </c>
      <c r="AX25">
        <v>8</v>
      </c>
      <c r="AY25">
        <v>25</v>
      </c>
      <c r="AZ25">
        <v>27</v>
      </c>
      <c r="BA25">
        <v>29</v>
      </c>
      <c r="BB25">
        <v>27</v>
      </c>
      <c r="BC25">
        <v>30</v>
      </c>
      <c r="BD25">
        <v>33</v>
      </c>
      <c r="BE25">
        <v>32</v>
      </c>
      <c r="BF25">
        <v>30</v>
      </c>
      <c r="BG25">
        <v>30</v>
      </c>
      <c r="BH25">
        <v>28</v>
      </c>
      <c r="BI25">
        <v>27</v>
      </c>
      <c r="BJ25">
        <v>25</v>
      </c>
      <c r="BK25">
        <v>24</v>
      </c>
      <c r="BL25">
        <v>23</v>
      </c>
      <c r="BM25">
        <v>20</v>
      </c>
      <c r="BN25">
        <v>19</v>
      </c>
      <c r="BO25">
        <v>18</v>
      </c>
      <c r="BP25">
        <v>15</v>
      </c>
      <c r="BQ25">
        <v>13</v>
      </c>
      <c r="BR25">
        <v>13</v>
      </c>
      <c r="BS25">
        <v>12</v>
      </c>
      <c r="BT25">
        <v>10</v>
      </c>
      <c r="BU25">
        <v>9</v>
      </c>
      <c r="BV25">
        <v>9</v>
      </c>
      <c r="BW25">
        <v>9</v>
      </c>
      <c r="BX25">
        <v>8</v>
      </c>
      <c r="BY25">
        <v>7</v>
      </c>
      <c r="BZ25">
        <v>6</v>
      </c>
      <c r="CA25">
        <v>5</v>
      </c>
      <c r="CB25">
        <v>4</v>
      </c>
      <c r="CC25">
        <v>2</v>
      </c>
      <c r="CD25">
        <v>1</v>
      </c>
      <c r="CE25">
        <v>1</v>
      </c>
      <c r="CF25">
        <v>1</v>
      </c>
      <c r="CG25">
        <v>1</v>
      </c>
      <c r="CH25">
        <v>2</v>
      </c>
      <c r="CI25">
        <v>1</v>
      </c>
      <c r="CJ25">
        <v>1</v>
      </c>
      <c r="CK25">
        <v>1</v>
      </c>
      <c r="CL25">
        <v>1</v>
      </c>
      <c r="CM25">
        <v>2</v>
      </c>
      <c r="CN25">
        <v>0</v>
      </c>
      <c r="CO25">
        <v>0</v>
      </c>
      <c r="CP25">
        <v>0</v>
      </c>
      <c r="CQ25">
        <v>1</v>
      </c>
      <c r="CR25">
        <v>0</v>
      </c>
      <c r="CS25">
        <v>0</v>
      </c>
      <c r="CT25">
        <v>1</v>
      </c>
      <c r="CU25">
        <v>1</v>
      </c>
      <c r="CV25">
        <v>0</v>
      </c>
      <c r="CW25">
        <v>1</v>
      </c>
      <c r="CX25">
        <v>2</v>
      </c>
      <c r="CY25">
        <v>0</v>
      </c>
      <c r="CZ25">
        <v>3</v>
      </c>
      <c r="DA25">
        <v>0</v>
      </c>
      <c r="DB25">
        <v>0</v>
      </c>
      <c r="DC25">
        <v>0</v>
      </c>
      <c r="DD25">
        <v>1</v>
      </c>
      <c r="DE25">
        <v>2</v>
      </c>
      <c r="DF25">
        <v>2</v>
      </c>
      <c r="DG25">
        <v>3</v>
      </c>
      <c r="DH25">
        <v>3</v>
      </c>
      <c r="DI25">
        <v>3</v>
      </c>
      <c r="DJ25">
        <v>4</v>
      </c>
      <c r="DK25">
        <v>6</v>
      </c>
      <c r="DL25">
        <v>7</v>
      </c>
      <c r="DM25">
        <v>6</v>
      </c>
      <c r="DN25">
        <v>6</v>
      </c>
      <c r="DO25">
        <v>7</v>
      </c>
      <c r="DP25">
        <v>8</v>
      </c>
      <c r="DQ25">
        <v>9</v>
      </c>
    </row>
    <row r="26" spans="2:121" x14ac:dyDescent="0.35">
      <c r="B26">
        <v>35</v>
      </c>
      <c r="C26">
        <v>35</v>
      </c>
      <c r="D26">
        <v>35</v>
      </c>
      <c r="E26">
        <v>34</v>
      </c>
      <c r="F26">
        <v>33</v>
      </c>
      <c r="G26">
        <v>32</v>
      </c>
      <c r="H26">
        <v>30</v>
      </c>
      <c r="I26">
        <v>30</v>
      </c>
      <c r="J26">
        <v>29</v>
      </c>
      <c r="K26">
        <v>28</v>
      </c>
      <c r="L26">
        <v>28</v>
      </c>
      <c r="M26">
        <v>27</v>
      </c>
      <c r="N26">
        <v>26</v>
      </c>
      <c r="O26">
        <v>24</v>
      </c>
      <c r="P26">
        <v>23</v>
      </c>
      <c r="Q26">
        <v>23</v>
      </c>
      <c r="R26">
        <v>22</v>
      </c>
      <c r="S26">
        <v>22</v>
      </c>
      <c r="T26">
        <v>20</v>
      </c>
      <c r="U26">
        <v>19</v>
      </c>
      <c r="V26">
        <v>19</v>
      </c>
      <c r="W26">
        <v>18</v>
      </c>
      <c r="X26">
        <v>17</v>
      </c>
      <c r="Y26">
        <v>17</v>
      </c>
      <c r="Z26">
        <v>16</v>
      </c>
      <c r="AA26">
        <v>16</v>
      </c>
      <c r="AB26">
        <v>16</v>
      </c>
      <c r="AC26">
        <v>14</v>
      </c>
      <c r="AD26">
        <v>13</v>
      </c>
      <c r="AE26">
        <v>13</v>
      </c>
      <c r="AF26">
        <v>12</v>
      </c>
      <c r="AG26">
        <v>13</v>
      </c>
      <c r="AH26">
        <v>13</v>
      </c>
      <c r="AI26">
        <v>14</v>
      </c>
      <c r="AJ26">
        <v>13</v>
      </c>
      <c r="AK26">
        <v>14</v>
      </c>
      <c r="AL26">
        <v>12</v>
      </c>
      <c r="AM26">
        <v>9</v>
      </c>
      <c r="AN26">
        <v>9</v>
      </c>
      <c r="AO26">
        <v>10</v>
      </c>
      <c r="AP26">
        <v>8</v>
      </c>
      <c r="AQ26">
        <v>8</v>
      </c>
      <c r="AR26">
        <v>8</v>
      </c>
      <c r="AS26">
        <v>7</v>
      </c>
      <c r="AT26">
        <v>4</v>
      </c>
      <c r="AU26">
        <v>9</v>
      </c>
      <c r="AV26">
        <v>11</v>
      </c>
      <c r="AW26">
        <v>9</v>
      </c>
      <c r="AX26">
        <v>8</v>
      </c>
      <c r="AY26">
        <v>7</v>
      </c>
      <c r="AZ26">
        <v>7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2</v>
      </c>
      <c r="CE26">
        <v>1</v>
      </c>
      <c r="CF26">
        <v>0</v>
      </c>
      <c r="CG26">
        <v>5</v>
      </c>
      <c r="CH26">
        <v>0</v>
      </c>
      <c r="CI26">
        <v>0</v>
      </c>
      <c r="CJ26">
        <v>1</v>
      </c>
      <c r="CK26">
        <v>1</v>
      </c>
      <c r="CL26">
        <v>3</v>
      </c>
      <c r="CM26">
        <v>4</v>
      </c>
      <c r="CN26">
        <v>5</v>
      </c>
      <c r="CO26">
        <v>3</v>
      </c>
      <c r="CP26">
        <v>8</v>
      </c>
      <c r="CQ26">
        <v>15</v>
      </c>
      <c r="CR26">
        <v>16</v>
      </c>
      <c r="CS26">
        <v>19</v>
      </c>
      <c r="CT26">
        <v>18</v>
      </c>
      <c r="CU26">
        <v>20</v>
      </c>
      <c r="CV26">
        <v>19</v>
      </c>
      <c r="CW26">
        <v>18</v>
      </c>
      <c r="CX26">
        <v>19</v>
      </c>
      <c r="CY26">
        <v>21</v>
      </c>
      <c r="CZ26">
        <v>22</v>
      </c>
      <c r="DA26">
        <v>22</v>
      </c>
      <c r="DB26">
        <v>20</v>
      </c>
      <c r="DC26">
        <v>16</v>
      </c>
      <c r="DD26">
        <v>16</v>
      </c>
      <c r="DE26">
        <v>16</v>
      </c>
      <c r="DF26">
        <v>19</v>
      </c>
      <c r="DG26">
        <v>21</v>
      </c>
      <c r="DH26">
        <v>23</v>
      </c>
      <c r="DI26">
        <v>27</v>
      </c>
      <c r="DJ26">
        <v>22</v>
      </c>
      <c r="DK26">
        <v>15</v>
      </c>
      <c r="DL26">
        <v>10</v>
      </c>
      <c r="DM26">
        <v>9</v>
      </c>
      <c r="DN26">
        <v>10</v>
      </c>
      <c r="DO26">
        <v>12</v>
      </c>
      <c r="DP26">
        <v>16</v>
      </c>
      <c r="DQ26">
        <v>25</v>
      </c>
    </row>
    <row r="27" spans="2:121" x14ac:dyDescent="0.35">
      <c r="B27">
        <v>47</v>
      </c>
      <c r="C27">
        <v>45</v>
      </c>
      <c r="D27">
        <v>42</v>
      </c>
      <c r="E27">
        <v>41</v>
      </c>
      <c r="F27">
        <v>41</v>
      </c>
      <c r="G27">
        <v>39</v>
      </c>
      <c r="H27">
        <v>38</v>
      </c>
      <c r="I27">
        <v>36</v>
      </c>
      <c r="J27">
        <v>33</v>
      </c>
      <c r="K27">
        <v>32</v>
      </c>
      <c r="L27">
        <v>32</v>
      </c>
      <c r="M27">
        <v>31</v>
      </c>
      <c r="N27">
        <v>30</v>
      </c>
      <c r="O27">
        <v>29</v>
      </c>
      <c r="P27">
        <v>27</v>
      </c>
      <c r="Q27">
        <v>25</v>
      </c>
      <c r="R27">
        <v>23</v>
      </c>
      <c r="S27">
        <v>21</v>
      </c>
      <c r="T27">
        <v>19</v>
      </c>
      <c r="U27">
        <v>18</v>
      </c>
      <c r="V27">
        <v>16</v>
      </c>
      <c r="W27">
        <v>15</v>
      </c>
      <c r="X27">
        <v>14</v>
      </c>
      <c r="Y27">
        <v>13</v>
      </c>
      <c r="Z27">
        <v>12</v>
      </c>
      <c r="AA27">
        <v>10</v>
      </c>
      <c r="AB27">
        <v>10</v>
      </c>
      <c r="AC27">
        <v>8</v>
      </c>
      <c r="AD27">
        <v>7</v>
      </c>
      <c r="AE27">
        <v>6</v>
      </c>
      <c r="AF27">
        <v>5</v>
      </c>
      <c r="AG27">
        <v>5</v>
      </c>
      <c r="AH27">
        <v>5</v>
      </c>
      <c r="AI27">
        <v>5</v>
      </c>
      <c r="AJ27">
        <v>3</v>
      </c>
      <c r="AK27">
        <v>3</v>
      </c>
      <c r="AL27">
        <v>2</v>
      </c>
      <c r="AM27">
        <v>2</v>
      </c>
      <c r="AN27">
        <v>1</v>
      </c>
      <c r="AO27">
        <v>0</v>
      </c>
      <c r="AP27">
        <v>1</v>
      </c>
      <c r="AQ27">
        <v>2</v>
      </c>
      <c r="AR27">
        <v>1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1</v>
      </c>
      <c r="CC27">
        <v>1</v>
      </c>
      <c r="CD27">
        <v>1</v>
      </c>
      <c r="CE27">
        <v>0</v>
      </c>
      <c r="CF27">
        <v>1</v>
      </c>
      <c r="CG27">
        <v>1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2</v>
      </c>
      <c r="CS27">
        <v>3</v>
      </c>
      <c r="CT27">
        <v>2</v>
      </c>
      <c r="CU27">
        <v>2</v>
      </c>
      <c r="CV27">
        <v>4</v>
      </c>
      <c r="CW27">
        <v>8</v>
      </c>
      <c r="CX27">
        <v>13</v>
      </c>
      <c r="CY27">
        <v>16</v>
      </c>
      <c r="CZ27">
        <v>17</v>
      </c>
      <c r="DA27">
        <v>17</v>
      </c>
      <c r="DB27">
        <v>15</v>
      </c>
      <c r="DC27">
        <v>12</v>
      </c>
      <c r="DD27">
        <v>13</v>
      </c>
      <c r="DE27">
        <v>13</v>
      </c>
      <c r="DF27">
        <v>15</v>
      </c>
      <c r="DG27">
        <v>18</v>
      </c>
      <c r="DH27">
        <v>17</v>
      </c>
      <c r="DI27">
        <v>18</v>
      </c>
      <c r="DJ27">
        <v>20</v>
      </c>
      <c r="DK27">
        <v>22</v>
      </c>
      <c r="DL27">
        <v>26</v>
      </c>
      <c r="DM27">
        <v>29</v>
      </c>
      <c r="DN27">
        <v>31</v>
      </c>
      <c r="DO27">
        <v>34</v>
      </c>
      <c r="DP27">
        <v>38</v>
      </c>
      <c r="DQ27">
        <v>43</v>
      </c>
    </row>
    <row r="28" spans="2:121" x14ac:dyDescent="0.35">
      <c r="B28">
        <v>9</v>
      </c>
      <c r="C28">
        <v>8</v>
      </c>
      <c r="D28">
        <v>8</v>
      </c>
      <c r="E28">
        <v>7</v>
      </c>
      <c r="F28">
        <v>5</v>
      </c>
      <c r="G28">
        <v>4</v>
      </c>
      <c r="H28">
        <v>4</v>
      </c>
      <c r="I28">
        <v>3</v>
      </c>
      <c r="J28">
        <v>3</v>
      </c>
      <c r="K28">
        <v>3</v>
      </c>
      <c r="L28">
        <v>3</v>
      </c>
      <c r="M28">
        <v>2</v>
      </c>
      <c r="N28">
        <v>3</v>
      </c>
      <c r="O28">
        <v>3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1</v>
      </c>
      <c r="BD28">
        <v>0</v>
      </c>
      <c r="BE28">
        <v>2</v>
      </c>
      <c r="BF28">
        <v>0</v>
      </c>
      <c r="BG28">
        <v>1</v>
      </c>
      <c r="BH28">
        <v>0</v>
      </c>
      <c r="BI28">
        <v>4</v>
      </c>
      <c r="BJ28">
        <v>0</v>
      </c>
      <c r="BK28">
        <v>0</v>
      </c>
      <c r="BL28">
        <v>7</v>
      </c>
      <c r="BM28">
        <v>16</v>
      </c>
      <c r="BN28">
        <v>26</v>
      </c>
      <c r="BO28">
        <v>42</v>
      </c>
      <c r="BP28">
        <v>47</v>
      </c>
      <c r="BQ28">
        <v>44</v>
      </c>
      <c r="BR28">
        <v>30</v>
      </c>
      <c r="BS28">
        <v>0</v>
      </c>
      <c r="BT28">
        <v>0</v>
      </c>
      <c r="BU28">
        <v>3</v>
      </c>
      <c r="BV28">
        <v>6</v>
      </c>
      <c r="BW28">
        <v>7</v>
      </c>
      <c r="BX28">
        <v>5</v>
      </c>
      <c r="BY28">
        <v>3</v>
      </c>
      <c r="BZ28">
        <v>8</v>
      </c>
      <c r="CA28">
        <v>10</v>
      </c>
      <c r="CB28">
        <v>12</v>
      </c>
      <c r="CC28">
        <v>15</v>
      </c>
      <c r="CD28">
        <v>21</v>
      </c>
      <c r="CE28">
        <v>25</v>
      </c>
      <c r="CF28">
        <v>27</v>
      </c>
      <c r="CG28">
        <v>19</v>
      </c>
      <c r="CH28">
        <v>14</v>
      </c>
      <c r="CI28">
        <v>11</v>
      </c>
      <c r="CJ28">
        <v>9</v>
      </c>
      <c r="CK28">
        <v>14</v>
      </c>
      <c r="CL28">
        <v>8</v>
      </c>
      <c r="CM28">
        <v>7</v>
      </c>
      <c r="CN28">
        <v>7</v>
      </c>
      <c r="CO28">
        <v>8</v>
      </c>
      <c r="CP28">
        <v>9</v>
      </c>
      <c r="CQ28">
        <v>9</v>
      </c>
      <c r="CR28">
        <v>10</v>
      </c>
      <c r="CS28">
        <v>11</v>
      </c>
      <c r="CT28">
        <v>12</v>
      </c>
      <c r="CU28">
        <v>15</v>
      </c>
      <c r="CV28">
        <v>16</v>
      </c>
      <c r="CW28">
        <v>16</v>
      </c>
      <c r="CX28">
        <v>18</v>
      </c>
      <c r="CY28">
        <v>19</v>
      </c>
      <c r="CZ28">
        <v>21</v>
      </c>
      <c r="DA28">
        <v>22</v>
      </c>
      <c r="DB28">
        <v>22</v>
      </c>
      <c r="DC28">
        <v>22</v>
      </c>
      <c r="DD28">
        <v>23</v>
      </c>
      <c r="DE28">
        <v>24</v>
      </c>
      <c r="DF28">
        <v>27</v>
      </c>
      <c r="DG28">
        <v>30</v>
      </c>
      <c r="DH28">
        <v>31</v>
      </c>
      <c r="DI28">
        <v>32</v>
      </c>
      <c r="DJ28">
        <v>35</v>
      </c>
      <c r="DK28">
        <v>36</v>
      </c>
      <c r="DL28">
        <v>38</v>
      </c>
      <c r="DM28">
        <v>40</v>
      </c>
      <c r="DN28">
        <v>42</v>
      </c>
      <c r="DO28">
        <v>46</v>
      </c>
      <c r="DP28">
        <v>48</v>
      </c>
      <c r="DQ28">
        <v>44</v>
      </c>
    </row>
    <row r="29" spans="2:121" x14ac:dyDescent="0.35">
      <c r="B29">
        <v>23</v>
      </c>
      <c r="C29">
        <v>22</v>
      </c>
      <c r="D29">
        <v>21</v>
      </c>
      <c r="E29">
        <v>21</v>
      </c>
      <c r="F29">
        <v>19</v>
      </c>
      <c r="G29">
        <v>17</v>
      </c>
      <c r="H29">
        <v>16</v>
      </c>
      <c r="I29">
        <v>15</v>
      </c>
      <c r="J29">
        <v>15</v>
      </c>
      <c r="K29">
        <v>13</v>
      </c>
      <c r="L29">
        <v>11</v>
      </c>
      <c r="M29">
        <v>10</v>
      </c>
      <c r="N29">
        <v>9</v>
      </c>
      <c r="O29">
        <v>9</v>
      </c>
      <c r="P29">
        <v>8</v>
      </c>
      <c r="Q29">
        <v>6</v>
      </c>
      <c r="R29">
        <v>5</v>
      </c>
      <c r="S29">
        <v>4</v>
      </c>
      <c r="T29">
        <v>4</v>
      </c>
      <c r="U29">
        <v>4</v>
      </c>
      <c r="V29">
        <v>4</v>
      </c>
      <c r="W29">
        <v>4</v>
      </c>
      <c r="X29">
        <v>3</v>
      </c>
      <c r="Y29">
        <v>3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1</v>
      </c>
      <c r="AG29">
        <v>0</v>
      </c>
      <c r="AH29">
        <v>1</v>
      </c>
      <c r="AI29">
        <v>1</v>
      </c>
      <c r="AJ29">
        <v>1</v>
      </c>
      <c r="AK29">
        <v>2</v>
      </c>
      <c r="AL29">
        <v>2</v>
      </c>
      <c r="AM29">
        <v>2</v>
      </c>
      <c r="AN29">
        <v>3</v>
      </c>
      <c r="AO29">
        <v>4</v>
      </c>
      <c r="AP29">
        <v>2</v>
      </c>
      <c r="AQ29">
        <v>2</v>
      </c>
      <c r="AR29">
        <v>2</v>
      </c>
      <c r="AS29">
        <v>1</v>
      </c>
      <c r="AT29">
        <v>1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0</v>
      </c>
      <c r="BO29">
        <v>1</v>
      </c>
      <c r="BP29">
        <v>1</v>
      </c>
      <c r="BQ29">
        <v>1</v>
      </c>
      <c r="BR29">
        <v>2</v>
      </c>
      <c r="BS29">
        <v>0</v>
      </c>
      <c r="BT29">
        <v>1</v>
      </c>
      <c r="BU29">
        <v>1</v>
      </c>
      <c r="BV29">
        <v>2</v>
      </c>
      <c r="BW29">
        <v>1</v>
      </c>
      <c r="BX29">
        <v>4</v>
      </c>
      <c r="BY29">
        <v>3</v>
      </c>
      <c r="BZ29">
        <v>9</v>
      </c>
      <c r="CA29">
        <v>32</v>
      </c>
      <c r="CB29">
        <v>38</v>
      </c>
      <c r="CC29">
        <v>73</v>
      </c>
      <c r="CD29">
        <v>99</v>
      </c>
      <c r="CE29">
        <v>93</v>
      </c>
      <c r="CF29">
        <v>77</v>
      </c>
      <c r="CG29">
        <v>50</v>
      </c>
      <c r="CH29">
        <v>50</v>
      </c>
      <c r="CI29">
        <v>75</v>
      </c>
      <c r="CJ29">
        <v>162</v>
      </c>
      <c r="CK29">
        <v>135</v>
      </c>
      <c r="CL29">
        <v>142</v>
      </c>
      <c r="CM29">
        <v>134</v>
      </c>
      <c r="CN29">
        <v>178</v>
      </c>
      <c r="CO29">
        <v>117</v>
      </c>
      <c r="CP29">
        <v>81</v>
      </c>
      <c r="CQ29">
        <v>104</v>
      </c>
      <c r="CR29">
        <v>102</v>
      </c>
      <c r="CS29">
        <v>49</v>
      </c>
      <c r="CT29">
        <v>28</v>
      </c>
      <c r="CU29">
        <v>23</v>
      </c>
      <c r="CV29">
        <v>22</v>
      </c>
      <c r="CW29">
        <v>28</v>
      </c>
      <c r="CX29">
        <v>42</v>
      </c>
      <c r="CY29">
        <v>65</v>
      </c>
      <c r="CZ29">
        <v>82</v>
      </c>
      <c r="DA29">
        <v>78</v>
      </c>
      <c r="DB29">
        <v>135</v>
      </c>
      <c r="DC29">
        <v>94</v>
      </c>
      <c r="DD29">
        <v>70</v>
      </c>
      <c r="DE29">
        <v>138</v>
      </c>
      <c r="DF29">
        <v>183</v>
      </c>
      <c r="DG29">
        <v>176</v>
      </c>
      <c r="DH29">
        <v>210</v>
      </c>
      <c r="DI29">
        <v>174</v>
      </c>
      <c r="DJ29">
        <v>101</v>
      </c>
      <c r="DK29">
        <v>67</v>
      </c>
      <c r="DL29">
        <v>36</v>
      </c>
      <c r="DM29">
        <v>16</v>
      </c>
      <c r="DN29">
        <v>8</v>
      </c>
      <c r="DO29">
        <v>10</v>
      </c>
      <c r="DP29">
        <v>8</v>
      </c>
      <c r="DQ29">
        <v>6</v>
      </c>
    </row>
    <row r="30" spans="2:121" x14ac:dyDescent="0.35">
      <c r="B30">
        <v>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2</v>
      </c>
      <c r="N30">
        <v>1</v>
      </c>
      <c r="O30">
        <v>0</v>
      </c>
      <c r="P30">
        <v>1</v>
      </c>
      <c r="Q30">
        <v>1</v>
      </c>
      <c r="R30">
        <v>2</v>
      </c>
      <c r="S30">
        <v>2</v>
      </c>
      <c r="T30">
        <v>3</v>
      </c>
      <c r="U30">
        <v>5</v>
      </c>
      <c r="V30">
        <v>6</v>
      </c>
      <c r="W30">
        <v>8</v>
      </c>
      <c r="X30">
        <v>6</v>
      </c>
      <c r="Y30">
        <v>5</v>
      </c>
      <c r="Z30">
        <v>6</v>
      </c>
      <c r="AA30">
        <v>4</v>
      </c>
      <c r="AB30">
        <v>4</v>
      </c>
      <c r="AC30">
        <v>3</v>
      </c>
      <c r="AD30">
        <v>3</v>
      </c>
      <c r="AE30">
        <v>2</v>
      </c>
      <c r="AF30">
        <v>2</v>
      </c>
      <c r="AG30">
        <v>2</v>
      </c>
      <c r="AH30">
        <v>2</v>
      </c>
      <c r="AI30">
        <v>2</v>
      </c>
      <c r="AJ30">
        <v>1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1</v>
      </c>
      <c r="AU30">
        <v>1</v>
      </c>
      <c r="AV30">
        <v>1</v>
      </c>
      <c r="AW30">
        <v>1</v>
      </c>
      <c r="AX30">
        <v>3</v>
      </c>
      <c r="AY30">
        <v>4</v>
      </c>
      <c r="AZ30">
        <v>5</v>
      </c>
      <c r="BA30">
        <v>5</v>
      </c>
      <c r="BB30">
        <v>8</v>
      </c>
      <c r="BC30">
        <v>9</v>
      </c>
      <c r="BD30">
        <v>6</v>
      </c>
      <c r="BE30">
        <v>9</v>
      </c>
      <c r="BF30">
        <v>10</v>
      </c>
      <c r="BG30">
        <v>11</v>
      </c>
      <c r="BH30">
        <v>10</v>
      </c>
      <c r="BI30">
        <v>11</v>
      </c>
      <c r="BJ30">
        <v>13</v>
      </c>
      <c r="BK30">
        <v>12</v>
      </c>
      <c r="BL30">
        <v>12</v>
      </c>
      <c r="BM30">
        <v>12</v>
      </c>
      <c r="BN30">
        <v>12</v>
      </c>
      <c r="BO30">
        <v>10</v>
      </c>
      <c r="BP30">
        <v>7</v>
      </c>
      <c r="BQ30">
        <v>9</v>
      </c>
      <c r="BR30">
        <v>5</v>
      </c>
      <c r="BS30">
        <v>6</v>
      </c>
      <c r="BT30">
        <v>13</v>
      </c>
      <c r="BU30">
        <v>30</v>
      </c>
      <c r="BV30">
        <v>62</v>
      </c>
      <c r="BW30">
        <v>83</v>
      </c>
      <c r="BX30">
        <v>55</v>
      </c>
      <c r="BY30">
        <v>64</v>
      </c>
      <c r="BZ30">
        <v>92</v>
      </c>
      <c r="CA30">
        <v>105</v>
      </c>
      <c r="CB30">
        <v>122</v>
      </c>
      <c r="CC30">
        <v>153</v>
      </c>
      <c r="CD30">
        <v>138</v>
      </c>
      <c r="CE30">
        <v>123</v>
      </c>
      <c r="CF30">
        <v>173</v>
      </c>
      <c r="CG30">
        <v>191</v>
      </c>
      <c r="CH30">
        <v>217</v>
      </c>
      <c r="CI30">
        <v>185</v>
      </c>
      <c r="CJ30">
        <v>226</v>
      </c>
      <c r="CK30">
        <v>182</v>
      </c>
      <c r="CL30">
        <v>180</v>
      </c>
      <c r="CM30">
        <v>189</v>
      </c>
      <c r="CN30">
        <v>174</v>
      </c>
      <c r="CO30">
        <v>178</v>
      </c>
      <c r="CP30">
        <v>126</v>
      </c>
      <c r="CQ30">
        <v>149</v>
      </c>
      <c r="CR30">
        <v>199</v>
      </c>
      <c r="CS30">
        <v>280</v>
      </c>
      <c r="CT30">
        <v>345</v>
      </c>
      <c r="CU30">
        <v>261</v>
      </c>
      <c r="CV30">
        <v>354</v>
      </c>
      <c r="CW30">
        <v>386</v>
      </c>
      <c r="CX30">
        <v>377</v>
      </c>
      <c r="CY30">
        <v>372</v>
      </c>
      <c r="CZ30">
        <v>276</v>
      </c>
      <c r="DA30">
        <v>315</v>
      </c>
      <c r="DB30">
        <v>415</v>
      </c>
      <c r="DC30">
        <v>306</v>
      </c>
      <c r="DD30">
        <v>177</v>
      </c>
      <c r="DE30">
        <v>81</v>
      </c>
      <c r="DF30">
        <v>41</v>
      </c>
      <c r="DG30">
        <v>27</v>
      </c>
      <c r="DH30">
        <v>16</v>
      </c>
      <c r="DI30">
        <v>14</v>
      </c>
      <c r="DJ30">
        <v>15</v>
      </c>
      <c r="DK30">
        <v>55</v>
      </c>
      <c r="DL30">
        <v>119</v>
      </c>
      <c r="DM30">
        <v>165</v>
      </c>
      <c r="DN30">
        <v>199</v>
      </c>
      <c r="DO30">
        <v>118</v>
      </c>
      <c r="DP30">
        <v>81</v>
      </c>
      <c r="DQ30">
        <v>61</v>
      </c>
    </row>
    <row r="31" spans="2:121" x14ac:dyDescent="0.35">
      <c r="B31">
        <v>3</v>
      </c>
      <c r="C31">
        <v>4</v>
      </c>
      <c r="D31">
        <v>2</v>
      </c>
      <c r="E31">
        <v>4</v>
      </c>
      <c r="F31">
        <v>2</v>
      </c>
      <c r="G31">
        <v>2</v>
      </c>
      <c r="H31">
        <v>12</v>
      </c>
      <c r="I31">
        <v>27</v>
      </c>
      <c r="J31">
        <v>39</v>
      </c>
      <c r="K31">
        <v>23</v>
      </c>
      <c r="L31">
        <v>13</v>
      </c>
      <c r="M31">
        <v>3</v>
      </c>
      <c r="N31">
        <v>1</v>
      </c>
      <c r="O31">
        <v>2</v>
      </c>
      <c r="P31">
        <v>2</v>
      </c>
      <c r="Q31">
        <v>2</v>
      </c>
      <c r="R31">
        <v>3</v>
      </c>
      <c r="S31">
        <v>31</v>
      </c>
      <c r="T31">
        <v>31</v>
      </c>
      <c r="U31">
        <v>29</v>
      </c>
      <c r="V31">
        <v>23</v>
      </c>
      <c r="W31">
        <v>0</v>
      </c>
      <c r="X31">
        <v>0</v>
      </c>
      <c r="Y31">
        <v>1</v>
      </c>
      <c r="Z31">
        <v>3</v>
      </c>
      <c r="AA31">
        <v>3</v>
      </c>
      <c r="AB31">
        <v>0</v>
      </c>
      <c r="AC31">
        <v>0</v>
      </c>
      <c r="AD31">
        <v>0</v>
      </c>
      <c r="AE31">
        <v>0</v>
      </c>
      <c r="AF31">
        <v>2</v>
      </c>
      <c r="AG31">
        <v>2</v>
      </c>
      <c r="AH31">
        <v>5</v>
      </c>
      <c r="AI31">
        <v>7</v>
      </c>
      <c r="AJ31">
        <v>7</v>
      </c>
      <c r="AK31">
        <v>9</v>
      </c>
      <c r="AL31">
        <v>16</v>
      </c>
      <c r="AM31">
        <v>18</v>
      </c>
      <c r="AN31">
        <v>18</v>
      </c>
      <c r="AO31">
        <v>20</v>
      </c>
      <c r="AP31">
        <v>21</v>
      </c>
      <c r="AQ31">
        <v>23</v>
      </c>
      <c r="AR31">
        <v>27</v>
      </c>
      <c r="AS31">
        <v>31</v>
      </c>
      <c r="AT31">
        <v>32</v>
      </c>
      <c r="AU31">
        <v>28</v>
      </c>
      <c r="AV31">
        <v>25</v>
      </c>
      <c r="AW31">
        <v>26</v>
      </c>
      <c r="AX31">
        <v>28</v>
      </c>
      <c r="AY31">
        <v>31</v>
      </c>
      <c r="AZ31">
        <v>34</v>
      </c>
      <c r="BA31">
        <v>40</v>
      </c>
      <c r="BB31">
        <v>37</v>
      </c>
      <c r="BC31">
        <v>28</v>
      </c>
      <c r="BD31">
        <v>22</v>
      </c>
      <c r="BE31">
        <v>19</v>
      </c>
      <c r="BF31">
        <v>18</v>
      </c>
      <c r="BG31">
        <v>21</v>
      </c>
      <c r="BH31">
        <v>21</v>
      </c>
      <c r="BI31">
        <v>20</v>
      </c>
      <c r="BJ31">
        <v>21</v>
      </c>
      <c r="BK31">
        <v>23</v>
      </c>
      <c r="BL31">
        <v>28</v>
      </c>
      <c r="BM31">
        <v>28</v>
      </c>
      <c r="BN31">
        <v>28</v>
      </c>
      <c r="BO31">
        <v>25</v>
      </c>
      <c r="BP31">
        <v>26</v>
      </c>
      <c r="BQ31">
        <v>29</v>
      </c>
      <c r="BR31">
        <v>34</v>
      </c>
      <c r="BS31">
        <v>38</v>
      </c>
      <c r="BT31">
        <v>40</v>
      </c>
      <c r="BU31">
        <v>38</v>
      </c>
      <c r="BV31">
        <v>34</v>
      </c>
      <c r="BW31">
        <v>28</v>
      </c>
      <c r="BX31">
        <v>28</v>
      </c>
      <c r="BY31">
        <v>29</v>
      </c>
      <c r="BZ31">
        <v>31</v>
      </c>
      <c r="CA31">
        <v>34</v>
      </c>
      <c r="CB31">
        <v>36</v>
      </c>
      <c r="CC31">
        <v>37</v>
      </c>
      <c r="CD31">
        <v>39</v>
      </c>
      <c r="CE31">
        <v>40</v>
      </c>
      <c r="CF31">
        <v>40</v>
      </c>
      <c r="CG31">
        <v>40</v>
      </c>
      <c r="CH31">
        <v>40</v>
      </c>
      <c r="CI31">
        <v>40</v>
      </c>
      <c r="CJ31">
        <v>42</v>
      </c>
      <c r="CK31">
        <v>44</v>
      </c>
      <c r="CL31">
        <v>47</v>
      </c>
      <c r="CM31">
        <v>47</v>
      </c>
      <c r="CN31">
        <v>51</v>
      </c>
      <c r="CO31">
        <v>58</v>
      </c>
      <c r="CP31">
        <v>62</v>
      </c>
      <c r="CQ31">
        <v>63</v>
      </c>
      <c r="CR31">
        <v>59</v>
      </c>
      <c r="CS31">
        <v>57</v>
      </c>
      <c r="CT31">
        <v>57</v>
      </c>
      <c r="CU31">
        <v>59</v>
      </c>
      <c r="CV31">
        <v>61</v>
      </c>
      <c r="CW31">
        <v>64</v>
      </c>
      <c r="CX31">
        <v>69</v>
      </c>
      <c r="CY31">
        <v>73</v>
      </c>
      <c r="CZ31">
        <v>71</v>
      </c>
      <c r="DA31">
        <v>67</v>
      </c>
      <c r="DB31">
        <v>61</v>
      </c>
      <c r="DC31">
        <v>58</v>
      </c>
      <c r="DD31">
        <v>54</v>
      </c>
      <c r="DE31">
        <v>56</v>
      </c>
      <c r="DF31">
        <v>62</v>
      </c>
      <c r="DG31">
        <v>63</v>
      </c>
      <c r="DH31">
        <v>60</v>
      </c>
      <c r="DI31">
        <v>62</v>
      </c>
      <c r="DJ31">
        <v>66</v>
      </c>
      <c r="DK31">
        <v>69</v>
      </c>
      <c r="DL31">
        <v>67</v>
      </c>
      <c r="DM31">
        <v>64</v>
      </c>
      <c r="DN31">
        <v>62</v>
      </c>
      <c r="DO31">
        <v>61</v>
      </c>
      <c r="DP31">
        <v>58</v>
      </c>
      <c r="DQ31">
        <v>55</v>
      </c>
    </row>
    <row r="32" spans="2:121" x14ac:dyDescent="0.35">
      <c r="B32">
        <v>65</v>
      </c>
      <c r="C32">
        <v>65</v>
      </c>
      <c r="D32">
        <v>68</v>
      </c>
      <c r="E32">
        <v>73</v>
      </c>
      <c r="F32">
        <v>78</v>
      </c>
      <c r="G32">
        <v>75</v>
      </c>
      <c r="H32">
        <v>71</v>
      </c>
      <c r="I32">
        <v>68</v>
      </c>
      <c r="J32">
        <v>62</v>
      </c>
      <c r="K32">
        <v>61</v>
      </c>
      <c r="L32">
        <v>63</v>
      </c>
      <c r="M32">
        <v>71</v>
      </c>
      <c r="N32">
        <v>73</v>
      </c>
      <c r="O32">
        <v>72</v>
      </c>
      <c r="P32">
        <v>74</v>
      </c>
      <c r="Q32">
        <v>76</v>
      </c>
      <c r="R32">
        <v>73</v>
      </c>
      <c r="S32">
        <v>69</v>
      </c>
      <c r="T32">
        <v>66</v>
      </c>
      <c r="U32">
        <v>62</v>
      </c>
      <c r="V32">
        <v>61</v>
      </c>
      <c r="W32">
        <v>59</v>
      </c>
      <c r="X32">
        <v>58</v>
      </c>
      <c r="Y32">
        <v>59</v>
      </c>
      <c r="Z32">
        <v>60</v>
      </c>
      <c r="AA32">
        <v>56</v>
      </c>
      <c r="AB32">
        <v>55</v>
      </c>
      <c r="AC32">
        <v>55</v>
      </c>
      <c r="AD32">
        <v>55</v>
      </c>
      <c r="AE32">
        <v>54</v>
      </c>
      <c r="AF32">
        <v>52</v>
      </c>
      <c r="AG32">
        <v>54</v>
      </c>
      <c r="AH32">
        <v>52</v>
      </c>
      <c r="AI32">
        <v>51</v>
      </c>
      <c r="AJ32">
        <v>47</v>
      </c>
      <c r="AK32">
        <v>45</v>
      </c>
      <c r="AL32">
        <v>44</v>
      </c>
      <c r="AM32">
        <v>41</v>
      </c>
      <c r="AN32">
        <v>40</v>
      </c>
      <c r="AO32">
        <v>39</v>
      </c>
      <c r="AP32">
        <v>38</v>
      </c>
      <c r="AQ32">
        <v>36</v>
      </c>
      <c r="AR32">
        <v>35</v>
      </c>
      <c r="AS32">
        <v>33</v>
      </c>
      <c r="AT32">
        <v>32</v>
      </c>
      <c r="AU32">
        <v>33</v>
      </c>
      <c r="AV32">
        <v>32</v>
      </c>
      <c r="AW32">
        <v>30</v>
      </c>
      <c r="AX32">
        <v>28</v>
      </c>
      <c r="AY32">
        <v>26</v>
      </c>
      <c r="AZ32">
        <v>25</v>
      </c>
      <c r="BA32">
        <v>23</v>
      </c>
      <c r="BB32">
        <v>21</v>
      </c>
      <c r="BC32">
        <v>19</v>
      </c>
      <c r="BD32">
        <v>18</v>
      </c>
      <c r="BE32">
        <v>14</v>
      </c>
      <c r="BF32">
        <v>13</v>
      </c>
      <c r="BG32">
        <v>11</v>
      </c>
      <c r="BH32">
        <v>9</v>
      </c>
      <c r="BI32">
        <v>6</v>
      </c>
      <c r="BJ32">
        <v>5</v>
      </c>
      <c r="BK32">
        <v>5</v>
      </c>
      <c r="BL32">
        <v>4</v>
      </c>
      <c r="BM32">
        <v>3</v>
      </c>
      <c r="BN32">
        <v>5</v>
      </c>
      <c r="BO32">
        <v>4</v>
      </c>
      <c r="BP32">
        <v>2</v>
      </c>
      <c r="BQ32">
        <v>2</v>
      </c>
      <c r="BR32">
        <v>0</v>
      </c>
      <c r="BS32">
        <v>2</v>
      </c>
      <c r="BT32">
        <v>3</v>
      </c>
      <c r="BU32">
        <v>7</v>
      </c>
      <c r="BV32">
        <v>8</v>
      </c>
      <c r="BW32">
        <v>10</v>
      </c>
      <c r="BX32">
        <v>11</v>
      </c>
      <c r="BY32">
        <v>11</v>
      </c>
      <c r="BZ32">
        <v>11</v>
      </c>
      <c r="CA32">
        <v>10</v>
      </c>
      <c r="CB32">
        <v>10</v>
      </c>
      <c r="CC32">
        <v>11</v>
      </c>
      <c r="CD32">
        <v>11</v>
      </c>
      <c r="CE32">
        <v>11</v>
      </c>
      <c r="CF32">
        <v>12</v>
      </c>
      <c r="CG32">
        <v>14</v>
      </c>
      <c r="CH32">
        <v>15</v>
      </c>
      <c r="CI32">
        <v>15</v>
      </c>
      <c r="CJ32">
        <v>17</v>
      </c>
      <c r="CK32">
        <v>18</v>
      </c>
      <c r="CL32">
        <v>18</v>
      </c>
      <c r="CM32">
        <v>15</v>
      </c>
      <c r="CN32">
        <v>17</v>
      </c>
      <c r="CO32">
        <v>15</v>
      </c>
      <c r="CP32">
        <v>15</v>
      </c>
      <c r="CQ32">
        <v>15</v>
      </c>
      <c r="CR32">
        <v>14</v>
      </c>
      <c r="CS32">
        <v>16</v>
      </c>
      <c r="CT32">
        <v>19</v>
      </c>
      <c r="CU32">
        <v>19</v>
      </c>
      <c r="CV32">
        <v>21</v>
      </c>
      <c r="CW32">
        <v>25</v>
      </c>
      <c r="CX32">
        <v>28</v>
      </c>
      <c r="CY32">
        <v>31</v>
      </c>
      <c r="CZ32">
        <v>32</v>
      </c>
      <c r="DA32">
        <v>30</v>
      </c>
      <c r="DB32">
        <v>28</v>
      </c>
      <c r="DC32">
        <v>33</v>
      </c>
      <c r="DD32">
        <v>37</v>
      </c>
      <c r="DE32">
        <v>38</v>
      </c>
      <c r="DF32">
        <v>40</v>
      </c>
      <c r="DG32">
        <v>41</v>
      </c>
      <c r="DH32">
        <v>42</v>
      </c>
      <c r="DI32">
        <v>40</v>
      </c>
      <c r="DJ32">
        <v>37</v>
      </c>
      <c r="DK32">
        <v>36</v>
      </c>
      <c r="DL32">
        <v>31</v>
      </c>
      <c r="DM32">
        <v>31</v>
      </c>
      <c r="DN32">
        <v>33</v>
      </c>
      <c r="DO32">
        <v>33</v>
      </c>
      <c r="DP32">
        <v>33</v>
      </c>
      <c r="DQ32">
        <v>32</v>
      </c>
    </row>
    <row r="33" spans="2:121" x14ac:dyDescent="0.35">
      <c r="B33">
        <v>31</v>
      </c>
      <c r="C33">
        <v>28</v>
      </c>
      <c r="D33">
        <v>27</v>
      </c>
      <c r="E33">
        <v>25</v>
      </c>
      <c r="F33">
        <v>23</v>
      </c>
      <c r="G33">
        <v>22</v>
      </c>
      <c r="H33">
        <v>18</v>
      </c>
      <c r="I33">
        <v>17</v>
      </c>
      <c r="J33">
        <v>15</v>
      </c>
      <c r="K33">
        <v>12</v>
      </c>
      <c r="L33">
        <v>9</v>
      </c>
      <c r="M33">
        <v>8</v>
      </c>
      <c r="N33">
        <v>6</v>
      </c>
      <c r="O33">
        <v>5</v>
      </c>
      <c r="P33">
        <v>4</v>
      </c>
      <c r="Q33">
        <v>3</v>
      </c>
      <c r="R33">
        <v>3</v>
      </c>
      <c r="S33">
        <v>4</v>
      </c>
      <c r="T33">
        <v>2</v>
      </c>
      <c r="U33">
        <v>1</v>
      </c>
      <c r="V33">
        <v>2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</v>
      </c>
      <c r="AF33">
        <v>5</v>
      </c>
      <c r="AG33">
        <v>9</v>
      </c>
      <c r="AH33">
        <v>10</v>
      </c>
      <c r="AI33">
        <v>13</v>
      </c>
      <c r="AJ33">
        <v>15</v>
      </c>
      <c r="AK33">
        <v>21</v>
      </c>
      <c r="AL33">
        <v>19</v>
      </c>
      <c r="AM33">
        <v>24</v>
      </c>
      <c r="AN33">
        <v>23</v>
      </c>
      <c r="AO33">
        <v>21</v>
      </c>
      <c r="AP33">
        <v>23</v>
      </c>
      <c r="AQ33">
        <v>24</v>
      </c>
      <c r="AR33">
        <v>23</v>
      </c>
      <c r="AS33">
        <v>22</v>
      </c>
      <c r="AT33">
        <v>20</v>
      </c>
      <c r="AU33">
        <v>19</v>
      </c>
      <c r="AV33">
        <v>18</v>
      </c>
      <c r="AW33">
        <v>19</v>
      </c>
      <c r="AX33">
        <v>20</v>
      </c>
      <c r="AY33">
        <v>21</v>
      </c>
      <c r="AZ33">
        <v>22</v>
      </c>
      <c r="BA33">
        <v>21</v>
      </c>
      <c r="BB33">
        <v>20</v>
      </c>
      <c r="BC33">
        <v>20</v>
      </c>
      <c r="BD33">
        <v>18</v>
      </c>
      <c r="BE33">
        <v>19</v>
      </c>
      <c r="BF33">
        <v>20</v>
      </c>
      <c r="BG33">
        <v>23</v>
      </c>
      <c r="BH33">
        <v>26</v>
      </c>
      <c r="BI33">
        <v>28</v>
      </c>
      <c r="BJ33">
        <v>29</v>
      </c>
      <c r="BK33">
        <v>28</v>
      </c>
      <c r="BL33">
        <v>27</v>
      </c>
      <c r="BM33">
        <v>30</v>
      </c>
      <c r="BN33">
        <v>34</v>
      </c>
      <c r="BO33">
        <v>37</v>
      </c>
      <c r="BP33">
        <v>41</v>
      </c>
      <c r="BQ33">
        <v>39</v>
      </c>
      <c r="BR33">
        <v>40</v>
      </c>
      <c r="BS33">
        <v>45</v>
      </c>
      <c r="BT33">
        <v>43</v>
      </c>
      <c r="BU33">
        <v>49</v>
      </c>
      <c r="BV33">
        <v>52</v>
      </c>
      <c r="BW33">
        <v>58</v>
      </c>
      <c r="BX33">
        <v>62</v>
      </c>
      <c r="BY33">
        <v>62</v>
      </c>
      <c r="BZ33">
        <v>60</v>
      </c>
      <c r="CA33">
        <v>60</v>
      </c>
      <c r="CB33">
        <v>63</v>
      </c>
      <c r="CC33">
        <v>61</v>
      </c>
      <c r="CD33">
        <v>61</v>
      </c>
      <c r="CE33">
        <v>58</v>
      </c>
      <c r="CF33">
        <v>59</v>
      </c>
      <c r="CG33">
        <v>56</v>
      </c>
      <c r="CH33">
        <v>56</v>
      </c>
      <c r="CI33">
        <v>61</v>
      </c>
      <c r="CJ33">
        <v>57</v>
      </c>
      <c r="CK33">
        <v>55</v>
      </c>
      <c r="CL33">
        <v>64</v>
      </c>
      <c r="CM33">
        <v>53</v>
      </c>
      <c r="CN33">
        <v>71</v>
      </c>
      <c r="CO33">
        <v>128</v>
      </c>
      <c r="CP33">
        <v>187</v>
      </c>
      <c r="CQ33">
        <v>178</v>
      </c>
      <c r="CR33">
        <v>125</v>
      </c>
      <c r="CS33">
        <v>94</v>
      </c>
      <c r="CT33">
        <v>73</v>
      </c>
      <c r="CU33">
        <v>132</v>
      </c>
      <c r="CV33">
        <v>139</v>
      </c>
      <c r="CW33">
        <v>141</v>
      </c>
      <c r="CX33">
        <v>128</v>
      </c>
      <c r="CY33">
        <v>104</v>
      </c>
      <c r="CZ33">
        <v>100</v>
      </c>
      <c r="DA33">
        <v>93</v>
      </c>
      <c r="DB33">
        <v>98</v>
      </c>
      <c r="DC33">
        <v>91</v>
      </c>
      <c r="DD33">
        <v>106</v>
      </c>
      <c r="DE33">
        <v>129</v>
      </c>
      <c r="DF33">
        <v>172</v>
      </c>
      <c r="DG33">
        <v>145</v>
      </c>
      <c r="DH33">
        <v>141</v>
      </c>
      <c r="DI33">
        <v>133</v>
      </c>
      <c r="DJ33">
        <v>141</v>
      </c>
      <c r="DK33">
        <v>145</v>
      </c>
      <c r="DL33">
        <v>146</v>
      </c>
      <c r="DM33">
        <v>162</v>
      </c>
      <c r="DN33">
        <v>171</v>
      </c>
      <c r="DO33">
        <v>176</v>
      </c>
      <c r="DP33">
        <v>162</v>
      </c>
      <c r="DQ33">
        <v>144</v>
      </c>
    </row>
    <row r="34" spans="2:121" x14ac:dyDescent="0.35">
      <c r="B34">
        <v>47</v>
      </c>
      <c r="C34">
        <v>49</v>
      </c>
      <c r="D34">
        <v>54</v>
      </c>
      <c r="E34">
        <v>53</v>
      </c>
      <c r="F34">
        <v>52</v>
      </c>
      <c r="G34">
        <v>55</v>
      </c>
      <c r="H34">
        <v>55</v>
      </c>
      <c r="I34">
        <v>59</v>
      </c>
      <c r="J34">
        <v>63</v>
      </c>
      <c r="K34">
        <v>66</v>
      </c>
      <c r="L34">
        <v>68</v>
      </c>
      <c r="M34">
        <v>63</v>
      </c>
      <c r="N34">
        <v>61</v>
      </c>
      <c r="O34">
        <v>61</v>
      </c>
      <c r="P34">
        <v>60</v>
      </c>
      <c r="Q34">
        <v>55</v>
      </c>
      <c r="R34">
        <v>55</v>
      </c>
      <c r="S34">
        <v>58</v>
      </c>
      <c r="T34">
        <v>57</v>
      </c>
      <c r="U34">
        <v>57</v>
      </c>
      <c r="V34">
        <v>58</v>
      </c>
      <c r="W34">
        <v>60</v>
      </c>
      <c r="X34">
        <v>61</v>
      </c>
      <c r="Y34">
        <v>64</v>
      </c>
      <c r="Z34">
        <v>69</v>
      </c>
      <c r="AA34">
        <v>69</v>
      </c>
      <c r="AB34">
        <v>74</v>
      </c>
      <c r="AC34">
        <v>82</v>
      </c>
      <c r="AD34">
        <v>87</v>
      </c>
      <c r="AE34">
        <v>82</v>
      </c>
      <c r="AF34">
        <v>80</v>
      </c>
      <c r="AG34">
        <v>80</v>
      </c>
      <c r="AH34">
        <v>81</v>
      </c>
      <c r="AI34">
        <v>86</v>
      </c>
      <c r="AJ34">
        <v>89</v>
      </c>
      <c r="AK34">
        <v>88</v>
      </c>
      <c r="AL34">
        <v>85</v>
      </c>
      <c r="AM34">
        <v>84</v>
      </c>
      <c r="AN34">
        <v>85</v>
      </c>
      <c r="AO34">
        <v>89</v>
      </c>
      <c r="AP34">
        <v>94</v>
      </c>
      <c r="AQ34">
        <v>91</v>
      </c>
      <c r="AR34">
        <v>86</v>
      </c>
      <c r="AS34">
        <v>83</v>
      </c>
      <c r="AT34">
        <v>83</v>
      </c>
      <c r="AU34">
        <v>82</v>
      </c>
      <c r="AV34">
        <v>84</v>
      </c>
      <c r="AW34">
        <v>83</v>
      </c>
      <c r="AX34">
        <v>79</v>
      </c>
      <c r="AY34">
        <v>76</v>
      </c>
      <c r="AZ34">
        <v>77</v>
      </c>
      <c r="BA34">
        <v>77</v>
      </c>
      <c r="BB34">
        <v>75</v>
      </c>
      <c r="BC34">
        <v>74</v>
      </c>
      <c r="BD34">
        <v>73</v>
      </c>
      <c r="BE34">
        <v>73</v>
      </c>
      <c r="BF34">
        <v>71</v>
      </c>
      <c r="BG34">
        <v>71</v>
      </c>
      <c r="BH34">
        <v>68</v>
      </c>
      <c r="BI34">
        <v>68</v>
      </c>
      <c r="BJ34">
        <v>65</v>
      </c>
      <c r="BK34">
        <v>63</v>
      </c>
      <c r="BL34">
        <v>62</v>
      </c>
      <c r="BM34">
        <v>61</v>
      </c>
      <c r="BN34">
        <v>58</v>
      </c>
      <c r="BO34">
        <v>57</v>
      </c>
      <c r="BP34">
        <v>54</v>
      </c>
      <c r="BQ34">
        <v>52</v>
      </c>
      <c r="BR34">
        <v>51</v>
      </c>
      <c r="BS34">
        <v>46</v>
      </c>
      <c r="BT34">
        <v>45</v>
      </c>
      <c r="BU34">
        <v>43</v>
      </c>
      <c r="BV34">
        <v>40</v>
      </c>
      <c r="BW34">
        <v>38</v>
      </c>
      <c r="BX34">
        <v>37</v>
      </c>
      <c r="BY34">
        <v>34</v>
      </c>
      <c r="BZ34">
        <v>32</v>
      </c>
      <c r="CA34">
        <v>30</v>
      </c>
      <c r="CB34">
        <v>28</v>
      </c>
      <c r="CC34">
        <v>26</v>
      </c>
      <c r="CD34">
        <v>24</v>
      </c>
      <c r="CE34">
        <v>22</v>
      </c>
      <c r="CF34">
        <v>20</v>
      </c>
      <c r="CG34">
        <v>18</v>
      </c>
      <c r="CH34">
        <v>16</v>
      </c>
      <c r="CI34">
        <v>13</v>
      </c>
      <c r="CJ34">
        <v>10</v>
      </c>
      <c r="CK34">
        <v>7</v>
      </c>
      <c r="CL34">
        <v>6</v>
      </c>
      <c r="CM34">
        <v>4</v>
      </c>
      <c r="CN34">
        <v>3</v>
      </c>
      <c r="CO34">
        <v>1</v>
      </c>
      <c r="CP34">
        <v>1</v>
      </c>
      <c r="CQ34">
        <v>2</v>
      </c>
      <c r="CR34">
        <v>4</v>
      </c>
      <c r="CS34">
        <v>2</v>
      </c>
      <c r="CT34">
        <v>2</v>
      </c>
      <c r="CU34">
        <v>1</v>
      </c>
      <c r="CV34">
        <v>4</v>
      </c>
      <c r="CW34">
        <v>2</v>
      </c>
      <c r="CX34">
        <v>1</v>
      </c>
      <c r="CY34">
        <v>1</v>
      </c>
      <c r="CZ34">
        <v>3</v>
      </c>
      <c r="DA34">
        <v>8</v>
      </c>
      <c r="DB34">
        <v>14</v>
      </c>
      <c r="DC34">
        <v>13</v>
      </c>
      <c r="DD34">
        <v>10</v>
      </c>
      <c r="DE34">
        <v>16</v>
      </c>
      <c r="DF34">
        <v>18</v>
      </c>
      <c r="DG34">
        <v>14</v>
      </c>
      <c r="DH34">
        <v>20</v>
      </c>
      <c r="DI34">
        <v>15</v>
      </c>
      <c r="DJ34">
        <v>21</v>
      </c>
      <c r="DK34">
        <v>23</v>
      </c>
      <c r="DL34">
        <v>24</v>
      </c>
      <c r="DM34">
        <v>27</v>
      </c>
      <c r="DN34">
        <v>34</v>
      </c>
      <c r="DO34">
        <v>37</v>
      </c>
      <c r="DP34">
        <v>44</v>
      </c>
      <c r="DQ34">
        <v>40</v>
      </c>
    </row>
    <row r="35" spans="2:121" x14ac:dyDescent="0.35">
      <c r="B35">
        <v>158</v>
      </c>
      <c r="C35">
        <v>133</v>
      </c>
      <c r="D35">
        <v>185</v>
      </c>
      <c r="E35">
        <v>263</v>
      </c>
      <c r="F35">
        <v>348</v>
      </c>
      <c r="G35">
        <v>412</v>
      </c>
      <c r="H35">
        <v>434</v>
      </c>
      <c r="I35">
        <v>308</v>
      </c>
      <c r="J35">
        <v>209</v>
      </c>
      <c r="K35">
        <v>148</v>
      </c>
      <c r="L35">
        <v>181</v>
      </c>
      <c r="M35">
        <v>185</v>
      </c>
      <c r="N35">
        <v>209</v>
      </c>
      <c r="O35">
        <v>206</v>
      </c>
      <c r="P35">
        <v>144</v>
      </c>
      <c r="Q35">
        <v>129</v>
      </c>
      <c r="R35">
        <v>134</v>
      </c>
      <c r="S35">
        <v>122</v>
      </c>
      <c r="T35">
        <v>113</v>
      </c>
      <c r="U35">
        <v>116</v>
      </c>
      <c r="V35">
        <v>101</v>
      </c>
      <c r="W35">
        <v>92</v>
      </c>
      <c r="X35">
        <v>69</v>
      </c>
      <c r="Y35">
        <v>59</v>
      </c>
      <c r="Z35">
        <v>54</v>
      </c>
      <c r="AA35">
        <v>58</v>
      </c>
      <c r="AB35">
        <v>52</v>
      </c>
      <c r="AC35">
        <v>47</v>
      </c>
      <c r="AD35">
        <v>39</v>
      </c>
      <c r="AE35">
        <v>31</v>
      </c>
      <c r="AF35">
        <v>29</v>
      </c>
      <c r="AG35">
        <v>24</v>
      </c>
      <c r="AH35">
        <v>19</v>
      </c>
      <c r="AI35">
        <v>18</v>
      </c>
      <c r="AJ35">
        <v>18</v>
      </c>
      <c r="AK35">
        <v>14</v>
      </c>
      <c r="AL35">
        <v>13</v>
      </c>
      <c r="AM35">
        <v>12</v>
      </c>
      <c r="AN35">
        <v>10</v>
      </c>
      <c r="AO35">
        <v>8</v>
      </c>
      <c r="AP35">
        <v>10</v>
      </c>
      <c r="AQ35">
        <v>11</v>
      </c>
      <c r="AR35">
        <v>10</v>
      </c>
      <c r="AS35">
        <v>10</v>
      </c>
      <c r="AT35">
        <v>12</v>
      </c>
      <c r="AU35">
        <v>12</v>
      </c>
      <c r="AV35">
        <v>9</v>
      </c>
      <c r="AW35">
        <v>4</v>
      </c>
      <c r="AX35">
        <v>9</v>
      </c>
      <c r="AY35">
        <v>21</v>
      </c>
      <c r="AZ35">
        <v>32</v>
      </c>
      <c r="BA35">
        <v>37</v>
      </c>
      <c r="BB35">
        <v>56</v>
      </c>
      <c r="BC35">
        <v>65</v>
      </c>
      <c r="BD35">
        <v>52</v>
      </c>
      <c r="BE35">
        <v>51</v>
      </c>
      <c r="BF35">
        <v>60</v>
      </c>
      <c r="BG35">
        <v>53</v>
      </c>
      <c r="BH35">
        <v>60</v>
      </c>
      <c r="BI35">
        <v>63</v>
      </c>
      <c r="BJ35">
        <v>76</v>
      </c>
      <c r="BK35">
        <v>69</v>
      </c>
      <c r="BL35">
        <v>63</v>
      </c>
      <c r="BM35">
        <v>59</v>
      </c>
      <c r="BN35">
        <v>55</v>
      </c>
      <c r="BO35">
        <v>50</v>
      </c>
      <c r="BP35">
        <v>39</v>
      </c>
      <c r="BQ35">
        <v>25</v>
      </c>
      <c r="BR35">
        <v>12</v>
      </c>
      <c r="BS35">
        <v>13</v>
      </c>
      <c r="BT35">
        <v>10</v>
      </c>
      <c r="BU35">
        <v>11</v>
      </c>
      <c r="BV35">
        <v>26</v>
      </c>
      <c r="BW35">
        <v>19</v>
      </c>
      <c r="BX35">
        <v>19</v>
      </c>
      <c r="BY35">
        <v>12</v>
      </c>
      <c r="BZ35">
        <v>13</v>
      </c>
      <c r="CA35">
        <v>30</v>
      </c>
      <c r="CB35">
        <v>35</v>
      </c>
      <c r="CC35">
        <v>44</v>
      </c>
      <c r="CD35">
        <v>35</v>
      </c>
      <c r="CE35">
        <v>37</v>
      </c>
      <c r="CF35">
        <v>63</v>
      </c>
      <c r="CG35">
        <v>33</v>
      </c>
      <c r="CH35">
        <v>1</v>
      </c>
      <c r="CI35">
        <v>23</v>
      </c>
      <c r="CJ35">
        <v>144</v>
      </c>
      <c r="CK35">
        <v>274</v>
      </c>
      <c r="CL35">
        <v>158</v>
      </c>
      <c r="CM35">
        <v>38</v>
      </c>
      <c r="CN35">
        <v>1</v>
      </c>
      <c r="CO35">
        <v>9</v>
      </c>
      <c r="CP35">
        <v>7</v>
      </c>
      <c r="CQ35">
        <v>49</v>
      </c>
      <c r="CR35">
        <v>51</v>
      </c>
      <c r="CS35">
        <v>1</v>
      </c>
      <c r="CT35">
        <v>3</v>
      </c>
      <c r="CU35">
        <v>75</v>
      </c>
      <c r="CV35">
        <v>279</v>
      </c>
      <c r="CW35">
        <v>244</v>
      </c>
      <c r="CX35">
        <v>198</v>
      </c>
      <c r="CY35">
        <v>134</v>
      </c>
      <c r="CZ35">
        <v>91</v>
      </c>
      <c r="DA35">
        <v>158</v>
      </c>
      <c r="DB35">
        <v>58</v>
      </c>
      <c r="DC35">
        <v>100</v>
      </c>
      <c r="DD35">
        <v>91</v>
      </c>
      <c r="DE35">
        <v>221</v>
      </c>
      <c r="DF35">
        <v>287</v>
      </c>
      <c r="DG35">
        <v>423</v>
      </c>
      <c r="DH35">
        <v>404</v>
      </c>
      <c r="DI35">
        <v>239</v>
      </c>
      <c r="DJ35">
        <v>484</v>
      </c>
      <c r="DK35">
        <v>605</v>
      </c>
      <c r="DL35">
        <v>477</v>
      </c>
      <c r="DM35">
        <v>412</v>
      </c>
      <c r="DN35">
        <v>432</v>
      </c>
      <c r="DO35">
        <v>415</v>
      </c>
      <c r="DP35">
        <v>329</v>
      </c>
      <c r="DQ35">
        <v>230</v>
      </c>
    </row>
    <row r="36" spans="2:121" x14ac:dyDescent="0.35">
      <c r="B36">
        <v>44</v>
      </c>
      <c r="C36">
        <v>43</v>
      </c>
      <c r="D36">
        <v>44</v>
      </c>
      <c r="E36">
        <v>43</v>
      </c>
      <c r="F36">
        <v>48</v>
      </c>
      <c r="G36">
        <v>55</v>
      </c>
      <c r="H36">
        <v>59</v>
      </c>
      <c r="I36">
        <v>54</v>
      </c>
      <c r="J36">
        <v>46</v>
      </c>
      <c r="K36">
        <v>37</v>
      </c>
      <c r="L36">
        <v>40</v>
      </c>
      <c r="M36">
        <v>49</v>
      </c>
      <c r="N36">
        <v>56</v>
      </c>
      <c r="O36">
        <v>69</v>
      </c>
      <c r="P36">
        <v>60</v>
      </c>
      <c r="Q36">
        <v>49</v>
      </c>
      <c r="R36">
        <v>47</v>
      </c>
      <c r="S36">
        <v>53</v>
      </c>
      <c r="T36">
        <v>60</v>
      </c>
      <c r="U36">
        <v>67</v>
      </c>
      <c r="V36">
        <v>66</v>
      </c>
      <c r="W36">
        <v>54</v>
      </c>
      <c r="X36">
        <v>53</v>
      </c>
      <c r="Y36">
        <v>54</v>
      </c>
      <c r="Z36">
        <v>52</v>
      </c>
      <c r="AA36">
        <v>51</v>
      </c>
      <c r="AB36">
        <v>50</v>
      </c>
      <c r="AC36">
        <v>41</v>
      </c>
      <c r="AD36">
        <v>43</v>
      </c>
      <c r="AE36">
        <v>43</v>
      </c>
      <c r="AF36">
        <v>51</v>
      </c>
      <c r="AG36">
        <v>46</v>
      </c>
      <c r="AH36">
        <v>46</v>
      </c>
      <c r="AI36">
        <v>37</v>
      </c>
      <c r="AJ36">
        <v>43</v>
      </c>
      <c r="AK36">
        <v>48</v>
      </c>
      <c r="AL36">
        <v>50</v>
      </c>
      <c r="AM36">
        <v>54</v>
      </c>
      <c r="AN36">
        <v>58</v>
      </c>
      <c r="AO36">
        <v>60</v>
      </c>
      <c r="AP36">
        <v>63</v>
      </c>
      <c r="AQ36">
        <v>63</v>
      </c>
      <c r="AR36">
        <v>68</v>
      </c>
      <c r="AS36">
        <v>70</v>
      </c>
      <c r="AT36">
        <v>67</v>
      </c>
      <c r="AU36">
        <v>68</v>
      </c>
      <c r="AV36">
        <v>71</v>
      </c>
      <c r="AW36">
        <v>77</v>
      </c>
      <c r="AX36">
        <v>78</v>
      </c>
      <c r="AY36">
        <v>69</v>
      </c>
      <c r="AZ36">
        <v>66</v>
      </c>
      <c r="BA36">
        <v>62</v>
      </c>
      <c r="BB36">
        <v>61</v>
      </c>
      <c r="BC36">
        <v>62</v>
      </c>
      <c r="BD36">
        <v>67</v>
      </c>
      <c r="BE36">
        <v>75</v>
      </c>
      <c r="BF36">
        <v>70</v>
      </c>
      <c r="BG36">
        <v>62</v>
      </c>
      <c r="BH36">
        <v>62</v>
      </c>
      <c r="BI36">
        <v>63</v>
      </c>
      <c r="BJ36">
        <v>63</v>
      </c>
      <c r="BK36">
        <v>63</v>
      </c>
      <c r="BL36">
        <v>69</v>
      </c>
      <c r="BM36">
        <v>77</v>
      </c>
      <c r="BN36">
        <v>79</v>
      </c>
      <c r="BO36">
        <v>85</v>
      </c>
      <c r="BP36">
        <v>94</v>
      </c>
      <c r="BQ36">
        <v>90</v>
      </c>
      <c r="BR36">
        <v>93</v>
      </c>
      <c r="BS36">
        <v>96</v>
      </c>
      <c r="BT36">
        <v>100</v>
      </c>
      <c r="BU36">
        <v>97</v>
      </c>
      <c r="BV36">
        <v>98</v>
      </c>
      <c r="BW36">
        <v>98</v>
      </c>
      <c r="BX36">
        <v>98</v>
      </c>
      <c r="BY36">
        <v>101</v>
      </c>
      <c r="BZ36">
        <v>106</v>
      </c>
      <c r="CA36">
        <v>113</v>
      </c>
      <c r="CB36">
        <v>111</v>
      </c>
      <c r="CC36">
        <v>106</v>
      </c>
      <c r="CD36">
        <v>101</v>
      </c>
      <c r="CE36">
        <v>98</v>
      </c>
      <c r="CF36">
        <v>93</v>
      </c>
      <c r="CG36">
        <v>92</v>
      </c>
      <c r="CH36">
        <v>94</v>
      </c>
      <c r="CI36">
        <v>91</v>
      </c>
      <c r="CJ36">
        <v>90</v>
      </c>
      <c r="CK36">
        <v>89</v>
      </c>
      <c r="CL36">
        <v>88</v>
      </c>
      <c r="CM36">
        <v>87</v>
      </c>
      <c r="CN36">
        <v>86</v>
      </c>
      <c r="CO36">
        <v>82</v>
      </c>
      <c r="CP36">
        <v>80</v>
      </c>
      <c r="CQ36">
        <v>78</v>
      </c>
      <c r="CR36">
        <v>75</v>
      </c>
      <c r="CS36">
        <v>75</v>
      </c>
      <c r="CT36">
        <v>72</v>
      </c>
      <c r="CU36">
        <v>68</v>
      </c>
      <c r="CV36">
        <v>65</v>
      </c>
      <c r="CW36">
        <v>66</v>
      </c>
      <c r="CX36">
        <v>63</v>
      </c>
      <c r="CY36">
        <v>63</v>
      </c>
      <c r="CZ36">
        <v>60</v>
      </c>
      <c r="DA36">
        <v>60</v>
      </c>
      <c r="DB36">
        <v>58</v>
      </c>
      <c r="DC36">
        <v>58</v>
      </c>
      <c r="DD36">
        <v>55</v>
      </c>
      <c r="DE36">
        <v>47</v>
      </c>
      <c r="DF36">
        <v>42</v>
      </c>
      <c r="DG36">
        <v>40</v>
      </c>
      <c r="DH36">
        <v>38</v>
      </c>
      <c r="DI36">
        <v>36</v>
      </c>
      <c r="DJ36">
        <v>38</v>
      </c>
      <c r="DK36">
        <v>35</v>
      </c>
      <c r="DL36">
        <v>31</v>
      </c>
      <c r="DM36">
        <v>29</v>
      </c>
      <c r="DN36">
        <v>32</v>
      </c>
      <c r="DO36">
        <v>23</v>
      </c>
      <c r="DP36">
        <v>19</v>
      </c>
      <c r="DQ36">
        <v>17</v>
      </c>
    </row>
    <row r="37" spans="2:121" x14ac:dyDescent="0.35">
      <c r="B37">
        <v>79</v>
      </c>
      <c r="C37">
        <v>74</v>
      </c>
      <c r="D37">
        <v>69</v>
      </c>
      <c r="E37">
        <v>66</v>
      </c>
      <c r="F37">
        <v>69</v>
      </c>
      <c r="G37">
        <v>69</v>
      </c>
      <c r="H37">
        <v>70</v>
      </c>
      <c r="I37">
        <v>68</v>
      </c>
      <c r="J37">
        <v>63</v>
      </c>
      <c r="K37">
        <v>62</v>
      </c>
      <c r="L37">
        <v>62</v>
      </c>
      <c r="M37">
        <v>65</v>
      </c>
      <c r="N37">
        <v>69</v>
      </c>
      <c r="O37">
        <v>72</v>
      </c>
      <c r="P37">
        <v>76</v>
      </c>
      <c r="Q37">
        <v>84</v>
      </c>
      <c r="R37">
        <v>94</v>
      </c>
      <c r="S37">
        <v>102</v>
      </c>
      <c r="T37">
        <v>94</v>
      </c>
      <c r="U37">
        <v>100</v>
      </c>
      <c r="V37">
        <v>107</v>
      </c>
      <c r="W37">
        <v>115</v>
      </c>
      <c r="X37">
        <v>110</v>
      </c>
      <c r="Y37">
        <v>110</v>
      </c>
      <c r="Z37">
        <v>103</v>
      </c>
      <c r="AA37">
        <v>104</v>
      </c>
      <c r="AB37">
        <v>104</v>
      </c>
      <c r="AC37">
        <v>109</v>
      </c>
      <c r="AD37">
        <v>114</v>
      </c>
      <c r="AE37">
        <v>114</v>
      </c>
      <c r="AF37">
        <v>110</v>
      </c>
      <c r="AG37">
        <v>105</v>
      </c>
      <c r="AH37">
        <v>101</v>
      </c>
      <c r="AI37">
        <v>96</v>
      </c>
      <c r="AJ37">
        <v>95</v>
      </c>
      <c r="AK37">
        <v>95</v>
      </c>
      <c r="AL37">
        <v>99</v>
      </c>
      <c r="AM37">
        <v>95</v>
      </c>
      <c r="AN37">
        <v>95</v>
      </c>
      <c r="AO37">
        <v>95</v>
      </c>
      <c r="AP37">
        <v>96</v>
      </c>
      <c r="AQ37">
        <v>95</v>
      </c>
      <c r="AR37">
        <v>92</v>
      </c>
      <c r="AS37">
        <v>87</v>
      </c>
      <c r="AT37">
        <v>84</v>
      </c>
      <c r="AU37">
        <v>80</v>
      </c>
      <c r="AV37">
        <v>77</v>
      </c>
      <c r="AW37">
        <v>78</v>
      </c>
      <c r="AX37">
        <v>74</v>
      </c>
      <c r="AY37">
        <v>68</v>
      </c>
      <c r="AZ37">
        <v>69</v>
      </c>
      <c r="BA37">
        <v>66</v>
      </c>
      <c r="BB37">
        <v>63</v>
      </c>
      <c r="BC37">
        <v>63</v>
      </c>
      <c r="BD37">
        <v>61</v>
      </c>
      <c r="BE37">
        <v>60</v>
      </c>
      <c r="BF37">
        <v>57</v>
      </c>
      <c r="BG37">
        <v>55</v>
      </c>
      <c r="BH37">
        <v>51</v>
      </c>
      <c r="BI37">
        <v>48</v>
      </c>
      <c r="BJ37">
        <v>46</v>
      </c>
      <c r="BK37">
        <v>45</v>
      </c>
      <c r="BL37">
        <v>42</v>
      </c>
      <c r="BM37">
        <v>37</v>
      </c>
      <c r="BN37">
        <v>36</v>
      </c>
      <c r="BO37">
        <v>33</v>
      </c>
      <c r="BP37">
        <v>31</v>
      </c>
      <c r="BQ37">
        <v>28</v>
      </c>
      <c r="BR37">
        <v>25</v>
      </c>
      <c r="BS37">
        <v>22</v>
      </c>
      <c r="BT37">
        <v>19</v>
      </c>
      <c r="BU37">
        <v>16</v>
      </c>
      <c r="BV37">
        <v>13</v>
      </c>
      <c r="BW37">
        <v>11</v>
      </c>
      <c r="BX37">
        <v>8</v>
      </c>
      <c r="BY37">
        <v>5</v>
      </c>
      <c r="BZ37">
        <v>4</v>
      </c>
      <c r="CA37">
        <v>1</v>
      </c>
      <c r="CB37">
        <v>1</v>
      </c>
      <c r="CC37">
        <v>1</v>
      </c>
      <c r="CD37">
        <v>1</v>
      </c>
      <c r="CE37">
        <v>0</v>
      </c>
      <c r="CF37">
        <v>1</v>
      </c>
      <c r="CG37">
        <v>2</v>
      </c>
      <c r="CH37">
        <v>0</v>
      </c>
      <c r="CI37">
        <v>0</v>
      </c>
      <c r="CJ37">
        <v>1</v>
      </c>
      <c r="CK37">
        <v>0</v>
      </c>
      <c r="CL37">
        <v>1</v>
      </c>
      <c r="CM37">
        <v>1</v>
      </c>
      <c r="CN37">
        <v>1</v>
      </c>
      <c r="CO37">
        <v>4</v>
      </c>
      <c r="CP37">
        <v>6</v>
      </c>
      <c r="CQ37">
        <v>5</v>
      </c>
      <c r="CR37">
        <v>8</v>
      </c>
      <c r="CS37">
        <v>9</v>
      </c>
      <c r="CT37">
        <v>8</v>
      </c>
      <c r="CU37">
        <v>7</v>
      </c>
      <c r="CV37">
        <v>8</v>
      </c>
      <c r="CW37">
        <v>13</v>
      </c>
      <c r="CX37">
        <v>15</v>
      </c>
      <c r="CY37">
        <v>18</v>
      </c>
      <c r="CZ37">
        <v>21</v>
      </c>
      <c r="DA37">
        <v>24</v>
      </c>
      <c r="DB37">
        <v>26</v>
      </c>
      <c r="DC37">
        <v>41</v>
      </c>
      <c r="DD37">
        <v>42</v>
      </c>
      <c r="DE37">
        <v>45</v>
      </c>
      <c r="DF37">
        <v>52</v>
      </c>
      <c r="DG37">
        <v>55</v>
      </c>
      <c r="DH37">
        <v>36</v>
      </c>
      <c r="DI37">
        <v>36</v>
      </c>
      <c r="DJ37">
        <v>36</v>
      </c>
      <c r="DK37">
        <v>44</v>
      </c>
      <c r="DL37">
        <v>50</v>
      </c>
      <c r="DM37">
        <v>52</v>
      </c>
      <c r="DN37">
        <v>44</v>
      </c>
      <c r="DO37">
        <v>45</v>
      </c>
      <c r="DP37">
        <v>39</v>
      </c>
      <c r="DQ37">
        <v>29</v>
      </c>
    </row>
    <row r="38" spans="2:121" x14ac:dyDescent="0.35">
      <c r="B38">
        <v>44</v>
      </c>
      <c r="C38">
        <v>52</v>
      </c>
      <c r="D38">
        <v>58</v>
      </c>
      <c r="E38">
        <v>62</v>
      </c>
      <c r="F38">
        <v>61</v>
      </c>
      <c r="G38">
        <v>66</v>
      </c>
      <c r="H38">
        <v>74</v>
      </c>
      <c r="I38">
        <v>78</v>
      </c>
      <c r="J38">
        <v>86</v>
      </c>
      <c r="K38">
        <v>82</v>
      </c>
      <c r="L38">
        <v>58</v>
      </c>
      <c r="M38">
        <v>55</v>
      </c>
      <c r="N38">
        <v>62</v>
      </c>
      <c r="O38">
        <v>87</v>
      </c>
      <c r="P38">
        <v>101</v>
      </c>
      <c r="Q38">
        <v>103</v>
      </c>
      <c r="R38">
        <v>95</v>
      </c>
      <c r="S38">
        <v>89</v>
      </c>
      <c r="T38">
        <v>74</v>
      </c>
      <c r="U38">
        <v>67</v>
      </c>
      <c r="V38">
        <v>60</v>
      </c>
      <c r="W38">
        <v>57</v>
      </c>
      <c r="X38">
        <v>64</v>
      </c>
      <c r="Y38">
        <v>59</v>
      </c>
      <c r="Z38">
        <v>59</v>
      </c>
      <c r="AA38">
        <v>54</v>
      </c>
      <c r="AB38">
        <v>49</v>
      </c>
      <c r="AC38">
        <v>44</v>
      </c>
      <c r="AD38">
        <v>44</v>
      </c>
      <c r="AE38">
        <v>51</v>
      </c>
      <c r="AF38">
        <v>53</v>
      </c>
      <c r="AG38">
        <v>52</v>
      </c>
      <c r="AH38">
        <v>56</v>
      </c>
      <c r="AI38">
        <v>62</v>
      </c>
      <c r="AJ38">
        <v>68</v>
      </c>
      <c r="AK38">
        <v>67</v>
      </c>
      <c r="AL38">
        <v>70</v>
      </c>
      <c r="AM38">
        <v>76</v>
      </c>
      <c r="AN38">
        <v>82</v>
      </c>
      <c r="AO38">
        <v>89</v>
      </c>
      <c r="AP38">
        <v>88</v>
      </c>
      <c r="AQ38">
        <v>84</v>
      </c>
      <c r="AR38">
        <v>85</v>
      </c>
      <c r="AS38">
        <v>83</v>
      </c>
      <c r="AT38">
        <v>82</v>
      </c>
      <c r="AU38">
        <v>84</v>
      </c>
      <c r="AV38">
        <v>80</v>
      </c>
      <c r="AW38">
        <v>73</v>
      </c>
      <c r="AX38">
        <v>72</v>
      </c>
      <c r="AY38">
        <v>77</v>
      </c>
      <c r="AZ38">
        <v>80</v>
      </c>
      <c r="BA38">
        <v>78</v>
      </c>
      <c r="BB38">
        <v>73</v>
      </c>
      <c r="BC38">
        <v>70</v>
      </c>
      <c r="BD38">
        <v>70</v>
      </c>
      <c r="BE38">
        <v>70</v>
      </c>
      <c r="BF38">
        <v>70</v>
      </c>
      <c r="BG38">
        <v>73</v>
      </c>
      <c r="BH38">
        <v>83</v>
      </c>
      <c r="BI38">
        <v>84</v>
      </c>
      <c r="BJ38">
        <v>93</v>
      </c>
      <c r="BK38">
        <v>105</v>
      </c>
      <c r="BL38">
        <v>105</v>
      </c>
      <c r="BM38">
        <v>107</v>
      </c>
      <c r="BN38">
        <v>102</v>
      </c>
      <c r="BO38">
        <v>106</v>
      </c>
      <c r="BP38">
        <v>110</v>
      </c>
      <c r="BQ38">
        <v>116</v>
      </c>
      <c r="BR38">
        <v>113</v>
      </c>
      <c r="BS38">
        <v>107</v>
      </c>
      <c r="BT38">
        <v>108</v>
      </c>
      <c r="BU38">
        <v>112</v>
      </c>
      <c r="BV38">
        <v>117</v>
      </c>
      <c r="BW38">
        <v>122</v>
      </c>
      <c r="BX38">
        <v>119</v>
      </c>
      <c r="BY38">
        <v>114</v>
      </c>
      <c r="BZ38">
        <v>111</v>
      </c>
      <c r="CA38">
        <v>107</v>
      </c>
      <c r="CB38">
        <v>105</v>
      </c>
      <c r="CC38">
        <v>105</v>
      </c>
      <c r="CD38">
        <v>99</v>
      </c>
      <c r="CE38">
        <v>98</v>
      </c>
      <c r="CF38">
        <v>101</v>
      </c>
      <c r="CG38">
        <v>104</v>
      </c>
      <c r="CH38">
        <v>109</v>
      </c>
      <c r="CI38">
        <v>112</v>
      </c>
      <c r="CJ38">
        <v>108</v>
      </c>
      <c r="CK38">
        <v>105</v>
      </c>
      <c r="CL38">
        <v>101</v>
      </c>
      <c r="CM38">
        <v>99</v>
      </c>
      <c r="CN38">
        <v>95</v>
      </c>
      <c r="CO38">
        <v>96</v>
      </c>
      <c r="CP38">
        <v>90</v>
      </c>
      <c r="CQ38">
        <v>80</v>
      </c>
      <c r="CR38">
        <v>73</v>
      </c>
      <c r="CS38">
        <v>69</v>
      </c>
      <c r="CT38">
        <v>66</v>
      </c>
      <c r="CU38">
        <v>65</v>
      </c>
      <c r="CV38">
        <v>64</v>
      </c>
      <c r="CW38">
        <v>63</v>
      </c>
      <c r="CX38">
        <v>59</v>
      </c>
      <c r="CY38">
        <v>56</v>
      </c>
      <c r="CZ38">
        <v>54</v>
      </c>
      <c r="DA38">
        <v>51</v>
      </c>
      <c r="DB38">
        <v>50</v>
      </c>
      <c r="DC38">
        <v>46</v>
      </c>
      <c r="DD38">
        <v>41</v>
      </c>
      <c r="DE38">
        <v>38</v>
      </c>
      <c r="DF38">
        <v>36</v>
      </c>
      <c r="DG38">
        <v>32</v>
      </c>
      <c r="DH38">
        <v>31</v>
      </c>
      <c r="DI38">
        <v>27</v>
      </c>
      <c r="DJ38">
        <v>25</v>
      </c>
      <c r="DK38">
        <v>24</v>
      </c>
      <c r="DL38">
        <v>20</v>
      </c>
      <c r="DM38">
        <v>16</v>
      </c>
      <c r="DN38">
        <v>13</v>
      </c>
      <c r="DO38">
        <v>9</v>
      </c>
      <c r="DP38">
        <v>6</v>
      </c>
      <c r="DQ38">
        <v>4</v>
      </c>
    </row>
    <row r="39" spans="2:121" x14ac:dyDescent="0.35">
      <c r="B39">
        <v>17</v>
      </c>
      <c r="C39">
        <v>32</v>
      </c>
      <c r="D39">
        <v>30</v>
      </c>
      <c r="E39">
        <v>22</v>
      </c>
      <c r="F39">
        <v>28</v>
      </c>
      <c r="G39">
        <v>28</v>
      </c>
      <c r="H39">
        <v>31</v>
      </c>
      <c r="I39">
        <v>37</v>
      </c>
      <c r="J39">
        <v>44</v>
      </c>
      <c r="K39">
        <v>90</v>
      </c>
      <c r="L39">
        <v>70</v>
      </c>
      <c r="M39">
        <v>37</v>
      </c>
      <c r="N39">
        <v>28</v>
      </c>
      <c r="O39">
        <v>94</v>
      </c>
      <c r="P39">
        <v>42</v>
      </c>
      <c r="Q39">
        <v>11</v>
      </c>
      <c r="R39">
        <v>6</v>
      </c>
      <c r="S39">
        <v>5</v>
      </c>
      <c r="T39">
        <v>5</v>
      </c>
      <c r="U39">
        <v>4</v>
      </c>
      <c r="V39">
        <v>6</v>
      </c>
      <c r="W39">
        <v>6</v>
      </c>
      <c r="X39">
        <v>7</v>
      </c>
      <c r="Y39">
        <v>7</v>
      </c>
      <c r="Z39">
        <v>7</v>
      </c>
      <c r="AA39">
        <v>3</v>
      </c>
      <c r="AB39">
        <v>4</v>
      </c>
      <c r="AC39">
        <v>7</v>
      </c>
      <c r="AD39">
        <v>9</v>
      </c>
      <c r="AE39">
        <v>13</v>
      </c>
      <c r="AF39">
        <v>19</v>
      </c>
      <c r="AG39">
        <v>24</v>
      </c>
      <c r="AH39">
        <v>27</v>
      </c>
      <c r="AI39">
        <v>29</v>
      </c>
      <c r="AJ39">
        <v>28</v>
      </c>
      <c r="AK39">
        <v>25</v>
      </c>
      <c r="AL39">
        <v>25</v>
      </c>
      <c r="AM39">
        <v>22</v>
      </c>
      <c r="AN39">
        <v>21</v>
      </c>
      <c r="AO39">
        <v>22</v>
      </c>
      <c r="AP39">
        <v>29</v>
      </c>
      <c r="AQ39">
        <v>30</v>
      </c>
      <c r="AR39">
        <v>38</v>
      </c>
      <c r="AS39">
        <v>25</v>
      </c>
      <c r="AT39">
        <v>26</v>
      </c>
      <c r="AU39">
        <v>42</v>
      </c>
      <c r="AV39">
        <v>112</v>
      </c>
      <c r="AW39">
        <v>59</v>
      </c>
      <c r="AX39">
        <v>83</v>
      </c>
      <c r="AY39">
        <v>67</v>
      </c>
      <c r="AZ39">
        <v>48</v>
      </c>
      <c r="BA39">
        <v>41</v>
      </c>
      <c r="BB39">
        <v>33</v>
      </c>
      <c r="BC39">
        <v>46</v>
      </c>
      <c r="BD39">
        <v>53</v>
      </c>
      <c r="BE39">
        <v>51</v>
      </c>
      <c r="BF39">
        <v>37</v>
      </c>
      <c r="BG39">
        <v>61</v>
      </c>
      <c r="BH39">
        <v>50</v>
      </c>
      <c r="BI39">
        <v>52</v>
      </c>
      <c r="BJ39">
        <v>59</v>
      </c>
      <c r="BK39">
        <v>68</v>
      </c>
      <c r="BL39">
        <v>59</v>
      </c>
      <c r="BM39">
        <v>48</v>
      </c>
      <c r="BN39">
        <v>49</v>
      </c>
      <c r="BO39">
        <v>63</v>
      </c>
      <c r="BP39">
        <v>86</v>
      </c>
      <c r="BQ39">
        <v>97</v>
      </c>
      <c r="BR39">
        <v>116</v>
      </c>
      <c r="BS39">
        <v>136</v>
      </c>
      <c r="BT39">
        <v>154</v>
      </c>
      <c r="BU39">
        <v>128</v>
      </c>
      <c r="BV39">
        <v>93</v>
      </c>
      <c r="BW39">
        <v>72</v>
      </c>
      <c r="BX39">
        <v>60</v>
      </c>
      <c r="BY39">
        <v>61</v>
      </c>
      <c r="BZ39">
        <v>67</v>
      </c>
      <c r="CA39">
        <v>97</v>
      </c>
      <c r="CB39">
        <v>115</v>
      </c>
      <c r="CC39">
        <v>118</v>
      </c>
      <c r="CD39">
        <v>104</v>
      </c>
      <c r="CE39">
        <v>93</v>
      </c>
      <c r="CF39">
        <v>86</v>
      </c>
      <c r="CG39">
        <v>82</v>
      </c>
      <c r="CH39">
        <v>79</v>
      </c>
      <c r="CI39">
        <v>71</v>
      </c>
      <c r="CJ39">
        <v>67</v>
      </c>
      <c r="CK39">
        <v>64</v>
      </c>
      <c r="CL39">
        <v>55</v>
      </c>
      <c r="CM39">
        <v>54</v>
      </c>
      <c r="CN39">
        <v>47</v>
      </c>
      <c r="CO39">
        <v>48</v>
      </c>
      <c r="CP39">
        <v>56</v>
      </c>
      <c r="CQ39">
        <v>58</v>
      </c>
      <c r="CR39">
        <v>61</v>
      </c>
      <c r="CS39">
        <v>63</v>
      </c>
      <c r="CT39">
        <v>71</v>
      </c>
      <c r="CU39">
        <v>80</v>
      </c>
      <c r="CV39">
        <v>81</v>
      </c>
      <c r="CW39">
        <v>79</v>
      </c>
      <c r="CX39">
        <v>82</v>
      </c>
      <c r="CY39">
        <v>88</v>
      </c>
      <c r="CZ39">
        <v>94</v>
      </c>
      <c r="DA39">
        <v>97</v>
      </c>
      <c r="DB39">
        <v>99</v>
      </c>
      <c r="DC39">
        <v>96</v>
      </c>
      <c r="DD39">
        <v>92</v>
      </c>
      <c r="DE39">
        <v>92</v>
      </c>
      <c r="DF39">
        <v>94</v>
      </c>
      <c r="DG39">
        <v>88</v>
      </c>
      <c r="DH39">
        <v>80</v>
      </c>
      <c r="DI39">
        <v>78</v>
      </c>
      <c r="DJ39">
        <v>80</v>
      </c>
      <c r="DK39">
        <v>81</v>
      </c>
      <c r="DL39">
        <v>86</v>
      </c>
      <c r="DM39">
        <v>87</v>
      </c>
      <c r="DN39">
        <v>79</v>
      </c>
      <c r="DO39">
        <v>73</v>
      </c>
      <c r="DP39">
        <v>72</v>
      </c>
      <c r="DQ39">
        <v>72</v>
      </c>
    </row>
    <row r="40" spans="2:121" x14ac:dyDescent="0.35">
      <c r="B40">
        <v>305</v>
      </c>
      <c r="C40">
        <v>235</v>
      </c>
      <c r="D40">
        <v>160</v>
      </c>
      <c r="E40">
        <v>205</v>
      </c>
      <c r="F40">
        <v>233</v>
      </c>
      <c r="G40">
        <v>156</v>
      </c>
      <c r="H40">
        <v>143</v>
      </c>
      <c r="I40">
        <v>134</v>
      </c>
      <c r="J40">
        <v>145</v>
      </c>
      <c r="K40">
        <v>48</v>
      </c>
      <c r="L40">
        <v>13</v>
      </c>
      <c r="M40">
        <v>3</v>
      </c>
      <c r="N40">
        <v>8</v>
      </c>
      <c r="O40">
        <v>17</v>
      </c>
      <c r="P40">
        <v>25</v>
      </c>
      <c r="Q40">
        <v>1</v>
      </c>
      <c r="R40">
        <v>1</v>
      </c>
      <c r="S40">
        <v>37</v>
      </c>
      <c r="T40">
        <v>110</v>
      </c>
      <c r="U40">
        <v>146</v>
      </c>
      <c r="V40">
        <v>45</v>
      </c>
      <c r="W40">
        <v>41</v>
      </c>
      <c r="X40">
        <v>22</v>
      </c>
      <c r="Y40">
        <v>20</v>
      </c>
      <c r="Z40">
        <v>24</v>
      </c>
      <c r="AA40">
        <v>28</v>
      </c>
      <c r="AB40">
        <v>32</v>
      </c>
      <c r="AC40">
        <v>80</v>
      </c>
      <c r="AD40">
        <v>91</v>
      </c>
      <c r="AE40">
        <v>83</v>
      </c>
      <c r="AF40">
        <v>83</v>
      </c>
      <c r="AG40">
        <v>101</v>
      </c>
      <c r="AH40">
        <v>113</v>
      </c>
      <c r="AI40">
        <v>162</v>
      </c>
      <c r="AJ40">
        <v>261</v>
      </c>
      <c r="AK40">
        <v>433</v>
      </c>
      <c r="AL40">
        <v>555</v>
      </c>
      <c r="AM40">
        <v>518</v>
      </c>
      <c r="AN40">
        <v>616</v>
      </c>
      <c r="AO40">
        <v>839</v>
      </c>
      <c r="AP40">
        <v>957</v>
      </c>
      <c r="AQ40">
        <v>731</v>
      </c>
      <c r="AR40">
        <v>587</v>
      </c>
      <c r="AS40">
        <v>783</v>
      </c>
      <c r="AT40">
        <v>728</v>
      </c>
      <c r="AU40">
        <v>697</v>
      </c>
      <c r="AV40">
        <v>886</v>
      </c>
      <c r="AW40">
        <v>910</v>
      </c>
      <c r="AX40">
        <v>854</v>
      </c>
      <c r="AY40">
        <v>819</v>
      </c>
      <c r="AZ40">
        <v>814</v>
      </c>
      <c r="BA40">
        <v>726</v>
      </c>
      <c r="BB40">
        <v>678</v>
      </c>
      <c r="BC40">
        <v>714</v>
      </c>
      <c r="BD40">
        <v>782</v>
      </c>
      <c r="BE40">
        <v>670</v>
      </c>
      <c r="BF40">
        <v>683</v>
      </c>
      <c r="BG40">
        <v>538</v>
      </c>
      <c r="BH40">
        <v>756</v>
      </c>
      <c r="BI40">
        <v>867</v>
      </c>
      <c r="BJ40">
        <v>771</v>
      </c>
      <c r="BK40">
        <v>440</v>
      </c>
      <c r="BL40">
        <v>227</v>
      </c>
      <c r="BM40">
        <v>131</v>
      </c>
      <c r="BN40">
        <v>173</v>
      </c>
      <c r="BO40">
        <v>159</v>
      </c>
      <c r="BP40">
        <v>269</v>
      </c>
      <c r="BQ40">
        <v>269</v>
      </c>
      <c r="BR40">
        <v>307</v>
      </c>
      <c r="BS40">
        <v>267</v>
      </c>
      <c r="BT40">
        <v>331</v>
      </c>
      <c r="BU40">
        <v>483</v>
      </c>
      <c r="BV40">
        <v>300</v>
      </c>
      <c r="BW40">
        <v>128</v>
      </c>
      <c r="BX40">
        <v>107</v>
      </c>
      <c r="BY40">
        <v>108</v>
      </c>
      <c r="BZ40">
        <v>217</v>
      </c>
      <c r="CA40">
        <v>458</v>
      </c>
      <c r="CB40">
        <v>418</v>
      </c>
      <c r="CC40">
        <v>271</v>
      </c>
      <c r="CD40">
        <v>155</v>
      </c>
      <c r="CE40">
        <v>83</v>
      </c>
      <c r="CF40">
        <v>63</v>
      </c>
      <c r="CG40">
        <v>99</v>
      </c>
      <c r="CH40">
        <v>188</v>
      </c>
      <c r="CI40">
        <v>211</v>
      </c>
      <c r="CJ40">
        <v>356</v>
      </c>
      <c r="CK40">
        <v>260</v>
      </c>
      <c r="CL40">
        <v>311</v>
      </c>
      <c r="CM40">
        <v>563</v>
      </c>
      <c r="CN40">
        <v>483</v>
      </c>
      <c r="CO40">
        <v>283</v>
      </c>
      <c r="CP40">
        <v>333</v>
      </c>
      <c r="CQ40">
        <v>347</v>
      </c>
      <c r="CR40">
        <v>286</v>
      </c>
      <c r="CS40">
        <v>189</v>
      </c>
      <c r="CT40">
        <v>61</v>
      </c>
      <c r="CU40">
        <v>84</v>
      </c>
      <c r="CV40">
        <v>141</v>
      </c>
      <c r="CW40">
        <v>195</v>
      </c>
      <c r="CX40">
        <v>182</v>
      </c>
      <c r="CY40">
        <v>109</v>
      </c>
      <c r="CZ40">
        <v>34</v>
      </c>
      <c r="DA40">
        <v>47</v>
      </c>
      <c r="DB40">
        <v>42</v>
      </c>
      <c r="DC40">
        <v>54</v>
      </c>
      <c r="DD40">
        <v>75</v>
      </c>
      <c r="DE40">
        <v>63</v>
      </c>
      <c r="DF40">
        <v>54</v>
      </c>
      <c r="DG40">
        <v>79</v>
      </c>
      <c r="DH40">
        <v>125</v>
      </c>
      <c r="DI40">
        <v>95</v>
      </c>
      <c r="DJ40">
        <v>62</v>
      </c>
      <c r="DK40">
        <v>57</v>
      </c>
      <c r="DL40">
        <v>69</v>
      </c>
      <c r="DM40">
        <v>83</v>
      </c>
      <c r="DN40">
        <v>44</v>
      </c>
      <c r="DO40">
        <v>19</v>
      </c>
      <c r="DP40">
        <v>19</v>
      </c>
      <c r="DQ40">
        <v>22</v>
      </c>
    </row>
    <row r="41" spans="2:121" x14ac:dyDescent="0.35">
      <c r="B41">
        <v>488</v>
      </c>
      <c r="C41">
        <v>415</v>
      </c>
      <c r="D41">
        <v>331</v>
      </c>
      <c r="E41">
        <v>285</v>
      </c>
      <c r="F41">
        <v>262</v>
      </c>
      <c r="G41">
        <v>270</v>
      </c>
      <c r="H41">
        <v>348</v>
      </c>
      <c r="I41">
        <v>341</v>
      </c>
      <c r="J41">
        <v>325</v>
      </c>
      <c r="K41">
        <v>306</v>
      </c>
      <c r="L41">
        <v>281</v>
      </c>
      <c r="M41">
        <v>248</v>
      </c>
      <c r="N41">
        <v>236</v>
      </c>
      <c r="O41">
        <v>219</v>
      </c>
      <c r="P41">
        <v>192</v>
      </c>
      <c r="Q41">
        <v>174</v>
      </c>
      <c r="R41">
        <v>176</v>
      </c>
      <c r="S41">
        <v>181</v>
      </c>
      <c r="T41">
        <v>158</v>
      </c>
      <c r="U41">
        <v>164</v>
      </c>
      <c r="V41">
        <v>173</v>
      </c>
      <c r="W41">
        <v>141</v>
      </c>
      <c r="X41">
        <v>148</v>
      </c>
      <c r="Y41">
        <v>187</v>
      </c>
      <c r="Z41">
        <v>140</v>
      </c>
      <c r="AA41">
        <v>129</v>
      </c>
      <c r="AB41">
        <v>119</v>
      </c>
      <c r="AC41">
        <v>109</v>
      </c>
      <c r="AD41">
        <v>97</v>
      </c>
      <c r="AE41">
        <v>82</v>
      </c>
      <c r="AF41">
        <v>69</v>
      </c>
      <c r="AG41">
        <v>77</v>
      </c>
      <c r="AH41">
        <v>73</v>
      </c>
      <c r="AI41">
        <v>72</v>
      </c>
      <c r="AJ41">
        <v>60</v>
      </c>
      <c r="AK41">
        <v>55</v>
      </c>
      <c r="AL41">
        <v>53</v>
      </c>
      <c r="AM41">
        <v>63</v>
      </c>
      <c r="AN41">
        <v>45</v>
      </c>
      <c r="AO41">
        <v>41</v>
      </c>
      <c r="AP41">
        <v>39</v>
      </c>
      <c r="AQ41">
        <v>39</v>
      </c>
      <c r="AR41">
        <v>36</v>
      </c>
      <c r="AS41">
        <v>33</v>
      </c>
      <c r="AT41">
        <v>32</v>
      </c>
      <c r="AU41">
        <v>32</v>
      </c>
      <c r="AV41">
        <v>30</v>
      </c>
      <c r="AW41">
        <v>30</v>
      </c>
      <c r="AX41">
        <v>28</v>
      </c>
      <c r="AY41">
        <v>27</v>
      </c>
      <c r="AZ41">
        <v>26</v>
      </c>
      <c r="BA41">
        <v>26</v>
      </c>
      <c r="BB41">
        <v>25</v>
      </c>
      <c r="BC41">
        <v>26</v>
      </c>
      <c r="BD41">
        <v>26</v>
      </c>
      <c r="BE41">
        <v>26</v>
      </c>
      <c r="BF41">
        <v>24</v>
      </c>
      <c r="BG41">
        <v>24</v>
      </c>
      <c r="BH41">
        <v>28</v>
      </c>
      <c r="BI41">
        <v>38</v>
      </c>
      <c r="BJ41">
        <v>26</v>
      </c>
      <c r="BK41">
        <v>27</v>
      </c>
      <c r="BL41">
        <v>38</v>
      </c>
      <c r="BM41">
        <v>45</v>
      </c>
      <c r="BN41">
        <v>52</v>
      </c>
      <c r="BO41">
        <v>66</v>
      </c>
      <c r="BP41">
        <v>62</v>
      </c>
      <c r="BQ41">
        <v>74</v>
      </c>
      <c r="BR41">
        <v>45</v>
      </c>
      <c r="BS41">
        <v>40</v>
      </c>
      <c r="BT41">
        <v>48</v>
      </c>
      <c r="BU41">
        <v>64</v>
      </c>
      <c r="BV41">
        <v>67</v>
      </c>
      <c r="BW41">
        <v>62</v>
      </c>
      <c r="BX41">
        <v>88</v>
      </c>
      <c r="BY41">
        <v>96</v>
      </c>
      <c r="BZ41">
        <v>80</v>
      </c>
      <c r="CA41">
        <v>86</v>
      </c>
      <c r="CB41">
        <v>102</v>
      </c>
      <c r="CC41">
        <v>101</v>
      </c>
      <c r="CD41">
        <v>88</v>
      </c>
      <c r="CE41">
        <v>77</v>
      </c>
      <c r="CF41">
        <v>67</v>
      </c>
      <c r="CG41">
        <v>54</v>
      </c>
      <c r="CH41">
        <v>43</v>
      </c>
      <c r="CI41">
        <v>44</v>
      </c>
      <c r="CJ41">
        <v>57</v>
      </c>
      <c r="CK41">
        <v>72</v>
      </c>
      <c r="CL41">
        <v>78</v>
      </c>
      <c r="CM41">
        <v>146</v>
      </c>
      <c r="CN41">
        <v>107</v>
      </c>
      <c r="CO41">
        <v>80</v>
      </c>
      <c r="CP41">
        <v>66</v>
      </c>
      <c r="CQ41">
        <v>80</v>
      </c>
      <c r="CR41">
        <v>60</v>
      </c>
      <c r="CS41">
        <v>73</v>
      </c>
      <c r="CT41">
        <v>86</v>
      </c>
      <c r="CU41">
        <v>87</v>
      </c>
      <c r="CV41">
        <v>74</v>
      </c>
      <c r="CW41">
        <v>74</v>
      </c>
      <c r="CX41">
        <v>67</v>
      </c>
      <c r="CY41">
        <v>56</v>
      </c>
      <c r="CZ41">
        <v>56</v>
      </c>
      <c r="DA41">
        <v>51</v>
      </c>
      <c r="DB41">
        <v>46</v>
      </c>
      <c r="DC41">
        <v>41</v>
      </c>
      <c r="DD41">
        <v>44</v>
      </c>
      <c r="DE41">
        <v>39</v>
      </c>
      <c r="DF41">
        <v>30</v>
      </c>
      <c r="DG41">
        <v>38</v>
      </c>
      <c r="DH41">
        <v>48</v>
      </c>
      <c r="DI41">
        <v>45</v>
      </c>
      <c r="DJ41">
        <v>25</v>
      </c>
      <c r="DK41">
        <v>16</v>
      </c>
      <c r="DL41">
        <v>30</v>
      </c>
      <c r="DM41">
        <v>28</v>
      </c>
      <c r="DN41">
        <v>29</v>
      </c>
      <c r="DO41">
        <v>18</v>
      </c>
      <c r="DP41">
        <v>9</v>
      </c>
      <c r="DQ41">
        <v>6</v>
      </c>
    </row>
    <row r="42" spans="2:121" x14ac:dyDescent="0.35">
      <c r="B42">
        <v>22</v>
      </c>
      <c r="C42">
        <v>23</v>
      </c>
      <c r="D42">
        <v>24</v>
      </c>
      <c r="E42">
        <v>25</v>
      </c>
      <c r="F42">
        <v>26</v>
      </c>
      <c r="G42">
        <v>25</v>
      </c>
      <c r="H42">
        <v>27</v>
      </c>
      <c r="I42">
        <v>27</v>
      </c>
      <c r="J42">
        <v>25</v>
      </c>
      <c r="K42">
        <v>19</v>
      </c>
      <c r="L42">
        <v>19</v>
      </c>
      <c r="M42">
        <v>17</v>
      </c>
      <c r="N42">
        <v>23</v>
      </c>
      <c r="O42">
        <v>22</v>
      </c>
      <c r="P42">
        <v>19</v>
      </c>
      <c r="Q42">
        <v>22</v>
      </c>
      <c r="R42">
        <v>19</v>
      </c>
      <c r="S42">
        <v>18</v>
      </c>
      <c r="T42">
        <v>22</v>
      </c>
      <c r="U42">
        <v>25</v>
      </c>
      <c r="V42">
        <v>27</v>
      </c>
      <c r="W42">
        <v>28</v>
      </c>
      <c r="X42">
        <v>29</v>
      </c>
      <c r="Y42">
        <v>25</v>
      </c>
      <c r="Z42">
        <v>24</v>
      </c>
      <c r="AA42">
        <v>25</v>
      </c>
      <c r="AB42">
        <v>31</v>
      </c>
      <c r="AC42">
        <v>44</v>
      </c>
      <c r="AD42">
        <v>49</v>
      </c>
      <c r="AE42">
        <v>58</v>
      </c>
      <c r="AF42">
        <v>68</v>
      </c>
      <c r="AG42">
        <v>86</v>
      </c>
      <c r="AH42">
        <v>119</v>
      </c>
      <c r="AI42">
        <v>119</v>
      </c>
      <c r="AJ42">
        <v>118</v>
      </c>
      <c r="AK42">
        <v>145</v>
      </c>
      <c r="AL42">
        <v>121</v>
      </c>
      <c r="AM42">
        <v>90</v>
      </c>
      <c r="AN42">
        <v>79</v>
      </c>
      <c r="AO42">
        <v>76</v>
      </c>
      <c r="AP42">
        <v>87</v>
      </c>
      <c r="AQ42">
        <v>87</v>
      </c>
      <c r="AR42">
        <v>89</v>
      </c>
      <c r="AS42">
        <v>100</v>
      </c>
      <c r="AT42">
        <v>111</v>
      </c>
      <c r="AU42">
        <v>116</v>
      </c>
      <c r="AV42">
        <v>98</v>
      </c>
      <c r="AW42">
        <v>89</v>
      </c>
      <c r="AX42">
        <v>80</v>
      </c>
      <c r="AY42">
        <v>71</v>
      </c>
      <c r="AZ42">
        <v>63</v>
      </c>
      <c r="BA42">
        <v>68</v>
      </c>
      <c r="BB42">
        <v>69</v>
      </c>
      <c r="BC42">
        <v>74</v>
      </c>
      <c r="BD42">
        <v>81</v>
      </c>
      <c r="BE42">
        <v>89</v>
      </c>
      <c r="BF42">
        <v>96</v>
      </c>
      <c r="BG42">
        <v>106</v>
      </c>
      <c r="BH42">
        <v>116</v>
      </c>
      <c r="BI42">
        <v>112</v>
      </c>
      <c r="BJ42">
        <v>111</v>
      </c>
      <c r="BK42">
        <v>117</v>
      </c>
      <c r="BL42">
        <v>119</v>
      </c>
      <c r="BM42">
        <v>127</v>
      </c>
      <c r="BN42">
        <v>134</v>
      </c>
      <c r="BO42">
        <v>138</v>
      </c>
      <c r="BP42">
        <v>147</v>
      </c>
      <c r="BQ42">
        <v>160</v>
      </c>
      <c r="BR42">
        <v>159</v>
      </c>
      <c r="BS42">
        <v>180</v>
      </c>
      <c r="BT42">
        <v>165</v>
      </c>
      <c r="BU42">
        <v>205</v>
      </c>
      <c r="BV42">
        <v>235</v>
      </c>
      <c r="BW42">
        <v>236</v>
      </c>
      <c r="BX42">
        <v>292</v>
      </c>
      <c r="BY42">
        <v>232</v>
      </c>
      <c r="BZ42">
        <v>188</v>
      </c>
      <c r="CA42">
        <v>159</v>
      </c>
      <c r="CB42">
        <v>145</v>
      </c>
      <c r="CC42">
        <v>111</v>
      </c>
      <c r="CD42">
        <v>123</v>
      </c>
      <c r="CE42">
        <v>116</v>
      </c>
      <c r="CF42">
        <v>84</v>
      </c>
      <c r="CG42">
        <v>102</v>
      </c>
      <c r="CH42">
        <v>156</v>
      </c>
      <c r="CI42">
        <v>317</v>
      </c>
      <c r="CJ42">
        <v>340</v>
      </c>
      <c r="CK42">
        <v>341</v>
      </c>
      <c r="CL42">
        <v>293</v>
      </c>
      <c r="CM42">
        <v>318</v>
      </c>
      <c r="CN42">
        <v>445</v>
      </c>
      <c r="CO42">
        <v>663</v>
      </c>
      <c r="CP42">
        <v>801</v>
      </c>
      <c r="CQ42">
        <v>682</v>
      </c>
      <c r="CR42">
        <v>422</v>
      </c>
      <c r="CS42">
        <v>483</v>
      </c>
      <c r="CT42">
        <v>665</v>
      </c>
      <c r="CU42">
        <v>794</v>
      </c>
      <c r="CV42">
        <v>883</v>
      </c>
      <c r="CW42">
        <v>997</v>
      </c>
      <c r="CX42">
        <v>917</v>
      </c>
      <c r="CY42">
        <v>623</v>
      </c>
      <c r="CZ42">
        <v>566</v>
      </c>
      <c r="DA42">
        <v>550</v>
      </c>
      <c r="DB42">
        <v>484</v>
      </c>
      <c r="DC42">
        <v>478</v>
      </c>
      <c r="DD42">
        <v>477</v>
      </c>
      <c r="DE42">
        <v>372</v>
      </c>
      <c r="DF42">
        <v>478</v>
      </c>
      <c r="DG42">
        <v>514</v>
      </c>
      <c r="DH42">
        <v>403</v>
      </c>
      <c r="DI42">
        <v>453</v>
      </c>
      <c r="DJ42">
        <v>651</v>
      </c>
      <c r="DK42">
        <v>759</v>
      </c>
      <c r="DL42">
        <v>752</v>
      </c>
      <c r="DM42">
        <v>762</v>
      </c>
      <c r="DN42">
        <v>912</v>
      </c>
      <c r="DO42">
        <v>1224</v>
      </c>
      <c r="DP42">
        <v>1240</v>
      </c>
      <c r="DQ42">
        <v>1223</v>
      </c>
    </row>
    <row r="43" spans="2:121" x14ac:dyDescent="0.35">
      <c r="B43">
        <v>130</v>
      </c>
      <c r="C43">
        <v>151</v>
      </c>
      <c r="D43">
        <v>114</v>
      </c>
      <c r="E43">
        <v>99</v>
      </c>
      <c r="F43">
        <v>91</v>
      </c>
      <c r="G43">
        <v>107</v>
      </c>
      <c r="H43">
        <v>87</v>
      </c>
      <c r="I43">
        <v>100</v>
      </c>
      <c r="J43">
        <v>101</v>
      </c>
      <c r="K43">
        <v>99</v>
      </c>
      <c r="L43">
        <v>102</v>
      </c>
      <c r="M43">
        <v>107</v>
      </c>
      <c r="N43">
        <v>98</v>
      </c>
      <c r="O43">
        <v>95</v>
      </c>
      <c r="P43">
        <v>108</v>
      </c>
      <c r="Q43">
        <v>106</v>
      </c>
      <c r="R43">
        <v>96</v>
      </c>
      <c r="S43">
        <v>89</v>
      </c>
      <c r="T43">
        <v>88</v>
      </c>
      <c r="U43">
        <v>99</v>
      </c>
      <c r="V43">
        <v>95</v>
      </c>
      <c r="W43">
        <v>89</v>
      </c>
      <c r="X43">
        <v>87</v>
      </c>
      <c r="Y43">
        <v>75</v>
      </c>
      <c r="Z43">
        <v>71</v>
      </c>
      <c r="AA43">
        <v>70</v>
      </c>
      <c r="AB43">
        <v>70</v>
      </c>
      <c r="AC43">
        <v>80</v>
      </c>
      <c r="AD43">
        <v>97</v>
      </c>
      <c r="AE43">
        <v>105</v>
      </c>
      <c r="AF43">
        <v>118</v>
      </c>
      <c r="AG43">
        <v>145</v>
      </c>
      <c r="AH43">
        <v>125</v>
      </c>
      <c r="AI43">
        <v>135</v>
      </c>
      <c r="AJ43">
        <v>133</v>
      </c>
      <c r="AK43">
        <v>125</v>
      </c>
      <c r="AL43">
        <v>142</v>
      </c>
      <c r="AM43">
        <v>156</v>
      </c>
      <c r="AN43">
        <v>176</v>
      </c>
      <c r="AO43">
        <v>207</v>
      </c>
      <c r="AP43">
        <v>201</v>
      </c>
      <c r="AQ43">
        <v>136</v>
      </c>
      <c r="AR43">
        <v>208</v>
      </c>
      <c r="AS43">
        <v>254</v>
      </c>
      <c r="AT43">
        <v>150</v>
      </c>
      <c r="AU43">
        <v>177</v>
      </c>
      <c r="AV43">
        <v>178</v>
      </c>
      <c r="AW43">
        <v>144</v>
      </c>
      <c r="AX43">
        <v>124</v>
      </c>
      <c r="AY43">
        <v>113</v>
      </c>
      <c r="AZ43">
        <v>119</v>
      </c>
      <c r="BA43">
        <v>134</v>
      </c>
      <c r="BB43">
        <v>129</v>
      </c>
      <c r="BC43">
        <v>124</v>
      </c>
      <c r="BD43">
        <v>109</v>
      </c>
      <c r="BE43">
        <v>107</v>
      </c>
      <c r="BF43">
        <v>113</v>
      </c>
      <c r="BG43">
        <v>139</v>
      </c>
      <c r="BH43">
        <v>144</v>
      </c>
      <c r="BI43">
        <v>186</v>
      </c>
      <c r="BJ43">
        <v>160</v>
      </c>
      <c r="BK43">
        <v>112</v>
      </c>
      <c r="BL43">
        <v>123</v>
      </c>
      <c r="BM43">
        <v>129</v>
      </c>
      <c r="BN43">
        <v>167</v>
      </c>
      <c r="BO43">
        <v>189</v>
      </c>
      <c r="BP43">
        <v>167</v>
      </c>
      <c r="BQ43">
        <v>163</v>
      </c>
      <c r="BR43">
        <v>178</v>
      </c>
      <c r="BS43">
        <v>191</v>
      </c>
      <c r="BT43">
        <v>197</v>
      </c>
      <c r="BU43">
        <v>213</v>
      </c>
      <c r="BV43">
        <v>226</v>
      </c>
      <c r="BW43">
        <v>235</v>
      </c>
      <c r="BX43">
        <v>278</v>
      </c>
      <c r="BY43">
        <v>244</v>
      </c>
      <c r="BZ43">
        <v>203</v>
      </c>
      <c r="CA43">
        <v>195</v>
      </c>
      <c r="CB43">
        <v>189</v>
      </c>
      <c r="CC43">
        <v>197</v>
      </c>
      <c r="CD43">
        <v>203</v>
      </c>
      <c r="CE43">
        <v>205</v>
      </c>
      <c r="CF43">
        <v>239</v>
      </c>
      <c r="CG43">
        <v>219</v>
      </c>
      <c r="CH43">
        <v>170</v>
      </c>
      <c r="CI43">
        <v>159</v>
      </c>
      <c r="CJ43">
        <v>143</v>
      </c>
      <c r="CK43">
        <v>141</v>
      </c>
      <c r="CL43">
        <v>135</v>
      </c>
      <c r="CM43">
        <v>135</v>
      </c>
      <c r="CN43">
        <v>130</v>
      </c>
      <c r="CO43">
        <v>129</v>
      </c>
      <c r="CP43">
        <v>122</v>
      </c>
      <c r="CQ43">
        <v>110</v>
      </c>
      <c r="CR43">
        <v>101</v>
      </c>
      <c r="CS43">
        <v>91</v>
      </c>
      <c r="CT43">
        <v>84</v>
      </c>
      <c r="CU43">
        <v>80</v>
      </c>
      <c r="CV43">
        <v>74</v>
      </c>
      <c r="CW43">
        <v>69</v>
      </c>
      <c r="CX43">
        <v>62</v>
      </c>
      <c r="CY43">
        <v>58</v>
      </c>
      <c r="CZ43">
        <v>57</v>
      </c>
      <c r="DA43">
        <v>54</v>
      </c>
      <c r="DB43">
        <v>47</v>
      </c>
      <c r="DC43">
        <v>43</v>
      </c>
      <c r="DD43">
        <v>38</v>
      </c>
      <c r="DE43">
        <v>37</v>
      </c>
      <c r="DF43">
        <v>31</v>
      </c>
      <c r="DG43">
        <v>31</v>
      </c>
      <c r="DH43">
        <v>27</v>
      </c>
      <c r="DI43">
        <v>23</v>
      </c>
      <c r="DJ43">
        <v>20</v>
      </c>
      <c r="DK43">
        <v>18</v>
      </c>
      <c r="DL43">
        <v>16</v>
      </c>
      <c r="DM43">
        <v>13</v>
      </c>
      <c r="DN43">
        <v>12</v>
      </c>
      <c r="DO43">
        <v>10</v>
      </c>
      <c r="DP43">
        <v>7</v>
      </c>
      <c r="DQ43">
        <v>5</v>
      </c>
    </row>
    <row r="44" spans="2:121" x14ac:dyDescent="0.35">
      <c r="B44">
        <v>14</v>
      </c>
      <c r="C44">
        <v>20</v>
      </c>
      <c r="D44">
        <v>10</v>
      </c>
      <c r="E44">
        <v>8</v>
      </c>
      <c r="F44">
        <v>6</v>
      </c>
      <c r="G44">
        <v>5</v>
      </c>
      <c r="H44">
        <v>4</v>
      </c>
      <c r="I44">
        <v>5</v>
      </c>
      <c r="J44">
        <v>6</v>
      </c>
      <c r="K44">
        <v>3</v>
      </c>
      <c r="L44">
        <v>4</v>
      </c>
      <c r="M44">
        <v>1</v>
      </c>
      <c r="N44">
        <v>2</v>
      </c>
      <c r="O44">
        <v>4</v>
      </c>
      <c r="P44">
        <v>21</v>
      </c>
      <c r="Q44">
        <v>81</v>
      </c>
      <c r="R44">
        <v>137</v>
      </c>
      <c r="S44">
        <v>151</v>
      </c>
      <c r="T44">
        <v>110</v>
      </c>
      <c r="U44">
        <v>65</v>
      </c>
      <c r="V44">
        <v>38</v>
      </c>
      <c r="W44">
        <v>26</v>
      </c>
      <c r="X44">
        <v>57</v>
      </c>
      <c r="Y44">
        <v>35</v>
      </c>
      <c r="Z44">
        <v>68</v>
      </c>
      <c r="AA44">
        <v>105</v>
      </c>
      <c r="AB44">
        <v>13</v>
      </c>
      <c r="AC44">
        <v>2</v>
      </c>
      <c r="AD44">
        <v>1</v>
      </c>
      <c r="AE44">
        <v>0</v>
      </c>
      <c r="AF44">
        <v>6</v>
      </c>
      <c r="AG44">
        <v>6</v>
      </c>
      <c r="AH44">
        <v>5</v>
      </c>
      <c r="AI44">
        <v>1</v>
      </c>
      <c r="AJ44">
        <v>5</v>
      </c>
      <c r="AK44">
        <v>27</v>
      </c>
      <c r="AL44">
        <v>33</v>
      </c>
      <c r="AM44">
        <v>173</v>
      </c>
      <c r="AN44">
        <v>347</v>
      </c>
      <c r="AO44">
        <v>321</v>
      </c>
      <c r="AP44">
        <v>290</v>
      </c>
      <c r="AQ44">
        <v>195</v>
      </c>
      <c r="AR44">
        <v>284</v>
      </c>
      <c r="AS44">
        <v>421</v>
      </c>
      <c r="AT44">
        <v>324</v>
      </c>
      <c r="AU44">
        <v>296</v>
      </c>
      <c r="AV44">
        <v>353</v>
      </c>
      <c r="AW44">
        <v>505</v>
      </c>
      <c r="AX44">
        <v>757</v>
      </c>
      <c r="AY44">
        <v>1030</v>
      </c>
      <c r="AZ44">
        <v>982</v>
      </c>
      <c r="BA44">
        <v>968</v>
      </c>
      <c r="BB44">
        <v>1023</v>
      </c>
      <c r="BC44">
        <v>1151</v>
      </c>
      <c r="BD44">
        <v>1411</v>
      </c>
      <c r="BE44">
        <v>1831</v>
      </c>
      <c r="BF44">
        <v>1546</v>
      </c>
      <c r="BG44">
        <v>1362</v>
      </c>
      <c r="BH44">
        <v>1621</v>
      </c>
      <c r="BI44">
        <v>1930</v>
      </c>
      <c r="BJ44">
        <v>2118</v>
      </c>
      <c r="BK44">
        <v>1857</v>
      </c>
      <c r="BL44">
        <v>1470</v>
      </c>
      <c r="BM44">
        <v>1148</v>
      </c>
      <c r="BN44">
        <v>1003</v>
      </c>
      <c r="BO44">
        <v>741</v>
      </c>
      <c r="BP44">
        <v>880</v>
      </c>
      <c r="BQ44">
        <v>847</v>
      </c>
      <c r="BR44">
        <v>509</v>
      </c>
      <c r="BS44">
        <v>475</v>
      </c>
      <c r="BT44">
        <v>285</v>
      </c>
      <c r="BU44">
        <v>377</v>
      </c>
      <c r="BV44">
        <v>647</v>
      </c>
      <c r="BW44">
        <v>738</v>
      </c>
      <c r="BX44">
        <v>887</v>
      </c>
      <c r="BY44">
        <v>882</v>
      </c>
      <c r="BZ44">
        <v>706</v>
      </c>
      <c r="CA44">
        <v>561</v>
      </c>
      <c r="CB44">
        <v>554</v>
      </c>
      <c r="CC44">
        <v>447</v>
      </c>
      <c r="CD44">
        <v>364</v>
      </c>
      <c r="CE44">
        <v>370</v>
      </c>
      <c r="CF44">
        <v>344</v>
      </c>
      <c r="CG44">
        <v>389</v>
      </c>
      <c r="CH44">
        <v>231</v>
      </c>
      <c r="CI44">
        <v>334</v>
      </c>
      <c r="CJ44">
        <v>329</v>
      </c>
      <c r="CK44">
        <v>269</v>
      </c>
      <c r="CL44">
        <v>275</v>
      </c>
      <c r="CM44">
        <v>295</v>
      </c>
      <c r="CN44">
        <v>295</v>
      </c>
      <c r="CO44">
        <v>222</v>
      </c>
      <c r="CP44">
        <v>188</v>
      </c>
      <c r="CQ44">
        <v>232</v>
      </c>
      <c r="CR44">
        <v>260</v>
      </c>
      <c r="CS44">
        <v>209</v>
      </c>
      <c r="CT44">
        <v>219</v>
      </c>
      <c r="CU44">
        <v>195</v>
      </c>
      <c r="CV44">
        <v>160</v>
      </c>
      <c r="CW44">
        <v>142</v>
      </c>
      <c r="CX44">
        <v>173</v>
      </c>
      <c r="CY44">
        <v>198</v>
      </c>
      <c r="CZ44">
        <v>225</v>
      </c>
      <c r="DA44">
        <v>246</v>
      </c>
      <c r="DB44">
        <v>315</v>
      </c>
      <c r="DC44">
        <v>336</v>
      </c>
      <c r="DD44">
        <v>314</v>
      </c>
      <c r="DE44">
        <v>232</v>
      </c>
      <c r="DF44">
        <v>206</v>
      </c>
      <c r="DG44">
        <v>276</v>
      </c>
      <c r="DH44">
        <v>274</v>
      </c>
      <c r="DI44">
        <v>176</v>
      </c>
      <c r="DJ44">
        <v>235</v>
      </c>
      <c r="DK44">
        <v>347</v>
      </c>
      <c r="DL44">
        <v>326</v>
      </c>
      <c r="DM44">
        <v>280</v>
      </c>
      <c r="DN44">
        <v>253</v>
      </c>
      <c r="DO44">
        <v>295</v>
      </c>
      <c r="DP44">
        <v>156</v>
      </c>
      <c r="DQ44">
        <v>219</v>
      </c>
    </row>
    <row r="45" spans="2:121" x14ac:dyDescent="0.35">
      <c r="B45">
        <v>217</v>
      </c>
      <c r="C45">
        <v>244</v>
      </c>
      <c r="D45">
        <v>302</v>
      </c>
      <c r="E45">
        <v>425</v>
      </c>
      <c r="F45">
        <v>444</v>
      </c>
      <c r="G45">
        <v>276</v>
      </c>
      <c r="H45">
        <v>277</v>
      </c>
      <c r="I45">
        <v>230</v>
      </c>
      <c r="J45">
        <v>206</v>
      </c>
      <c r="K45">
        <v>244</v>
      </c>
      <c r="L45">
        <v>328</v>
      </c>
      <c r="M45">
        <v>285</v>
      </c>
      <c r="N45">
        <v>125</v>
      </c>
      <c r="O45">
        <v>114</v>
      </c>
      <c r="P45">
        <v>106</v>
      </c>
      <c r="Q45">
        <v>91</v>
      </c>
      <c r="R45">
        <v>116</v>
      </c>
      <c r="S45">
        <v>146</v>
      </c>
      <c r="T45">
        <v>176</v>
      </c>
      <c r="U45">
        <v>256</v>
      </c>
      <c r="V45">
        <v>380</v>
      </c>
      <c r="W45">
        <v>542</v>
      </c>
      <c r="X45">
        <v>829</v>
      </c>
      <c r="Y45">
        <v>1046</v>
      </c>
      <c r="Z45">
        <v>1161</v>
      </c>
      <c r="AA45">
        <v>1131</v>
      </c>
      <c r="AB45">
        <v>1111</v>
      </c>
      <c r="AC45">
        <v>1244</v>
      </c>
      <c r="AD45">
        <v>1210</v>
      </c>
      <c r="AE45">
        <v>1164</v>
      </c>
      <c r="AF45">
        <v>1112</v>
      </c>
      <c r="AG45">
        <v>1031</v>
      </c>
      <c r="AH45">
        <v>973</v>
      </c>
      <c r="AI45">
        <v>933</v>
      </c>
      <c r="AJ45">
        <v>863</v>
      </c>
      <c r="AK45">
        <v>762</v>
      </c>
      <c r="AL45">
        <v>711</v>
      </c>
      <c r="AM45">
        <v>716</v>
      </c>
      <c r="AN45">
        <v>736</v>
      </c>
      <c r="AO45">
        <v>722</v>
      </c>
      <c r="AP45">
        <v>732</v>
      </c>
      <c r="AQ45">
        <v>834</v>
      </c>
      <c r="AR45">
        <v>794</v>
      </c>
      <c r="AS45">
        <v>892</v>
      </c>
      <c r="AT45">
        <v>912</v>
      </c>
      <c r="AU45">
        <v>988</v>
      </c>
      <c r="AV45">
        <v>1137</v>
      </c>
      <c r="AW45">
        <v>1262</v>
      </c>
      <c r="AX45">
        <v>1192</v>
      </c>
      <c r="AY45">
        <v>1143</v>
      </c>
      <c r="AZ45">
        <v>1085</v>
      </c>
      <c r="BA45">
        <v>1056</v>
      </c>
      <c r="BB45">
        <v>1053</v>
      </c>
      <c r="BC45">
        <v>1100</v>
      </c>
      <c r="BD45">
        <v>1161</v>
      </c>
      <c r="BE45">
        <v>1251</v>
      </c>
      <c r="BF45">
        <v>1128</v>
      </c>
      <c r="BG45">
        <v>1046</v>
      </c>
      <c r="BH45">
        <v>964</v>
      </c>
      <c r="BI45">
        <v>861</v>
      </c>
      <c r="BJ45">
        <v>833</v>
      </c>
      <c r="BK45">
        <v>800</v>
      </c>
      <c r="BL45">
        <v>694</v>
      </c>
      <c r="BM45">
        <v>629</v>
      </c>
      <c r="BN45">
        <v>524</v>
      </c>
      <c r="BO45">
        <v>446</v>
      </c>
      <c r="BP45">
        <v>376</v>
      </c>
      <c r="BQ45">
        <v>381</v>
      </c>
      <c r="BR45">
        <v>433</v>
      </c>
      <c r="BS45">
        <v>483</v>
      </c>
      <c r="BT45">
        <v>363</v>
      </c>
      <c r="BU45">
        <v>303</v>
      </c>
      <c r="BV45">
        <v>277</v>
      </c>
      <c r="BW45">
        <v>264</v>
      </c>
      <c r="BX45">
        <v>268</v>
      </c>
      <c r="BY45">
        <v>276</v>
      </c>
      <c r="BZ45">
        <v>300</v>
      </c>
      <c r="CA45">
        <v>337</v>
      </c>
      <c r="CB45">
        <v>344</v>
      </c>
      <c r="CC45">
        <v>395</v>
      </c>
      <c r="CD45">
        <v>446</v>
      </c>
      <c r="CE45">
        <v>499</v>
      </c>
      <c r="CF45">
        <v>464</v>
      </c>
      <c r="CG45">
        <v>379</v>
      </c>
      <c r="CH45">
        <v>277</v>
      </c>
      <c r="CI45">
        <v>198</v>
      </c>
      <c r="CJ45">
        <v>165</v>
      </c>
      <c r="CK45">
        <v>158</v>
      </c>
      <c r="CL45">
        <v>144</v>
      </c>
      <c r="CM45">
        <v>113</v>
      </c>
      <c r="CN45">
        <v>115</v>
      </c>
      <c r="CO45">
        <v>93</v>
      </c>
      <c r="CP45">
        <v>79</v>
      </c>
      <c r="CQ45">
        <v>81</v>
      </c>
      <c r="CR45">
        <v>68</v>
      </c>
      <c r="CS45">
        <v>69</v>
      </c>
      <c r="CT45">
        <v>66</v>
      </c>
      <c r="CU45">
        <v>60</v>
      </c>
      <c r="CV45">
        <v>59</v>
      </c>
      <c r="CW45">
        <v>60</v>
      </c>
      <c r="CX45">
        <v>55</v>
      </c>
      <c r="CY45">
        <v>53</v>
      </c>
      <c r="CZ45">
        <v>55</v>
      </c>
      <c r="DA45">
        <v>61</v>
      </c>
      <c r="DB45">
        <v>55</v>
      </c>
      <c r="DC45">
        <v>49</v>
      </c>
      <c r="DD45">
        <v>48</v>
      </c>
      <c r="DE45">
        <v>47</v>
      </c>
      <c r="DF45">
        <v>46</v>
      </c>
      <c r="DG45">
        <v>45</v>
      </c>
      <c r="DH45">
        <v>43</v>
      </c>
      <c r="DI45">
        <v>42</v>
      </c>
      <c r="DJ45">
        <v>43</v>
      </c>
      <c r="DK45">
        <v>43</v>
      </c>
      <c r="DL45">
        <v>44</v>
      </c>
      <c r="DM45">
        <v>43</v>
      </c>
      <c r="DN45">
        <v>40</v>
      </c>
      <c r="DO45">
        <v>40</v>
      </c>
      <c r="DP45">
        <v>38</v>
      </c>
      <c r="DQ45">
        <v>36</v>
      </c>
    </row>
    <row r="46" spans="2:121" x14ac:dyDescent="0.35">
      <c r="B46">
        <v>226</v>
      </c>
      <c r="C46">
        <v>270</v>
      </c>
      <c r="D46">
        <v>218</v>
      </c>
      <c r="E46">
        <v>169</v>
      </c>
      <c r="F46">
        <v>141</v>
      </c>
      <c r="G46">
        <v>111</v>
      </c>
      <c r="H46">
        <v>102</v>
      </c>
      <c r="I46">
        <v>98</v>
      </c>
      <c r="J46">
        <v>94</v>
      </c>
      <c r="K46">
        <v>91</v>
      </c>
      <c r="L46">
        <v>93</v>
      </c>
      <c r="M46">
        <v>94</v>
      </c>
      <c r="N46">
        <v>96</v>
      </c>
      <c r="O46">
        <v>105</v>
      </c>
      <c r="P46">
        <v>105</v>
      </c>
      <c r="Q46">
        <v>109</v>
      </c>
      <c r="R46">
        <v>112</v>
      </c>
      <c r="S46">
        <v>111</v>
      </c>
      <c r="T46">
        <v>117</v>
      </c>
      <c r="U46">
        <v>132</v>
      </c>
      <c r="V46">
        <v>173</v>
      </c>
      <c r="W46">
        <v>170</v>
      </c>
      <c r="X46">
        <v>177</v>
      </c>
      <c r="Y46">
        <v>217</v>
      </c>
      <c r="Z46">
        <v>284</v>
      </c>
      <c r="AA46">
        <v>367</v>
      </c>
      <c r="AB46">
        <v>360</v>
      </c>
      <c r="AC46">
        <v>469</v>
      </c>
      <c r="AD46">
        <v>680</v>
      </c>
      <c r="AE46">
        <v>633</v>
      </c>
      <c r="AF46">
        <v>480</v>
      </c>
      <c r="AG46">
        <v>460</v>
      </c>
      <c r="AH46">
        <v>459</v>
      </c>
      <c r="AI46">
        <v>481</v>
      </c>
      <c r="AJ46">
        <v>494</v>
      </c>
      <c r="AK46">
        <v>509</v>
      </c>
      <c r="AL46">
        <v>533</v>
      </c>
      <c r="AM46">
        <v>546</v>
      </c>
      <c r="AN46">
        <v>497</v>
      </c>
      <c r="AO46">
        <v>295</v>
      </c>
      <c r="AP46">
        <v>236</v>
      </c>
      <c r="AQ46">
        <v>277</v>
      </c>
      <c r="AR46">
        <v>368</v>
      </c>
      <c r="AS46">
        <v>453</v>
      </c>
      <c r="AT46">
        <v>498</v>
      </c>
      <c r="AU46">
        <v>606</v>
      </c>
      <c r="AV46">
        <v>669</v>
      </c>
      <c r="AW46">
        <v>691</v>
      </c>
      <c r="AX46">
        <v>715</v>
      </c>
      <c r="AY46">
        <v>678</v>
      </c>
      <c r="AZ46">
        <v>591</v>
      </c>
      <c r="BA46">
        <v>398</v>
      </c>
      <c r="BB46">
        <v>281</v>
      </c>
      <c r="BC46">
        <v>265</v>
      </c>
      <c r="BD46">
        <v>277</v>
      </c>
      <c r="BE46">
        <v>223</v>
      </c>
      <c r="BF46">
        <v>215</v>
      </c>
      <c r="BG46">
        <v>197</v>
      </c>
      <c r="BH46">
        <v>156</v>
      </c>
      <c r="BI46">
        <v>90</v>
      </c>
      <c r="BJ46">
        <v>56</v>
      </c>
      <c r="BK46">
        <v>43</v>
      </c>
      <c r="BL46">
        <v>38</v>
      </c>
      <c r="BM46">
        <v>35</v>
      </c>
      <c r="BN46">
        <v>39</v>
      </c>
      <c r="BO46">
        <v>33</v>
      </c>
      <c r="BP46">
        <v>33</v>
      </c>
      <c r="BQ46">
        <v>32</v>
      </c>
      <c r="BR46">
        <v>28</v>
      </c>
      <c r="BS46">
        <v>25</v>
      </c>
      <c r="BT46">
        <v>21</v>
      </c>
      <c r="BU46">
        <v>19</v>
      </c>
      <c r="BV46">
        <v>18</v>
      </c>
      <c r="BW46">
        <v>16</v>
      </c>
      <c r="BX46">
        <v>15</v>
      </c>
      <c r="BY46">
        <v>13</v>
      </c>
      <c r="BZ46">
        <v>10</v>
      </c>
      <c r="CA46">
        <v>6</v>
      </c>
      <c r="CB46">
        <v>4</v>
      </c>
      <c r="CC46">
        <v>3</v>
      </c>
      <c r="CD46">
        <v>2</v>
      </c>
      <c r="CE46">
        <v>0</v>
      </c>
      <c r="CF46">
        <v>0</v>
      </c>
      <c r="CG46">
        <v>1</v>
      </c>
      <c r="CH46">
        <v>0</v>
      </c>
      <c r="CI46">
        <v>0</v>
      </c>
      <c r="CJ46">
        <v>0</v>
      </c>
      <c r="CK46">
        <v>2</v>
      </c>
      <c r="CL46">
        <v>4</v>
      </c>
      <c r="CM46">
        <v>6</v>
      </c>
      <c r="CN46">
        <v>1</v>
      </c>
      <c r="CO46">
        <v>0</v>
      </c>
      <c r="CP46">
        <v>0</v>
      </c>
      <c r="CQ46">
        <v>0</v>
      </c>
      <c r="CR46">
        <v>0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1</v>
      </c>
      <c r="CZ46">
        <v>1</v>
      </c>
      <c r="DA46">
        <v>1</v>
      </c>
      <c r="DB46">
        <v>0</v>
      </c>
      <c r="DC46">
        <v>0</v>
      </c>
      <c r="DD46">
        <v>2</v>
      </c>
      <c r="DE46">
        <v>8</v>
      </c>
      <c r="DF46">
        <v>11</v>
      </c>
      <c r="DG46">
        <v>12</v>
      </c>
      <c r="DH46">
        <v>16</v>
      </c>
      <c r="DI46">
        <v>13</v>
      </c>
      <c r="DJ46">
        <v>16</v>
      </c>
      <c r="DK46">
        <v>18</v>
      </c>
      <c r="DL46">
        <v>21</v>
      </c>
      <c r="DM46">
        <v>22</v>
      </c>
      <c r="DN46">
        <v>23</v>
      </c>
      <c r="DO46">
        <v>24</v>
      </c>
      <c r="DP46">
        <v>23</v>
      </c>
      <c r="DQ46">
        <v>20</v>
      </c>
    </row>
    <row r="47" spans="2:121" x14ac:dyDescent="0.35">
      <c r="B47">
        <v>5</v>
      </c>
      <c r="C47">
        <v>4</v>
      </c>
      <c r="D47">
        <v>2</v>
      </c>
      <c r="E47">
        <v>57</v>
      </c>
      <c r="F47">
        <v>200</v>
      </c>
      <c r="G47">
        <v>143</v>
      </c>
      <c r="H47">
        <v>66</v>
      </c>
      <c r="I47">
        <v>18</v>
      </c>
      <c r="J47">
        <v>3</v>
      </c>
      <c r="K47">
        <v>7</v>
      </c>
      <c r="L47">
        <v>3</v>
      </c>
      <c r="M47">
        <v>3</v>
      </c>
      <c r="N47">
        <v>3</v>
      </c>
      <c r="O47">
        <v>9</v>
      </c>
      <c r="P47">
        <v>14</v>
      </c>
      <c r="Q47">
        <v>11</v>
      </c>
      <c r="R47">
        <v>7</v>
      </c>
      <c r="S47">
        <v>2</v>
      </c>
      <c r="T47">
        <v>1</v>
      </c>
      <c r="U47">
        <v>0</v>
      </c>
      <c r="V47">
        <v>2</v>
      </c>
      <c r="W47">
        <v>0</v>
      </c>
      <c r="X47">
        <v>11</v>
      </c>
      <c r="Y47">
        <v>29</v>
      </c>
      <c r="Z47">
        <v>63</v>
      </c>
      <c r="AA47">
        <v>165</v>
      </c>
      <c r="AB47">
        <v>419</v>
      </c>
      <c r="AC47">
        <v>597</v>
      </c>
      <c r="AD47">
        <v>576</v>
      </c>
      <c r="AE47">
        <v>700</v>
      </c>
      <c r="AF47">
        <v>767</v>
      </c>
      <c r="AG47">
        <v>732</v>
      </c>
      <c r="AH47">
        <v>723</v>
      </c>
      <c r="AI47">
        <v>814</v>
      </c>
      <c r="AJ47">
        <v>871</v>
      </c>
      <c r="AK47">
        <v>780</v>
      </c>
      <c r="AL47">
        <v>956</v>
      </c>
      <c r="AM47">
        <v>1104</v>
      </c>
      <c r="AN47">
        <v>1105</v>
      </c>
      <c r="AO47">
        <v>1216</v>
      </c>
      <c r="AP47">
        <v>1438</v>
      </c>
      <c r="AQ47">
        <v>1617</v>
      </c>
      <c r="AR47">
        <v>1787</v>
      </c>
      <c r="AS47">
        <v>1874</v>
      </c>
      <c r="AT47">
        <v>2147</v>
      </c>
      <c r="AU47">
        <v>2339</v>
      </c>
      <c r="AV47">
        <v>2438</v>
      </c>
      <c r="AW47">
        <v>1957</v>
      </c>
      <c r="AX47">
        <v>1750</v>
      </c>
      <c r="AY47">
        <v>1172</v>
      </c>
      <c r="AZ47">
        <v>825</v>
      </c>
      <c r="BA47">
        <v>669</v>
      </c>
      <c r="BB47">
        <v>580</v>
      </c>
      <c r="BC47">
        <v>512</v>
      </c>
      <c r="BD47">
        <v>554</v>
      </c>
      <c r="BE47">
        <v>658</v>
      </c>
      <c r="BF47">
        <v>640</v>
      </c>
      <c r="BG47">
        <v>505</v>
      </c>
      <c r="BH47">
        <v>629</v>
      </c>
      <c r="BI47">
        <v>719</v>
      </c>
      <c r="BJ47">
        <v>864</v>
      </c>
      <c r="BK47">
        <v>972</v>
      </c>
      <c r="BL47">
        <v>1304</v>
      </c>
      <c r="BM47">
        <v>1246</v>
      </c>
      <c r="BN47">
        <v>925</v>
      </c>
      <c r="BO47">
        <v>831</v>
      </c>
      <c r="BP47">
        <v>737</v>
      </c>
      <c r="BQ47">
        <v>472</v>
      </c>
      <c r="BR47">
        <v>381</v>
      </c>
      <c r="BS47">
        <v>645</v>
      </c>
      <c r="BT47">
        <v>707</v>
      </c>
      <c r="BU47">
        <v>1186</v>
      </c>
      <c r="BV47">
        <v>1259</v>
      </c>
      <c r="BW47">
        <v>1072</v>
      </c>
      <c r="BX47">
        <v>748</v>
      </c>
      <c r="BY47">
        <v>687</v>
      </c>
      <c r="BZ47">
        <v>588</v>
      </c>
      <c r="CA47">
        <v>447</v>
      </c>
      <c r="CB47">
        <v>415</v>
      </c>
      <c r="CC47">
        <v>475</v>
      </c>
      <c r="CD47">
        <v>450</v>
      </c>
      <c r="CE47">
        <v>350</v>
      </c>
      <c r="CF47">
        <v>406</v>
      </c>
      <c r="CG47">
        <v>353</v>
      </c>
      <c r="CH47">
        <v>279</v>
      </c>
      <c r="CI47">
        <v>333</v>
      </c>
      <c r="CJ47">
        <v>397</v>
      </c>
      <c r="CK47">
        <v>539</v>
      </c>
      <c r="CL47">
        <v>672</v>
      </c>
      <c r="CM47">
        <v>603</v>
      </c>
      <c r="CN47">
        <v>762</v>
      </c>
      <c r="CO47">
        <v>604</v>
      </c>
      <c r="CP47">
        <v>440</v>
      </c>
      <c r="CQ47">
        <v>453</v>
      </c>
      <c r="CR47">
        <v>542</v>
      </c>
      <c r="CS47">
        <v>607</v>
      </c>
      <c r="CT47">
        <v>740</v>
      </c>
      <c r="CU47">
        <v>821</v>
      </c>
      <c r="CV47">
        <v>929</v>
      </c>
      <c r="CW47">
        <v>823</v>
      </c>
      <c r="CX47">
        <v>903</v>
      </c>
      <c r="CY47">
        <v>1101</v>
      </c>
      <c r="CZ47">
        <v>1073</v>
      </c>
      <c r="DA47">
        <v>1229</v>
      </c>
      <c r="DB47">
        <v>1272</v>
      </c>
      <c r="DC47">
        <v>1131</v>
      </c>
      <c r="DD47">
        <v>1127</v>
      </c>
      <c r="DE47">
        <v>1324</v>
      </c>
      <c r="DF47">
        <v>1496</v>
      </c>
      <c r="DG47">
        <v>1306</v>
      </c>
      <c r="DH47">
        <v>910</v>
      </c>
      <c r="DI47">
        <v>550</v>
      </c>
      <c r="DJ47">
        <v>473</v>
      </c>
      <c r="DK47">
        <v>654</v>
      </c>
      <c r="DL47">
        <v>909</v>
      </c>
      <c r="DM47">
        <v>1136</v>
      </c>
      <c r="DN47">
        <v>1108</v>
      </c>
      <c r="DO47">
        <v>713</v>
      </c>
      <c r="DP47">
        <v>465</v>
      </c>
      <c r="DQ47">
        <v>322</v>
      </c>
    </row>
    <row r="48" spans="2:121" x14ac:dyDescent="0.35">
      <c r="B48">
        <v>200</v>
      </c>
      <c r="C48">
        <v>172</v>
      </c>
      <c r="D48">
        <v>147</v>
      </c>
      <c r="E48">
        <v>150</v>
      </c>
      <c r="F48">
        <v>183</v>
      </c>
      <c r="G48">
        <v>197</v>
      </c>
      <c r="H48">
        <v>202</v>
      </c>
      <c r="I48">
        <v>215</v>
      </c>
      <c r="J48">
        <v>242</v>
      </c>
      <c r="K48">
        <v>324</v>
      </c>
      <c r="L48">
        <v>365</v>
      </c>
      <c r="M48">
        <v>361</v>
      </c>
      <c r="N48">
        <v>356</v>
      </c>
      <c r="O48">
        <v>484</v>
      </c>
      <c r="P48">
        <v>559</v>
      </c>
      <c r="Q48">
        <v>447</v>
      </c>
      <c r="R48">
        <v>404</v>
      </c>
      <c r="S48">
        <v>406</v>
      </c>
      <c r="T48">
        <v>462</v>
      </c>
      <c r="U48">
        <v>341</v>
      </c>
      <c r="V48">
        <v>228</v>
      </c>
      <c r="W48">
        <v>232</v>
      </c>
      <c r="X48">
        <v>288</v>
      </c>
      <c r="Y48">
        <v>182</v>
      </c>
      <c r="Z48">
        <v>156</v>
      </c>
      <c r="AA48">
        <v>144</v>
      </c>
      <c r="AB48">
        <v>133</v>
      </c>
      <c r="AC48">
        <v>124</v>
      </c>
      <c r="AD48">
        <v>109</v>
      </c>
      <c r="AE48">
        <v>106</v>
      </c>
      <c r="AF48">
        <v>122</v>
      </c>
      <c r="AG48">
        <v>129</v>
      </c>
      <c r="AH48">
        <v>107</v>
      </c>
      <c r="AI48">
        <v>112</v>
      </c>
      <c r="AJ48">
        <v>131</v>
      </c>
      <c r="AK48">
        <v>164</v>
      </c>
      <c r="AL48">
        <v>179</v>
      </c>
      <c r="AM48">
        <v>199</v>
      </c>
      <c r="AN48">
        <v>247</v>
      </c>
      <c r="AO48">
        <v>341</v>
      </c>
      <c r="AP48">
        <v>334</v>
      </c>
      <c r="AQ48">
        <v>447</v>
      </c>
      <c r="AR48">
        <v>581</v>
      </c>
      <c r="AS48">
        <v>604</v>
      </c>
      <c r="AT48">
        <v>639</v>
      </c>
      <c r="AU48">
        <v>749</v>
      </c>
      <c r="AV48">
        <v>814</v>
      </c>
      <c r="AW48">
        <v>851</v>
      </c>
      <c r="AX48">
        <v>827</v>
      </c>
      <c r="AY48">
        <v>787</v>
      </c>
      <c r="AZ48">
        <v>804</v>
      </c>
      <c r="BA48">
        <v>804</v>
      </c>
      <c r="BB48">
        <v>714</v>
      </c>
      <c r="BC48">
        <v>805</v>
      </c>
      <c r="BD48">
        <v>875</v>
      </c>
      <c r="BE48">
        <v>999</v>
      </c>
      <c r="BF48">
        <v>1086</v>
      </c>
      <c r="BG48">
        <v>1152</v>
      </c>
      <c r="BH48">
        <v>1239</v>
      </c>
      <c r="BI48">
        <v>1232</v>
      </c>
      <c r="BJ48">
        <v>1118</v>
      </c>
      <c r="BK48">
        <v>995</v>
      </c>
      <c r="BL48">
        <v>915</v>
      </c>
      <c r="BM48">
        <v>818</v>
      </c>
      <c r="BN48">
        <v>737</v>
      </c>
      <c r="BO48">
        <v>754</v>
      </c>
      <c r="BP48">
        <v>758</v>
      </c>
      <c r="BQ48">
        <v>726</v>
      </c>
      <c r="BR48">
        <v>648</v>
      </c>
      <c r="BS48">
        <v>623</v>
      </c>
      <c r="BT48">
        <v>555</v>
      </c>
      <c r="BU48">
        <v>507</v>
      </c>
      <c r="BV48">
        <v>444</v>
      </c>
      <c r="BW48">
        <v>481</v>
      </c>
      <c r="BX48">
        <v>436</v>
      </c>
      <c r="BY48">
        <v>370</v>
      </c>
      <c r="BZ48">
        <v>332</v>
      </c>
      <c r="CA48">
        <v>312</v>
      </c>
      <c r="CB48">
        <v>297</v>
      </c>
      <c r="CC48">
        <v>286</v>
      </c>
      <c r="CD48">
        <v>274</v>
      </c>
      <c r="CE48">
        <v>265</v>
      </c>
      <c r="CF48">
        <v>269</v>
      </c>
      <c r="CG48">
        <v>272</v>
      </c>
      <c r="CH48">
        <v>296</v>
      </c>
      <c r="CI48">
        <v>321</v>
      </c>
      <c r="CJ48">
        <v>272</v>
      </c>
      <c r="CK48">
        <v>261</v>
      </c>
      <c r="CL48">
        <v>265</v>
      </c>
      <c r="CM48">
        <v>229</v>
      </c>
      <c r="CN48">
        <v>243</v>
      </c>
      <c r="CO48">
        <v>246</v>
      </c>
      <c r="CP48">
        <v>218</v>
      </c>
      <c r="CQ48">
        <v>321</v>
      </c>
      <c r="CR48">
        <v>272</v>
      </c>
      <c r="CS48">
        <v>241</v>
      </c>
      <c r="CT48">
        <v>208</v>
      </c>
      <c r="CU48">
        <v>209</v>
      </c>
      <c r="CV48">
        <v>193</v>
      </c>
      <c r="CW48">
        <v>170</v>
      </c>
      <c r="CX48">
        <v>142</v>
      </c>
      <c r="CY48">
        <v>127</v>
      </c>
      <c r="CZ48">
        <v>116</v>
      </c>
      <c r="DA48">
        <v>108</v>
      </c>
      <c r="DB48">
        <v>130</v>
      </c>
      <c r="DC48">
        <v>115</v>
      </c>
      <c r="DD48">
        <v>99</v>
      </c>
      <c r="DE48">
        <v>93</v>
      </c>
      <c r="DF48">
        <v>89</v>
      </c>
      <c r="DG48">
        <v>80</v>
      </c>
      <c r="DH48">
        <v>72</v>
      </c>
      <c r="DI48">
        <v>75</v>
      </c>
      <c r="DJ48">
        <v>84</v>
      </c>
      <c r="DK48">
        <v>81</v>
      </c>
      <c r="DL48">
        <v>79</v>
      </c>
      <c r="DM48">
        <v>72</v>
      </c>
      <c r="DN48">
        <v>62</v>
      </c>
      <c r="DO48">
        <v>60</v>
      </c>
      <c r="DP48">
        <v>58</v>
      </c>
      <c r="DQ48">
        <v>57</v>
      </c>
    </row>
    <row r="49" spans="2:121" x14ac:dyDescent="0.35">
      <c r="B49">
        <v>280</v>
      </c>
      <c r="C49">
        <v>246</v>
      </c>
      <c r="D49">
        <v>298</v>
      </c>
      <c r="E49">
        <v>295</v>
      </c>
      <c r="F49">
        <v>421</v>
      </c>
      <c r="G49">
        <v>546</v>
      </c>
      <c r="H49">
        <v>595</v>
      </c>
      <c r="I49">
        <v>786</v>
      </c>
      <c r="J49">
        <v>1102</v>
      </c>
      <c r="K49">
        <v>1140</v>
      </c>
      <c r="L49">
        <v>1067</v>
      </c>
      <c r="M49">
        <v>1010</v>
      </c>
      <c r="N49">
        <v>956</v>
      </c>
      <c r="O49">
        <v>889</v>
      </c>
      <c r="P49">
        <v>805</v>
      </c>
      <c r="Q49">
        <v>711</v>
      </c>
      <c r="R49">
        <v>645</v>
      </c>
      <c r="S49">
        <v>585</v>
      </c>
      <c r="T49">
        <v>555</v>
      </c>
      <c r="U49">
        <v>535</v>
      </c>
      <c r="V49">
        <v>454</v>
      </c>
      <c r="W49">
        <v>458</v>
      </c>
      <c r="X49">
        <v>403</v>
      </c>
      <c r="Y49">
        <v>321</v>
      </c>
      <c r="Z49">
        <v>257</v>
      </c>
      <c r="AA49">
        <v>230</v>
      </c>
      <c r="AB49">
        <v>271</v>
      </c>
      <c r="AC49">
        <v>274</v>
      </c>
      <c r="AD49">
        <v>227</v>
      </c>
      <c r="AE49">
        <v>221</v>
      </c>
      <c r="AF49">
        <v>199</v>
      </c>
      <c r="AG49">
        <v>102</v>
      </c>
      <c r="AH49">
        <v>120</v>
      </c>
      <c r="AI49">
        <v>108</v>
      </c>
      <c r="AJ49">
        <v>103</v>
      </c>
      <c r="AK49">
        <v>100</v>
      </c>
      <c r="AL49">
        <v>104</v>
      </c>
      <c r="AM49">
        <v>107</v>
      </c>
      <c r="AN49">
        <v>106</v>
      </c>
      <c r="AO49">
        <v>103</v>
      </c>
      <c r="AP49">
        <v>104</v>
      </c>
      <c r="AQ49">
        <v>107</v>
      </c>
      <c r="AR49">
        <v>131</v>
      </c>
      <c r="AS49">
        <v>207</v>
      </c>
      <c r="AT49">
        <v>261</v>
      </c>
      <c r="AU49">
        <v>164</v>
      </c>
      <c r="AV49">
        <v>176</v>
      </c>
      <c r="AW49">
        <v>226</v>
      </c>
      <c r="AX49">
        <v>235</v>
      </c>
      <c r="AY49">
        <v>274</v>
      </c>
      <c r="AZ49">
        <v>375</v>
      </c>
      <c r="BA49">
        <v>636</v>
      </c>
      <c r="BB49">
        <v>729</v>
      </c>
      <c r="BC49">
        <v>631</v>
      </c>
      <c r="BD49">
        <v>485</v>
      </c>
      <c r="BE49">
        <v>467</v>
      </c>
      <c r="BF49">
        <v>497</v>
      </c>
      <c r="BG49">
        <v>454</v>
      </c>
      <c r="BH49">
        <v>529</v>
      </c>
      <c r="BI49">
        <v>482</v>
      </c>
      <c r="BJ49">
        <v>421</v>
      </c>
      <c r="BK49">
        <v>385</v>
      </c>
      <c r="BL49">
        <v>368</v>
      </c>
      <c r="BM49">
        <v>370</v>
      </c>
      <c r="BN49">
        <v>354</v>
      </c>
      <c r="BO49">
        <v>308</v>
      </c>
      <c r="BP49">
        <v>271</v>
      </c>
      <c r="BQ49">
        <v>194</v>
      </c>
      <c r="BR49">
        <v>274</v>
      </c>
      <c r="BS49">
        <v>187</v>
      </c>
      <c r="BT49">
        <v>133</v>
      </c>
      <c r="BU49">
        <v>255</v>
      </c>
      <c r="BV49">
        <v>277</v>
      </c>
      <c r="BW49">
        <v>239</v>
      </c>
      <c r="BX49">
        <v>256</v>
      </c>
      <c r="BY49">
        <v>375</v>
      </c>
      <c r="BZ49">
        <v>299</v>
      </c>
      <c r="CA49">
        <v>217</v>
      </c>
      <c r="CB49">
        <v>149</v>
      </c>
      <c r="CC49">
        <v>116</v>
      </c>
      <c r="CD49">
        <v>107</v>
      </c>
      <c r="CE49">
        <v>97</v>
      </c>
      <c r="CF49">
        <v>91</v>
      </c>
      <c r="CG49">
        <v>79</v>
      </c>
      <c r="CH49">
        <v>79</v>
      </c>
      <c r="CI49">
        <v>75</v>
      </c>
      <c r="CJ49">
        <v>80</v>
      </c>
      <c r="CK49">
        <v>61</v>
      </c>
      <c r="CL49">
        <v>45</v>
      </c>
      <c r="CM49">
        <v>22</v>
      </c>
      <c r="CN49">
        <v>19</v>
      </c>
      <c r="CO49">
        <v>18</v>
      </c>
      <c r="CP49">
        <v>15</v>
      </c>
      <c r="CQ49">
        <v>22</v>
      </c>
      <c r="CR49">
        <v>30</v>
      </c>
      <c r="CS49">
        <v>23</v>
      </c>
      <c r="CT49">
        <v>11</v>
      </c>
      <c r="CU49">
        <v>7</v>
      </c>
      <c r="CV49">
        <v>9</v>
      </c>
      <c r="CW49">
        <v>9</v>
      </c>
      <c r="CX49">
        <v>8</v>
      </c>
      <c r="CY49">
        <v>7</v>
      </c>
      <c r="CZ49">
        <v>8</v>
      </c>
      <c r="DA49">
        <v>7</v>
      </c>
      <c r="DB49">
        <v>6</v>
      </c>
      <c r="DC49">
        <v>4</v>
      </c>
      <c r="DD49">
        <v>6</v>
      </c>
      <c r="DE49">
        <v>6</v>
      </c>
      <c r="DF49">
        <v>4</v>
      </c>
      <c r="DG49">
        <v>5</v>
      </c>
      <c r="DH49">
        <v>4</v>
      </c>
      <c r="DI49">
        <v>2</v>
      </c>
      <c r="DJ49">
        <v>0</v>
      </c>
      <c r="DK49">
        <v>0</v>
      </c>
      <c r="DL49">
        <v>0</v>
      </c>
      <c r="DM49">
        <v>2</v>
      </c>
      <c r="DN49">
        <v>0</v>
      </c>
      <c r="DO49">
        <v>0</v>
      </c>
      <c r="DP49">
        <v>1</v>
      </c>
      <c r="DQ49">
        <v>0</v>
      </c>
    </row>
    <row r="50" spans="2:121" x14ac:dyDescent="0.35">
      <c r="B50">
        <v>83</v>
      </c>
      <c r="C50">
        <v>88</v>
      </c>
      <c r="D50">
        <v>97</v>
      </c>
      <c r="E50">
        <v>102</v>
      </c>
      <c r="F50">
        <v>119</v>
      </c>
      <c r="G50">
        <v>138</v>
      </c>
      <c r="H50">
        <v>164</v>
      </c>
      <c r="I50">
        <v>195</v>
      </c>
      <c r="J50">
        <v>235</v>
      </c>
      <c r="K50">
        <v>252</v>
      </c>
      <c r="L50">
        <v>273</v>
      </c>
      <c r="M50">
        <v>223</v>
      </c>
      <c r="N50">
        <v>189</v>
      </c>
      <c r="O50">
        <v>158</v>
      </c>
      <c r="P50">
        <v>137</v>
      </c>
      <c r="Q50">
        <v>130</v>
      </c>
      <c r="R50">
        <v>116</v>
      </c>
      <c r="S50">
        <v>115</v>
      </c>
      <c r="T50">
        <v>105</v>
      </c>
      <c r="U50">
        <v>98</v>
      </c>
      <c r="V50">
        <v>91</v>
      </c>
      <c r="W50">
        <v>86</v>
      </c>
      <c r="X50">
        <v>80</v>
      </c>
      <c r="Y50">
        <v>92</v>
      </c>
      <c r="Z50">
        <v>84</v>
      </c>
      <c r="AA50">
        <v>86</v>
      </c>
      <c r="AB50">
        <v>74</v>
      </c>
      <c r="AC50">
        <v>78</v>
      </c>
      <c r="AD50">
        <v>72</v>
      </c>
      <c r="AE50">
        <v>59</v>
      </c>
      <c r="AF50">
        <v>61</v>
      </c>
      <c r="AG50">
        <v>57</v>
      </c>
      <c r="AH50">
        <v>65</v>
      </c>
      <c r="AI50">
        <v>61</v>
      </c>
      <c r="AJ50">
        <v>55</v>
      </c>
      <c r="AK50">
        <v>40</v>
      </c>
      <c r="AL50">
        <v>47</v>
      </c>
      <c r="AM50">
        <v>36</v>
      </c>
      <c r="AN50">
        <v>40</v>
      </c>
      <c r="AO50">
        <v>35</v>
      </c>
      <c r="AP50">
        <v>34</v>
      </c>
      <c r="AQ50">
        <v>28</v>
      </c>
      <c r="AR50">
        <v>30</v>
      </c>
      <c r="AS50">
        <v>30</v>
      </c>
      <c r="AT50">
        <v>31</v>
      </c>
      <c r="AU50">
        <v>32</v>
      </c>
      <c r="AV50">
        <v>20</v>
      </c>
      <c r="AW50">
        <v>11</v>
      </c>
      <c r="AX50">
        <v>9</v>
      </c>
      <c r="AY50">
        <v>7</v>
      </c>
      <c r="AZ50">
        <v>7</v>
      </c>
      <c r="BA50">
        <v>13</v>
      </c>
      <c r="BB50">
        <v>13</v>
      </c>
      <c r="BC50">
        <v>16</v>
      </c>
      <c r="BD50">
        <v>6</v>
      </c>
      <c r="BE50">
        <v>11</v>
      </c>
      <c r="BF50">
        <v>30</v>
      </c>
      <c r="BG50">
        <v>21</v>
      </c>
      <c r="BH50">
        <v>11</v>
      </c>
      <c r="BI50">
        <v>9</v>
      </c>
      <c r="BJ50">
        <v>5</v>
      </c>
      <c r="BK50">
        <v>6</v>
      </c>
      <c r="BL50">
        <v>6</v>
      </c>
      <c r="BM50">
        <v>6</v>
      </c>
      <c r="BN50">
        <v>6</v>
      </c>
      <c r="BO50">
        <v>67</v>
      </c>
      <c r="BP50">
        <v>17</v>
      </c>
      <c r="BQ50">
        <v>36</v>
      </c>
      <c r="BR50">
        <v>10</v>
      </c>
      <c r="BS50">
        <v>8</v>
      </c>
      <c r="BT50">
        <v>24</v>
      </c>
      <c r="BU50">
        <v>17</v>
      </c>
      <c r="BV50">
        <v>30</v>
      </c>
      <c r="BW50">
        <v>104</v>
      </c>
      <c r="BX50">
        <v>144</v>
      </c>
      <c r="BY50">
        <v>261</v>
      </c>
      <c r="BZ50">
        <v>445</v>
      </c>
      <c r="CA50">
        <v>294</v>
      </c>
      <c r="CB50">
        <v>136</v>
      </c>
      <c r="CC50">
        <v>56</v>
      </c>
      <c r="CD50">
        <v>17</v>
      </c>
      <c r="CE50">
        <v>22</v>
      </c>
      <c r="CF50">
        <v>2</v>
      </c>
      <c r="CG50">
        <v>2</v>
      </c>
      <c r="CH50">
        <v>2</v>
      </c>
      <c r="CI50">
        <v>1</v>
      </c>
      <c r="CJ50">
        <v>1</v>
      </c>
      <c r="CK50">
        <v>3</v>
      </c>
      <c r="CL50">
        <v>3</v>
      </c>
      <c r="CM50">
        <v>2</v>
      </c>
      <c r="CN50">
        <v>4</v>
      </c>
      <c r="CO50">
        <v>7</v>
      </c>
      <c r="CP50">
        <v>13</v>
      </c>
      <c r="CQ50">
        <v>9</v>
      </c>
      <c r="CR50">
        <v>10</v>
      </c>
      <c r="CS50">
        <v>9</v>
      </c>
      <c r="CT50">
        <v>3</v>
      </c>
      <c r="CU50">
        <v>4</v>
      </c>
      <c r="CV50">
        <v>2</v>
      </c>
      <c r="CW50">
        <v>2</v>
      </c>
      <c r="CX50">
        <v>6</v>
      </c>
      <c r="CY50">
        <v>49</v>
      </c>
      <c r="CZ50">
        <v>190</v>
      </c>
      <c r="DA50">
        <v>397</v>
      </c>
      <c r="DB50">
        <v>393</v>
      </c>
      <c r="DC50">
        <v>420</v>
      </c>
      <c r="DD50">
        <v>547</v>
      </c>
      <c r="DE50">
        <v>529</v>
      </c>
      <c r="DF50">
        <v>435</v>
      </c>
      <c r="DG50">
        <v>559</v>
      </c>
      <c r="DH50">
        <v>868</v>
      </c>
      <c r="DI50">
        <v>854</v>
      </c>
      <c r="DJ50">
        <v>663</v>
      </c>
      <c r="DK50">
        <v>939</v>
      </c>
      <c r="DL50">
        <v>792</v>
      </c>
      <c r="DM50">
        <v>856</v>
      </c>
      <c r="DN50">
        <v>987</v>
      </c>
      <c r="DO50">
        <v>1157</v>
      </c>
      <c r="DP50">
        <v>1203</v>
      </c>
      <c r="DQ50">
        <v>1285</v>
      </c>
    </row>
    <row r="51" spans="2:121" x14ac:dyDescent="0.35">
      <c r="B51">
        <v>1</v>
      </c>
      <c r="C51">
        <v>0</v>
      </c>
      <c r="D51">
        <v>2</v>
      </c>
      <c r="E51">
        <v>1</v>
      </c>
      <c r="F51">
        <v>0</v>
      </c>
      <c r="G51">
        <v>2</v>
      </c>
      <c r="H51">
        <v>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9</v>
      </c>
      <c r="S51">
        <v>2</v>
      </c>
      <c r="T51">
        <v>6</v>
      </c>
      <c r="U51">
        <v>2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2</v>
      </c>
      <c r="AC51">
        <v>1</v>
      </c>
      <c r="AD51">
        <v>0</v>
      </c>
      <c r="AE51">
        <v>2</v>
      </c>
      <c r="AF51">
        <v>3</v>
      </c>
      <c r="AG51">
        <v>4</v>
      </c>
      <c r="AH51">
        <v>3</v>
      </c>
      <c r="AI51">
        <v>2</v>
      </c>
      <c r="AJ51">
        <v>3</v>
      </c>
      <c r="AK51">
        <v>4</v>
      </c>
      <c r="AL51">
        <v>1</v>
      </c>
      <c r="AM51">
        <v>0</v>
      </c>
      <c r="AN51">
        <v>1</v>
      </c>
      <c r="AO51">
        <v>2</v>
      </c>
      <c r="AP51">
        <v>2</v>
      </c>
      <c r="AQ51">
        <v>2</v>
      </c>
      <c r="AR51">
        <v>4</v>
      </c>
      <c r="AS51">
        <v>4</v>
      </c>
      <c r="AT51">
        <v>6</v>
      </c>
      <c r="AU51">
        <v>9</v>
      </c>
      <c r="AV51">
        <v>9</v>
      </c>
      <c r="AW51">
        <v>13</v>
      </c>
      <c r="AX51">
        <v>15</v>
      </c>
      <c r="AY51">
        <v>16</v>
      </c>
      <c r="AZ51">
        <v>18</v>
      </c>
      <c r="BA51">
        <v>19</v>
      </c>
      <c r="BB51">
        <v>18</v>
      </c>
      <c r="BC51">
        <v>20</v>
      </c>
      <c r="BD51">
        <v>23</v>
      </c>
      <c r="BE51">
        <v>23</v>
      </c>
      <c r="BF51">
        <v>26</v>
      </c>
      <c r="BG51">
        <v>28</v>
      </c>
      <c r="BH51">
        <v>29</v>
      </c>
      <c r="BI51">
        <v>30</v>
      </c>
      <c r="BJ51">
        <v>33</v>
      </c>
      <c r="BK51">
        <v>36</v>
      </c>
      <c r="BL51">
        <v>37</v>
      </c>
      <c r="BM51">
        <v>38</v>
      </c>
      <c r="BN51">
        <v>40</v>
      </c>
      <c r="BO51">
        <v>40</v>
      </c>
      <c r="BP51">
        <v>40</v>
      </c>
      <c r="BQ51">
        <v>44</v>
      </c>
      <c r="BR51">
        <v>45</v>
      </c>
      <c r="BS51">
        <v>46</v>
      </c>
      <c r="BT51">
        <v>46</v>
      </c>
      <c r="BU51">
        <v>47</v>
      </c>
      <c r="BV51">
        <v>48</v>
      </c>
      <c r="BW51">
        <v>51</v>
      </c>
      <c r="BX51">
        <v>55</v>
      </c>
      <c r="BY51">
        <v>51</v>
      </c>
      <c r="BZ51">
        <v>52</v>
      </c>
      <c r="CA51">
        <v>54</v>
      </c>
      <c r="CB51">
        <v>56</v>
      </c>
      <c r="CC51">
        <v>64</v>
      </c>
      <c r="CD51">
        <v>71</v>
      </c>
      <c r="CE51">
        <v>74</v>
      </c>
      <c r="CF51">
        <v>77</v>
      </c>
      <c r="CG51">
        <v>75</v>
      </c>
      <c r="CH51">
        <v>70</v>
      </c>
      <c r="CI51">
        <v>62</v>
      </c>
      <c r="CJ51">
        <v>57</v>
      </c>
      <c r="CK51">
        <v>60</v>
      </c>
      <c r="CL51">
        <v>63</v>
      </c>
      <c r="CM51">
        <v>63</v>
      </c>
      <c r="CN51">
        <v>66</v>
      </c>
      <c r="CO51">
        <v>66</v>
      </c>
      <c r="CP51">
        <v>68</v>
      </c>
      <c r="CQ51">
        <v>75</v>
      </c>
      <c r="CR51">
        <v>75</v>
      </c>
      <c r="CS51">
        <v>76</v>
      </c>
      <c r="CT51">
        <v>78</v>
      </c>
      <c r="CU51">
        <v>81</v>
      </c>
      <c r="CV51">
        <v>89</v>
      </c>
      <c r="CW51">
        <v>95</v>
      </c>
      <c r="CX51">
        <v>100</v>
      </c>
      <c r="CY51">
        <v>108</v>
      </c>
      <c r="CZ51">
        <v>96</v>
      </c>
      <c r="DA51">
        <v>93</v>
      </c>
      <c r="DB51">
        <v>104</v>
      </c>
      <c r="DC51">
        <v>116</v>
      </c>
      <c r="DD51">
        <v>214</v>
      </c>
      <c r="DE51">
        <v>299</v>
      </c>
      <c r="DF51">
        <v>283</v>
      </c>
      <c r="DG51">
        <v>195</v>
      </c>
      <c r="DH51">
        <v>184</v>
      </c>
      <c r="DI51">
        <v>191</v>
      </c>
      <c r="DJ51">
        <v>140</v>
      </c>
      <c r="DK51">
        <v>101</v>
      </c>
      <c r="DL51">
        <v>94</v>
      </c>
      <c r="DM51">
        <v>162</v>
      </c>
      <c r="DN51">
        <v>136</v>
      </c>
      <c r="DO51">
        <v>130</v>
      </c>
      <c r="DP51">
        <v>110</v>
      </c>
      <c r="DQ51">
        <v>129</v>
      </c>
    </row>
    <row r="52" spans="2:121" x14ac:dyDescent="0.35">
      <c r="B52">
        <v>63</v>
      </c>
      <c r="C52">
        <v>52</v>
      </c>
      <c r="D52">
        <v>36</v>
      </c>
      <c r="E52">
        <v>29</v>
      </c>
      <c r="F52">
        <v>33</v>
      </c>
      <c r="G52">
        <v>41</v>
      </c>
      <c r="H52">
        <v>34</v>
      </c>
      <c r="I52">
        <v>31</v>
      </c>
      <c r="J52">
        <v>28</v>
      </c>
      <c r="K52">
        <v>23</v>
      </c>
      <c r="L52">
        <v>17</v>
      </c>
      <c r="M52">
        <v>11</v>
      </c>
      <c r="N52">
        <v>10</v>
      </c>
      <c r="O52">
        <v>8</v>
      </c>
      <c r="P52">
        <v>10</v>
      </c>
      <c r="Q52">
        <v>6</v>
      </c>
      <c r="R52">
        <v>5</v>
      </c>
      <c r="S52">
        <v>24</v>
      </c>
      <c r="T52">
        <v>51</v>
      </c>
      <c r="U52">
        <v>23</v>
      </c>
      <c r="V52">
        <v>0</v>
      </c>
      <c r="W52">
        <v>1</v>
      </c>
      <c r="X52">
        <v>4</v>
      </c>
      <c r="Y52">
        <v>6</v>
      </c>
      <c r="Z52">
        <v>10</v>
      </c>
      <c r="AA52">
        <v>11</v>
      </c>
      <c r="AB52">
        <v>15</v>
      </c>
      <c r="AC52">
        <v>22</v>
      </c>
      <c r="AD52">
        <v>61</v>
      </c>
      <c r="AE52">
        <v>152</v>
      </c>
      <c r="AF52">
        <v>188</v>
      </c>
      <c r="AG52">
        <v>183</v>
      </c>
      <c r="AH52">
        <v>374</v>
      </c>
      <c r="AI52">
        <v>227</v>
      </c>
      <c r="AJ52">
        <v>89</v>
      </c>
      <c r="AK52">
        <v>37</v>
      </c>
      <c r="AL52">
        <v>67</v>
      </c>
      <c r="AM52">
        <v>115</v>
      </c>
      <c r="AN52">
        <v>94</v>
      </c>
      <c r="AO52">
        <v>2</v>
      </c>
      <c r="AP52">
        <v>6</v>
      </c>
      <c r="AQ52">
        <v>4</v>
      </c>
      <c r="AR52">
        <v>3</v>
      </c>
      <c r="AS52">
        <v>3</v>
      </c>
      <c r="AT52">
        <v>3</v>
      </c>
      <c r="AU52">
        <v>3</v>
      </c>
      <c r="AV52">
        <v>3</v>
      </c>
      <c r="AW52">
        <v>1</v>
      </c>
      <c r="AX52">
        <v>2</v>
      </c>
      <c r="AY52">
        <v>2</v>
      </c>
      <c r="AZ52">
        <v>1</v>
      </c>
      <c r="BA52">
        <v>0</v>
      </c>
      <c r="BB52">
        <v>2</v>
      </c>
      <c r="BC52">
        <v>3</v>
      </c>
      <c r="BD52">
        <v>6</v>
      </c>
      <c r="BE52">
        <v>8</v>
      </c>
      <c r="BF52">
        <v>7</v>
      </c>
      <c r="BG52">
        <v>6</v>
      </c>
      <c r="BH52">
        <v>7</v>
      </c>
      <c r="BI52">
        <v>11</v>
      </c>
      <c r="BJ52">
        <v>5</v>
      </c>
      <c r="BK52">
        <v>9</v>
      </c>
      <c r="BL52">
        <v>6</v>
      </c>
      <c r="BM52">
        <v>8</v>
      </c>
      <c r="BN52">
        <v>5</v>
      </c>
      <c r="BO52">
        <v>5</v>
      </c>
      <c r="BP52">
        <v>3</v>
      </c>
      <c r="BQ52">
        <v>2</v>
      </c>
      <c r="BR52">
        <v>2</v>
      </c>
      <c r="BS52">
        <v>2</v>
      </c>
      <c r="BT52">
        <v>7</v>
      </c>
      <c r="BU52">
        <v>7</v>
      </c>
      <c r="BV52">
        <v>12</v>
      </c>
      <c r="BW52">
        <v>23</v>
      </c>
      <c r="BX52">
        <v>46</v>
      </c>
      <c r="BY52">
        <v>91</v>
      </c>
      <c r="BZ52">
        <v>173</v>
      </c>
      <c r="CA52">
        <v>257</v>
      </c>
      <c r="CB52">
        <v>235</v>
      </c>
      <c r="CC52">
        <v>287</v>
      </c>
      <c r="CD52">
        <v>325</v>
      </c>
      <c r="CE52">
        <v>338</v>
      </c>
      <c r="CF52">
        <v>404</v>
      </c>
      <c r="CG52">
        <v>656</v>
      </c>
      <c r="CH52">
        <v>738</v>
      </c>
      <c r="CI52">
        <v>868</v>
      </c>
      <c r="CJ52">
        <v>1080</v>
      </c>
      <c r="CK52">
        <v>1151</v>
      </c>
      <c r="CL52">
        <v>1125</v>
      </c>
      <c r="CM52">
        <v>1394</v>
      </c>
      <c r="CN52">
        <v>1435</v>
      </c>
      <c r="CO52">
        <v>1406</v>
      </c>
      <c r="CP52">
        <v>1338</v>
      </c>
      <c r="CQ52">
        <v>1385</v>
      </c>
      <c r="CR52">
        <v>1064</v>
      </c>
      <c r="CS52">
        <v>1144</v>
      </c>
      <c r="CT52">
        <v>1432</v>
      </c>
      <c r="CU52">
        <v>1707</v>
      </c>
      <c r="CV52">
        <v>1781</v>
      </c>
      <c r="CW52">
        <v>1429</v>
      </c>
      <c r="CX52">
        <v>1543</v>
      </c>
      <c r="CY52">
        <v>1291</v>
      </c>
      <c r="CZ52">
        <v>1621</v>
      </c>
      <c r="DA52">
        <v>1918</v>
      </c>
      <c r="DB52">
        <v>1682</v>
      </c>
      <c r="DC52">
        <v>1524</v>
      </c>
      <c r="DD52">
        <v>1639</v>
      </c>
      <c r="DE52">
        <v>1202</v>
      </c>
      <c r="DF52">
        <v>995</v>
      </c>
      <c r="DG52">
        <v>1424</v>
      </c>
      <c r="DH52">
        <v>1375</v>
      </c>
      <c r="DI52">
        <v>964</v>
      </c>
      <c r="DJ52">
        <v>899</v>
      </c>
      <c r="DK52">
        <v>1181</v>
      </c>
      <c r="DL52">
        <v>1152</v>
      </c>
      <c r="DM52">
        <v>1429</v>
      </c>
      <c r="DN52">
        <v>1749</v>
      </c>
      <c r="DO52">
        <v>1862</v>
      </c>
      <c r="DP52">
        <v>1613</v>
      </c>
      <c r="DQ52">
        <v>1481</v>
      </c>
    </row>
    <row r="53" spans="2:121" x14ac:dyDescent="0.35">
      <c r="B53">
        <v>7</v>
      </c>
      <c r="C53">
        <v>8</v>
      </c>
      <c r="D53">
        <v>8</v>
      </c>
      <c r="E53">
        <v>7</v>
      </c>
      <c r="F53">
        <v>6</v>
      </c>
      <c r="G53">
        <v>7</v>
      </c>
      <c r="H53">
        <v>6</v>
      </c>
      <c r="I53">
        <v>7</v>
      </c>
      <c r="J53">
        <v>7</v>
      </c>
      <c r="K53">
        <v>4</v>
      </c>
      <c r="L53">
        <v>5</v>
      </c>
      <c r="M53">
        <v>3</v>
      </c>
      <c r="N53">
        <v>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1</v>
      </c>
      <c r="V53">
        <v>10</v>
      </c>
      <c r="W53">
        <v>7</v>
      </c>
      <c r="X53">
        <v>14</v>
      </c>
      <c r="Y53">
        <v>7</v>
      </c>
      <c r="Z53">
        <v>12</v>
      </c>
      <c r="AA53">
        <v>3</v>
      </c>
      <c r="AB53">
        <v>0</v>
      </c>
      <c r="AC53">
        <v>0</v>
      </c>
      <c r="AD53">
        <v>0</v>
      </c>
      <c r="AE53">
        <v>7</v>
      </c>
      <c r="AF53">
        <v>9</v>
      </c>
      <c r="AG53">
        <v>11</v>
      </c>
      <c r="AH53">
        <v>10</v>
      </c>
      <c r="AI53">
        <v>4</v>
      </c>
      <c r="AJ53">
        <v>0</v>
      </c>
      <c r="AK53">
        <v>0</v>
      </c>
      <c r="AL53">
        <v>0</v>
      </c>
      <c r="AM53">
        <v>3</v>
      </c>
      <c r="AN53">
        <v>5</v>
      </c>
      <c r="AO53">
        <v>5</v>
      </c>
      <c r="AP53">
        <v>5</v>
      </c>
      <c r="AQ53">
        <v>4</v>
      </c>
      <c r="AR53">
        <v>3</v>
      </c>
      <c r="AS53">
        <v>3</v>
      </c>
      <c r="AT53">
        <v>2</v>
      </c>
      <c r="AU53">
        <v>1</v>
      </c>
      <c r="AV53">
        <v>1</v>
      </c>
      <c r="AW53">
        <v>0</v>
      </c>
      <c r="AX53">
        <v>0</v>
      </c>
      <c r="AY53">
        <v>0</v>
      </c>
      <c r="AZ53">
        <v>1</v>
      </c>
      <c r="BA53">
        <v>1</v>
      </c>
      <c r="BB53">
        <v>2</v>
      </c>
      <c r="BC53">
        <v>3</v>
      </c>
      <c r="BD53">
        <v>4</v>
      </c>
      <c r="BE53">
        <v>4</v>
      </c>
      <c r="BF53">
        <v>5</v>
      </c>
      <c r="BG53">
        <v>7</v>
      </c>
      <c r="BH53">
        <v>9</v>
      </c>
      <c r="BI53">
        <v>11</v>
      </c>
      <c r="BJ53">
        <v>12</v>
      </c>
      <c r="BK53">
        <v>14</v>
      </c>
      <c r="BL53">
        <v>16</v>
      </c>
      <c r="BM53">
        <v>19</v>
      </c>
      <c r="BN53">
        <v>21</v>
      </c>
      <c r="BO53">
        <v>22</v>
      </c>
      <c r="BP53">
        <v>24</v>
      </c>
      <c r="BQ53">
        <v>25</v>
      </c>
      <c r="BR53">
        <v>25</v>
      </c>
      <c r="BS53">
        <v>26</v>
      </c>
      <c r="BT53">
        <v>28</v>
      </c>
      <c r="BU53">
        <v>30</v>
      </c>
      <c r="BV53">
        <v>31</v>
      </c>
      <c r="BW53">
        <v>33</v>
      </c>
      <c r="BX53">
        <v>37</v>
      </c>
      <c r="BY53">
        <v>39</v>
      </c>
      <c r="BZ53">
        <v>41</v>
      </c>
      <c r="CA53">
        <v>43</v>
      </c>
      <c r="CB53">
        <v>43</v>
      </c>
      <c r="CC53">
        <v>45</v>
      </c>
      <c r="CD53">
        <v>46</v>
      </c>
      <c r="CE53">
        <v>48</v>
      </c>
      <c r="CF53">
        <v>46</v>
      </c>
      <c r="CG53">
        <v>50</v>
      </c>
      <c r="CH53">
        <v>52</v>
      </c>
      <c r="CI53">
        <v>52</v>
      </c>
      <c r="CJ53">
        <v>54</v>
      </c>
      <c r="CK53">
        <v>56</v>
      </c>
      <c r="CL53">
        <v>59</v>
      </c>
      <c r="CM53">
        <v>62</v>
      </c>
      <c r="CN53">
        <v>61</v>
      </c>
      <c r="CO53">
        <v>66</v>
      </c>
      <c r="CP53">
        <v>63</v>
      </c>
      <c r="CQ53">
        <v>62</v>
      </c>
      <c r="CR53">
        <v>64</v>
      </c>
      <c r="CS53">
        <v>66</v>
      </c>
      <c r="CT53">
        <v>70</v>
      </c>
      <c r="CU53">
        <v>73</v>
      </c>
      <c r="CV53">
        <v>76</v>
      </c>
      <c r="CW53">
        <v>70</v>
      </c>
      <c r="CX53">
        <v>68</v>
      </c>
      <c r="CY53">
        <v>65</v>
      </c>
      <c r="CZ53">
        <v>62</v>
      </c>
      <c r="DA53">
        <v>67</v>
      </c>
      <c r="DB53">
        <v>72</v>
      </c>
      <c r="DC53">
        <v>75</v>
      </c>
      <c r="DD53">
        <v>77</v>
      </c>
      <c r="DE53">
        <v>82</v>
      </c>
      <c r="DF53">
        <v>84</v>
      </c>
      <c r="DG53">
        <v>85</v>
      </c>
      <c r="DH53">
        <v>91</v>
      </c>
      <c r="DI53">
        <v>97</v>
      </c>
      <c r="DJ53">
        <v>104</v>
      </c>
      <c r="DK53">
        <v>115</v>
      </c>
      <c r="DL53">
        <v>121</v>
      </c>
      <c r="DM53">
        <v>127</v>
      </c>
      <c r="DN53">
        <v>179</v>
      </c>
      <c r="DO53">
        <v>130</v>
      </c>
      <c r="DP53">
        <v>170</v>
      </c>
      <c r="DQ53">
        <v>230</v>
      </c>
    </row>
    <row r="54" spans="2:121" x14ac:dyDescent="0.35">
      <c r="B54">
        <v>80</v>
      </c>
      <c r="C54">
        <v>88</v>
      </c>
      <c r="D54">
        <v>88</v>
      </c>
      <c r="E54">
        <v>91</v>
      </c>
      <c r="F54">
        <v>100</v>
      </c>
      <c r="G54">
        <v>122</v>
      </c>
      <c r="H54">
        <v>140</v>
      </c>
      <c r="I54">
        <v>173</v>
      </c>
      <c r="J54">
        <v>182</v>
      </c>
      <c r="K54">
        <v>198</v>
      </c>
      <c r="L54">
        <v>259</v>
      </c>
      <c r="M54">
        <v>317</v>
      </c>
      <c r="N54">
        <v>259</v>
      </c>
      <c r="O54">
        <v>201</v>
      </c>
      <c r="P54">
        <v>167</v>
      </c>
      <c r="Q54">
        <v>144</v>
      </c>
      <c r="R54">
        <v>142</v>
      </c>
      <c r="S54">
        <v>132</v>
      </c>
      <c r="T54">
        <v>122</v>
      </c>
      <c r="U54">
        <v>117</v>
      </c>
      <c r="V54">
        <v>118</v>
      </c>
      <c r="W54">
        <v>111</v>
      </c>
      <c r="X54">
        <v>112</v>
      </c>
      <c r="Y54">
        <v>100</v>
      </c>
      <c r="Z54">
        <v>85</v>
      </c>
      <c r="AA54">
        <v>97</v>
      </c>
      <c r="AB54">
        <v>112</v>
      </c>
      <c r="AC54">
        <v>91</v>
      </c>
      <c r="AD54">
        <v>131</v>
      </c>
      <c r="AE54">
        <v>110</v>
      </c>
      <c r="AF54">
        <v>82</v>
      </c>
      <c r="AG54">
        <v>104</v>
      </c>
      <c r="AH54">
        <v>103</v>
      </c>
      <c r="AI54">
        <v>90</v>
      </c>
      <c r="AJ54">
        <v>78</v>
      </c>
      <c r="AK54">
        <v>59</v>
      </c>
      <c r="AL54">
        <v>133</v>
      </c>
      <c r="AM54">
        <v>168</v>
      </c>
      <c r="AN54">
        <v>151</v>
      </c>
      <c r="AO54">
        <v>124</v>
      </c>
      <c r="AP54">
        <v>77</v>
      </c>
      <c r="AQ54">
        <v>106</v>
      </c>
      <c r="AR54">
        <v>79</v>
      </c>
      <c r="AS54">
        <v>62</v>
      </c>
      <c r="AT54">
        <v>51</v>
      </c>
      <c r="AU54">
        <v>45</v>
      </c>
      <c r="AV54">
        <v>32</v>
      </c>
      <c r="AW54">
        <v>32</v>
      </c>
      <c r="AX54">
        <v>28</v>
      </c>
      <c r="AY54">
        <v>31</v>
      </c>
      <c r="AZ54">
        <v>35</v>
      </c>
      <c r="BA54">
        <v>47</v>
      </c>
      <c r="BB54">
        <v>68</v>
      </c>
      <c r="BC54">
        <v>56</v>
      </c>
      <c r="BD54">
        <v>48</v>
      </c>
      <c r="BE54">
        <v>41</v>
      </c>
      <c r="BF54">
        <v>36</v>
      </c>
      <c r="BG54">
        <v>34</v>
      </c>
      <c r="BH54">
        <v>33</v>
      </c>
      <c r="BI54">
        <v>21</v>
      </c>
      <c r="BJ54">
        <v>18</v>
      </c>
      <c r="BK54">
        <v>13</v>
      </c>
      <c r="BL54">
        <v>10</v>
      </c>
      <c r="BM54">
        <v>9</v>
      </c>
      <c r="BN54">
        <v>8</v>
      </c>
      <c r="BO54">
        <v>8</v>
      </c>
      <c r="BP54">
        <v>7</v>
      </c>
      <c r="BQ54">
        <v>5</v>
      </c>
      <c r="BR54">
        <v>6</v>
      </c>
      <c r="BS54">
        <v>5</v>
      </c>
      <c r="BT54">
        <v>16</v>
      </c>
      <c r="BU54">
        <v>19</v>
      </c>
      <c r="BV54">
        <v>20</v>
      </c>
      <c r="BW54">
        <v>19</v>
      </c>
      <c r="BX54">
        <v>49</v>
      </c>
      <c r="BY54">
        <v>46</v>
      </c>
      <c r="BZ54">
        <v>34</v>
      </c>
      <c r="CA54">
        <v>26</v>
      </c>
      <c r="CB54">
        <v>38</v>
      </c>
      <c r="CC54">
        <v>43</v>
      </c>
      <c r="CD54">
        <v>21</v>
      </c>
      <c r="CE54">
        <v>56</v>
      </c>
      <c r="CF54">
        <v>146</v>
      </c>
      <c r="CG54">
        <v>87</v>
      </c>
      <c r="CH54">
        <v>38</v>
      </c>
      <c r="CI54">
        <v>39</v>
      </c>
      <c r="CJ54">
        <v>0</v>
      </c>
      <c r="CK54">
        <v>11</v>
      </c>
      <c r="CL54">
        <v>29</v>
      </c>
      <c r="CM54">
        <v>85</v>
      </c>
      <c r="CN54">
        <v>81</v>
      </c>
      <c r="CO54">
        <v>19</v>
      </c>
      <c r="CP54">
        <v>36</v>
      </c>
      <c r="CQ54">
        <v>20</v>
      </c>
      <c r="CR54">
        <v>27</v>
      </c>
      <c r="CS54">
        <v>100</v>
      </c>
      <c r="CT54">
        <v>54</v>
      </c>
      <c r="CU54">
        <v>57</v>
      </c>
      <c r="CV54">
        <v>39</v>
      </c>
      <c r="CW54">
        <v>41</v>
      </c>
      <c r="CX54">
        <v>63</v>
      </c>
      <c r="CY54">
        <v>94</v>
      </c>
      <c r="CZ54">
        <v>215</v>
      </c>
      <c r="DA54">
        <v>182</v>
      </c>
      <c r="DB54">
        <v>97</v>
      </c>
      <c r="DC54">
        <v>63</v>
      </c>
      <c r="DD54">
        <v>95</v>
      </c>
      <c r="DE54">
        <v>331</v>
      </c>
      <c r="DF54">
        <v>256</v>
      </c>
      <c r="DG54">
        <v>169</v>
      </c>
      <c r="DH54">
        <v>2</v>
      </c>
      <c r="DI54">
        <v>3</v>
      </c>
      <c r="DJ54">
        <v>10</v>
      </c>
      <c r="DK54">
        <v>31</v>
      </c>
      <c r="DL54">
        <v>46</v>
      </c>
      <c r="DM54">
        <v>20</v>
      </c>
      <c r="DN54">
        <v>12</v>
      </c>
      <c r="DO54">
        <v>14</v>
      </c>
      <c r="DP54">
        <v>17</v>
      </c>
      <c r="DQ54">
        <v>16</v>
      </c>
    </row>
    <row r="55" spans="2:121" x14ac:dyDescent="0.35">
      <c r="B55">
        <v>654</v>
      </c>
      <c r="C55">
        <v>499</v>
      </c>
      <c r="D55">
        <v>411</v>
      </c>
      <c r="E55">
        <v>356</v>
      </c>
      <c r="F55">
        <v>357</v>
      </c>
      <c r="G55">
        <v>372</v>
      </c>
      <c r="H55">
        <v>316</v>
      </c>
      <c r="I55">
        <v>319</v>
      </c>
      <c r="J55">
        <v>351</v>
      </c>
      <c r="K55">
        <v>480</v>
      </c>
      <c r="L55">
        <v>505</v>
      </c>
      <c r="M55">
        <v>492</v>
      </c>
      <c r="N55">
        <v>642</v>
      </c>
      <c r="O55">
        <v>845</v>
      </c>
      <c r="P55">
        <v>865</v>
      </c>
      <c r="Q55">
        <v>836</v>
      </c>
      <c r="R55">
        <v>846</v>
      </c>
      <c r="S55">
        <v>791</v>
      </c>
      <c r="T55">
        <v>754</v>
      </c>
      <c r="U55">
        <v>799</v>
      </c>
      <c r="V55">
        <v>888</v>
      </c>
      <c r="W55">
        <v>863</v>
      </c>
      <c r="X55">
        <v>795</v>
      </c>
      <c r="Y55">
        <v>888</v>
      </c>
      <c r="Z55">
        <v>1110</v>
      </c>
      <c r="AA55">
        <v>1137</v>
      </c>
      <c r="AB55">
        <v>1031</v>
      </c>
      <c r="AC55">
        <v>1015</v>
      </c>
      <c r="AD55">
        <v>920</v>
      </c>
      <c r="AE55">
        <v>863</v>
      </c>
      <c r="AF55">
        <v>810</v>
      </c>
      <c r="AG55">
        <v>790</v>
      </c>
      <c r="AH55">
        <v>739</v>
      </c>
      <c r="AI55">
        <v>665</v>
      </c>
      <c r="AJ55">
        <v>544</v>
      </c>
      <c r="AK55">
        <v>439</v>
      </c>
      <c r="AL55">
        <v>361</v>
      </c>
      <c r="AM55">
        <v>297</v>
      </c>
      <c r="AN55">
        <v>283</v>
      </c>
      <c r="AO55">
        <v>294</v>
      </c>
      <c r="AP55">
        <v>306</v>
      </c>
      <c r="AQ55">
        <v>261</v>
      </c>
      <c r="AR55">
        <v>212</v>
      </c>
      <c r="AS55">
        <v>196</v>
      </c>
      <c r="AT55">
        <v>169</v>
      </c>
      <c r="AU55">
        <v>150</v>
      </c>
      <c r="AV55">
        <v>156</v>
      </c>
      <c r="AW55">
        <v>150</v>
      </c>
      <c r="AX55">
        <v>135</v>
      </c>
      <c r="AY55">
        <v>130</v>
      </c>
      <c r="AZ55">
        <v>158</v>
      </c>
      <c r="BA55">
        <v>99</v>
      </c>
      <c r="BB55">
        <v>148</v>
      </c>
      <c r="BC55">
        <v>171</v>
      </c>
      <c r="BD55">
        <v>208</v>
      </c>
      <c r="BE55">
        <v>264</v>
      </c>
      <c r="BF55">
        <v>276</v>
      </c>
      <c r="BG55">
        <v>244</v>
      </c>
      <c r="BH55">
        <v>169</v>
      </c>
      <c r="BI55">
        <v>150</v>
      </c>
      <c r="BJ55">
        <v>165</v>
      </c>
      <c r="BK55">
        <v>177</v>
      </c>
      <c r="BL55">
        <v>197</v>
      </c>
      <c r="BM55">
        <v>211</v>
      </c>
      <c r="BN55">
        <v>259</v>
      </c>
      <c r="BO55">
        <v>289</v>
      </c>
      <c r="BP55">
        <v>385</v>
      </c>
      <c r="BQ55">
        <v>356</v>
      </c>
      <c r="BR55">
        <v>335</v>
      </c>
      <c r="BS55">
        <v>423</v>
      </c>
      <c r="BT55">
        <v>477</v>
      </c>
      <c r="BU55">
        <v>548</v>
      </c>
      <c r="BV55">
        <v>558</v>
      </c>
      <c r="BW55">
        <v>645</v>
      </c>
      <c r="BX55">
        <v>859</v>
      </c>
      <c r="BY55">
        <v>938</v>
      </c>
      <c r="BZ55">
        <v>840</v>
      </c>
      <c r="CA55">
        <v>730</v>
      </c>
      <c r="CB55">
        <v>731</v>
      </c>
      <c r="CC55">
        <v>651</v>
      </c>
      <c r="CD55">
        <v>571</v>
      </c>
      <c r="CE55">
        <v>512</v>
      </c>
      <c r="CF55">
        <v>426</v>
      </c>
      <c r="CG55">
        <v>360</v>
      </c>
      <c r="CH55">
        <v>360</v>
      </c>
      <c r="CI55">
        <v>380</v>
      </c>
      <c r="CJ55">
        <v>398</v>
      </c>
      <c r="CK55">
        <v>415</v>
      </c>
      <c r="CL55">
        <v>410</v>
      </c>
      <c r="CM55">
        <v>361</v>
      </c>
      <c r="CN55">
        <v>251</v>
      </c>
      <c r="CO55">
        <v>350</v>
      </c>
      <c r="CP55">
        <v>229</v>
      </c>
      <c r="CQ55">
        <v>195</v>
      </c>
      <c r="CR55">
        <v>323</v>
      </c>
      <c r="CS55">
        <v>326</v>
      </c>
      <c r="CT55">
        <v>431</v>
      </c>
      <c r="CU55">
        <v>541</v>
      </c>
      <c r="CV55">
        <v>503</v>
      </c>
      <c r="CW55">
        <v>415</v>
      </c>
      <c r="CX55">
        <v>310</v>
      </c>
      <c r="CY55">
        <v>193</v>
      </c>
      <c r="CZ55">
        <v>136</v>
      </c>
      <c r="DA55">
        <v>136</v>
      </c>
      <c r="DB55">
        <v>74</v>
      </c>
      <c r="DC55">
        <v>87</v>
      </c>
      <c r="DD55">
        <v>74</v>
      </c>
      <c r="DE55">
        <v>70</v>
      </c>
      <c r="DF55">
        <v>63</v>
      </c>
      <c r="DG55">
        <v>62</v>
      </c>
      <c r="DH55">
        <v>63</v>
      </c>
      <c r="DI55">
        <v>50</v>
      </c>
      <c r="DJ55">
        <v>81</v>
      </c>
      <c r="DK55">
        <v>62</v>
      </c>
      <c r="DL55">
        <v>60</v>
      </c>
      <c r="DM55">
        <v>54</v>
      </c>
      <c r="DN55">
        <v>50</v>
      </c>
      <c r="DO55">
        <v>42</v>
      </c>
      <c r="DP55">
        <v>44</v>
      </c>
      <c r="DQ55">
        <v>40</v>
      </c>
    </row>
    <row r="56" spans="2:121" x14ac:dyDescent="0.35">
      <c r="B56">
        <v>152</v>
      </c>
      <c r="C56">
        <v>164</v>
      </c>
      <c r="D56">
        <v>186</v>
      </c>
      <c r="E56">
        <v>181</v>
      </c>
      <c r="F56">
        <v>197</v>
      </c>
      <c r="G56">
        <v>224</v>
      </c>
      <c r="H56">
        <v>322</v>
      </c>
      <c r="I56">
        <v>437</v>
      </c>
      <c r="J56">
        <v>486</v>
      </c>
      <c r="K56">
        <v>326</v>
      </c>
      <c r="L56">
        <v>285</v>
      </c>
      <c r="M56">
        <v>302</v>
      </c>
      <c r="N56">
        <v>298</v>
      </c>
      <c r="O56">
        <v>328</v>
      </c>
      <c r="P56">
        <v>323</v>
      </c>
      <c r="Q56">
        <v>322</v>
      </c>
      <c r="R56">
        <v>320</v>
      </c>
      <c r="S56">
        <v>345</v>
      </c>
      <c r="T56">
        <v>343</v>
      </c>
      <c r="U56">
        <v>348</v>
      </c>
      <c r="V56">
        <v>341</v>
      </c>
      <c r="W56">
        <v>302</v>
      </c>
      <c r="X56">
        <v>268</v>
      </c>
      <c r="Y56">
        <v>233</v>
      </c>
      <c r="Z56">
        <v>187</v>
      </c>
      <c r="AA56">
        <v>180</v>
      </c>
      <c r="AB56">
        <v>177</v>
      </c>
      <c r="AC56">
        <v>191</v>
      </c>
      <c r="AD56">
        <v>191</v>
      </c>
      <c r="AE56">
        <v>200</v>
      </c>
      <c r="AF56">
        <v>215</v>
      </c>
      <c r="AG56">
        <v>237</v>
      </c>
      <c r="AH56">
        <v>233</v>
      </c>
      <c r="AI56">
        <v>233</v>
      </c>
      <c r="AJ56">
        <v>232</v>
      </c>
      <c r="AK56">
        <v>207</v>
      </c>
      <c r="AL56">
        <v>176</v>
      </c>
      <c r="AM56">
        <v>170</v>
      </c>
      <c r="AN56">
        <v>191</v>
      </c>
      <c r="AO56">
        <v>172</v>
      </c>
      <c r="AP56">
        <v>174</v>
      </c>
      <c r="AQ56">
        <v>182</v>
      </c>
      <c r="AR56">
        <v>185</v>
      </c>
      <c r="AS56">
        <v>181</v>
      </c>
      <c r="AT56">
        <v>187</v>
      </c>
      <c r="AU56">
        <v>179</v>
      </c>
      <c r="AV56">
        <v>167</v>
      </c>
      <c r="AW56">
        <v>174</v>
      </c>
      <c r="AX56">
        <v>175</v>
      </c>
      <c r="AY56">
        <v>173</v>
      </c>
      <c r="AZ56">
        <v>168</v>
      </c>
      <c r="BA56">
        <v>173</v>
      </c>
      <c r="BB56">
        <v>162</v>
      </c>
      <c r="BC56">
        <v>165</v>
      </c>
      <c r="BD56">
        <v>172</v>
      </c>
      <c r="BE56">
        <v>179</v>
      </c>
      <c r="BF56">
        <v>183</v>
      </c>
      <c r="BG56">
        <v>186</v>
      </c>
      <c r="BH56">
        <v>186</v>
      </c>
      <c r="BI56">
        <v>195</v>
      </c>
      <c r="BJ56">
        <v>201</v>
      </c>
      <c r="BK56">
        <v>218</v>
      </c>
      <c r="BL56">
        <v>219</v>
      </c>
      <c r="BM56">
        <v>223</v>
      </c>
      <c r="BN56">
        <v>212</v>
      </c>
      <c r="BO56">
        <v>234</v>
      </c>
      <c r="BP56">
        <v>245</v>
      </c>
      <c r="BQ56">
        <v>230</v>
      </c>
      <c r="BR56">
        <v>228</v>
      </c>
      <c r="BS56">
        <v>232</v>
      </c>
      <c r="BT56">
        <v>244</v>
      </c>
      <c r="BU56">
        <v>281</v>
      </c>
      <c r="BV56">
        <v>263</v>
      </c>
      <c r="BW56">
        <v>269</v>
      </c>
      <c r="BX56">
        <v>305</v>
      </c>
      <c r="BY56">
        <v>310</v>
      </c>
      <c r="BZ56">
        <v>337</v>
      </c>
      <c r="CA56">
        <v>427</v>
      </c>
      <c r="CB56">
        <v>544</v>
      </c>
      <c r="CC56">
        <v>522</v>
      </c>
      <c r="CD56">
        <v>384</v>
      </c>
      <c r="CE56">
        <v>324</v>
      </c>
      <c r="CF56">
        <v>333</v>
      </c>
      <c r="CG56">
        <v>342</v>
      </c>
      <c r="CH56">
        <v>367</v>
      </c>
      <c r="CI56">
        <v>368</v>
      </c>
      <c r="CJ56">
        <v>389</v>
      </c>
      <c r="CK56">
        <v>437</v>
      </c>
      <c r="CL56">
        <v>420</v>
      </c>
      <c r="CM56">
        <v>358</v>
      </c>
      <c r="CN56">
        <v>314</v>
      </c>
      <c r="CO56">
        <v>329</v>
      </c>
      <c r="CP56">
        <v>382</v>
      </c>
      <c r="CQ56">
        <v>351</v>
      </c>
      <c r="CR56">
        <v>298</v>
      </c>
      <c r="CS56">
        <v>299</v>
      </c>
      <c r="CT56">
        <v>363</v>
      </c>
      <c r="CU56">
        <v>411</v>
      </c>
      <c r="CV56">
        <v>387</v>
      </c>
      <c r="CW56">
        <v>308</v>
      </c>
      <c r="CX56">
        <v>262</v>
      </c>
      <c r="CY56">
        <v>242</v>
      </c>
      <c r="CZ56">
        <v>235</v>
      </c>
      <c r="DA56">
        <v>219</v>
      </c>
      <c r="DB56">
        <v>197</v>
      </c>
      <c r="DC56">
        <v>190</v>
      </c>
      <c r="DD56">
        <v>189</v>
      </c>
      <c r="DE56">
        <v>198</v>
      </c>
      <c r="DF56">
        <v>198</v>
      </c>
      <c r="DG56">
        <v>152</v>
      </c>
      <c r="DH56">
        <v>146</v>
      </c>
      <c r="DI56">
        <v>137</v>
      </c>
      <c r="DJ56">
        <v>125</v>
      </c>
      <c r="DK56">
        <v>115</v>
      </c>
      <c r="DL56">
        <v>108</v>
      </c>
      <c r="DM56">
        <v>119</v>
      </c>
      <c r="DN56">
        <v>127</v>
      </c>
      <c r="DO56">
        <v>128</v>
      </c>
      <c r="DP56">
        <v>99</v>
      </c>
      <c r="DQ56">
        <v>116</v>
      </c>
    </row>
    <row r="57" spans="2:121" x14ac:dyDescent="0.35">
      <c r="B57">
        <v>3</v>
      </c>
      <c r="C57">
        <v>2</v>
      </c>
      <c r="D57">
        <v>1</v>
      </c>
      <c r="E57">
        <v>7</v>
      </c>
      <c r="F57">
        <v>28</v>
      </c>
      <c r="G57">
        <v>49</v>
      </c>
      <c r="H57">
        <v>119</v>
      </c>
      <c r="I57">
        <v>198</v>
      </c>
      <c r="J57">
        <v>254</v>
      </c>
      <c r="K57">
        <v>122</v>
      </c>
      <c r="L57">
        <v>60</v>
      </c>
      <c r="M57">
        <v>61</v>
      </c>
      <c r="N57">
        <v>94</v>
      </c>
      <c r="O57">
        <v>111</v>
      </c>
      <c r="P57">
        <v>186</v>
      </c>
      <c r="Q57">
        <v>271</v>
      </c>
      <c r="R57">
        <v>416</v>
      </c>
      <c r="S57">
        <v>632</v>
      </c>
      <c r="T57">
        <v>568</v>
      </c>
      <c r="U57">
        <v>358</v>
      </c>
      <c r="V57">
        <v>350</v>
      </c>
      <c r="W57">
        <v>147</v>
      </c>
      <c r="X57">
        <v>95</v>
      </c>
      <c r="Y57">
        <v>44</v>
      </c>
      <c r="Z57">
        <v>63</v>
      </c>
      <c r="AA57">
        <v>42</v>
      </c>
      <c r="AB57">
        <v>31</v>
      </c>
      <c r="AC57">
        <v>30</v>
      </c>
      <c r="AD57">
        <v>24</v>
      </c>
      <c r="AE57">
        <v>13</v>
      </c>
      <c r="AF57">
        <v>2</v>
      </c>
      <c r="AG57">
        <v>2</v>
      </c>
      <c r="AH57">
        <v>2</v>
      </c>
      <c r="AI57">
        <v>3</v>
      </c>
      <c r="AJ57">
        <v>2</v>
      </c>
      <c r="AK57">
        <v>1</v>
      </c>
      <c r="AL57">
        <v>7</v>
      </c>
      <c r="AM57">
        <v>13</v>
      </c>
      <c r="AN57">
        <v>16</v>
      </c>
      <c r="AO57">
        <v>42</v>
      </c>
      <c r="AP57">
        <v>59</v>
      </c>
      <c r="AQ57">
        <v>86</v>
      </c>
      <c r="AR57">
        <v>73</v>
      </c>
      <c r="AS57">
        <v>131</v>
      </c>
      <c r="AT57">
        <v>90</v>
      </c>
      <c r="AU57">
        <v>43</v>
      </c>
      <c r="AV57">
        <v>23</v>
      </c>
      <c r="AW57">
        <v>20</v>
      </c>
      <c r="AX57">
        <v>19</v>
      </c>
      <c r="AY57">
        <v>19</v>
      </c>
      <c r="AZ57">
        <v>27</v>
      </c>
      <c r="BA57">
        <v>43</v>
      </c>
      <c r="BB57">
        <v>87</v>
      </c>
      <c r="BC57">
        <v>111</v>
      </c>
      <c r="BD57">
        <v>97</v>
      </c>
      <c r="BE57">
        <v>69</v>
      </c>
      <c r="BF57">
        <v>46</v>
      </c>
      <c r="BG57">
        <v>28</v>
      </c>
      <c r="BH57">
        <v>9</v>
      </c>
      <c r="BI57">
        <v>4</v>
      </c>
      <c r="BJ57">
        <v>1</v>
      </c>
      <c r="BK57">
        <v>2</v>
      </c>
      <c r="BL57">
        <v>3</v>
      </c>
      <c r="BM57">
        <v>4</v>
      </c>
      <c r="BN57">
        <v>4</v>
      </c>
      <c r="BO57">
        <v>3</v>
      </c>
      <c r="BP57">
        <v>4</v>
      </c>
      <c r="BQ57">
        <v>2</v>
      </c>
      <c r="BR57">
        <v>1</v>
      </c>
      <c r="BS57">
        <v>1</v>
      </c>
      <c r="BT57">
        <v>2</v>
      </c>
      <c r="BU57">
        <v>2</v>
      </c>
      <c r="BV57">
        <v>2</v>
      </c>
      <c r="BW57">
        <v>1</v>
      </c>
      <c r="BX57">
        <v>1</v>
      </c>
      <c r="BY57">
        <v>2</v>
      </c>
      <c r="BZ57">
        <v>2</v>
      </c>
      <c r="CA57">
        <v>1</v>
      </c>
      <c r="CB57">
        <v>2</v>
      </c>
      <c r="CC57">
        <v>3</v>
      </c>
      <c r="CD57">
        <v>2</v>
      </c>
      <c r="CE57">
        <v>1</v>
      </c>
      <c r="CF57">
        <v>2</v>
      </c>
      <c r="CG57">
        <v>1</v>
      </c>
      <c r="CH57">
        <v>2</v>
      </c>
      <c r="CI57">
        <v>3</v>
      </c>
      <c r="CJ57">
        <v>3</v>
      </c>
      <c r="CK57">
        <v>3</v>
      </c>
      <c r="CL57">
        <v>2</v>
      </c>
      <c r="CM57">
        <v>2</v>
      </c>
      <c r="CN57">
        <v>0</v>
      </c>
      <c r="CO57">
        <v>0</v>
      </c>
      <c r="CP57">
        <v>0</v>
      </c>
      <c r="CQ57">
        <v>0</v>
      </c>
      <c r="CR57">
        <v>1</v>
      </c>
      <c r="CS57">
        <v>4</v>
      </c>
      <c r="CT57">
        <v>5</v>
      </c>
      <c r="CU57">
        <v>3</v>
      </c>
      <c r="CV57">
        <v>3</v>
      </c>
      <c r="CW57">
        <v>4</v>
      </c>
      <c r="CX57">
        <v>4</v>
      </c>
      <c r="CY57">
        <v>4</v>
      </c>
      <c r="CZ57">
        <v>11</v>
      </c>
      <c r="DA57">
        <v>52</v>
      </c>
      <c r="DB57">
        <v>102</v>
      </c>
      <c r="DC57">
        <v>90</v>
      </c>
      <c r="DD57">
        <v>125</v>
      </c>
      <c r="DE57">
        <v>223</v>
      </c>
      <c r="DF57">
        <v>358</v>
      </c>
      <c r="DG57">
        <v>304</v>
      </c>
      <c r="DH57">
        <v>374</v>
      </c>
      <c r="DI57">
        <v>667</v>
      </c>
      <c r="DJ57">
        <v>794</v>
      </c>
      <c r="DK57">
        <v>655</v>
      </c>
      <c r="DL57">
        <v>761</v>
      </c>
      <c r="DM57">
        <v>837</v>
      </c>
      <c r="DN57">
        <v>829</v>
      </c>
      <c r="DO57">
        <v>1277</v>
      </c>
      <c r="DP57">
        <v>1344</v>
      </c>
      <c r="DQ57">
        <v>1068</v>
      </c>
    </row>
    <row r="58" spans="2:121" x14ac:dyDescent="0.35">
      <c r="B58">
        <v>819</v>
      </c>
      <c r="C58">
        <v>720</v>
      </c>
      <c r="D58">
        <v>649</v>
      </c>
      <c r="E58">
        <v>610</v>
      </c>
      <c r="F58">
        <v>591</v>
      </c>
      <c r="G58">
        <v>577</v>
      </c>
      <c r="H58">
        <v>569</v>
      </c>
      <c r="I58">
        <v>573</v>
      </c>
      <c r="J58">
        <v>568</v>
      </c>
      <c r="K58">
        <v>551</v>
      </c>
      <c r="L58">
        <v>589</v>
      </c>
      <c r="M58">
        <v>643</v>
      </c>
      <c r="N58">
        <v>703</v>
      </c>
      <c r="O58">
        <v>683</v>
      </c>
      <c r="P58">
        <v>623</v>
      </c>
      <c r="Q58">
        <v>678</v>
      </c>
      <c r="R58">
        <v>861</v>
      </c>
      <c r="S58">
        <v>940</v>
      </c>
      <c r="T58">
        <v>803</v>
      </c>
      <c r="U58">
        <v>764</v>
      </c>
      <c r="V58">
        <v>731</v>
      </c>
      <c r="W58">
        <v>549</v>
      </c>
      <c r="X58">
        <v>522</v>
      </c>
      <c r="Y58">
        <v>611</v>
      </c>
      <c r="Z58">
        <v>796</v>
      </c>
      <c r="AA58">
        <v>1134</v>
      </c>
      <c r="AB58">
        <v>845</v>
      </c>
      <c r="AC58">
        <v>584</v>
      </c>
      <c r="AD58">
        <v>938</v>
      </c>
      <c r="AE58">
        <v>858</v>
      </c>
      <c r="AF58">
        <v>730</v>
      </c>
      <c r="AG58">
        <v>530</v>
      </c>
      <c r="AH58">
        <v>508</v>
      </c>
      <c r="AI58">
        <v>575</v>
      </c>
      <c r="AJ58">
        <v>477</v>
      </c>
      <c r="AK58">
        <v>371</v>
      </c>
      <c r="AL58">
        <v>455</v>
      </c>
      <c r="AM58">
        <v>481</v>
      </c>
      <c r="AN58">
        <v>415</v>
      </c>
      <c r="AO58">
        <v>276</v>
      </c>
      <c r="AP58">
        <v>226</v>
      </c>
      <c r="AQ58">
        <v>220</v>
      </c>
      <c r="AR58">
        <v>191</v>
      </c>
      <c r="AS58">
        <v>165</v>
      </c>
      <c r="AT58">
        <v>154</v>
      </c>
      <c r="AU58">
        <v>146</v>
      </c>
      <c r="AV58">
        <v>141</v>
      </c>
      <c r="AW58">
        <v>131</v>
      </c>
      <c r="AX58">
        <v>131</v>
      </c>
      <c r="AY58">
        <v>135</v>
      </c>
      <c r="AZ58">
        <v>140</v>
      </c>
      <c r="BA58">
        <v>142</v>
      </c>
      <c r="BB58">
        <v>138</v>
      </c>
      <c r="BC58">
        <v>196</v>
      </c>
      <c r="BD58">
        <v>334</v>
      </c>
      <c r="BE58">
        <v>355</v>
      </c>
      <c r="BF58">
        <v>261</v>
      </c>
      <c r="BG58">
        <v>229</v>
      </c>
      <c r="BH58">
        <v>212</v>
      </c>
      <c r="BI58">
        <v>230</v>
      </c>
      <c r="BJ58">
        <v>213</v>
      </c>
      <c r="BK58">
        <v>272</v>
      </c>
      <c r="BL58">
        <v>375</v>
      </c>
      <c r="BM58">
        <v>296</v>
      </c>
      <c r="BN58">
        <v>282</v>
      </c>
      <c r="BO58">
        <v>304</v>
      </c>
      <c r="BP58">
        <v>261</v>
      </c>
      <c r="BQ58">
        <v>292</v>
      </c>
      <c r="BR58">
        <v>307</v>
      </c>
      <c r="BS58">
        <v>331</v>
      </c>
      <c r="BT58">
        <v>393</v>
      </c>
      <c r="BU58">
        <v>483</v>
      </c>
      <c r="BV58">
        <v>525</v>
      </c>
      <c r="BW58">
        <v>751</v>
      </c>
      <c r="BX58">
        <v>1121</v>
      </c>
      <c r="BY58">
        <v>1121</v>
      </c>
      <c r="BZ58">
        <v>1067</v>
      </c>
      <c r="CA58">
        <v>928</v>
      </c>
      <c r="CB58">
        <v>863</v>
      </c>
      <c r="CC58">
        <v>763</v>
      </c>
      <c r="CD58">
        <v>675</v>
      </c>
      <c r="CE58">
        <v>669</v>
      </c>
      <c r="CF58">
        <v>620</v>
      </c>
      <c r="CG58">
        <v>575</v>
      </c>
      <c r="CH58">
        <v>536</v>
      </c>
      <c r="CI58">
        <v>507</v>
      </c>
      <c r="CJ58">
        <v>461</v>
      </c>
      <c r="CK58">
        <v>428</v>
      </c>
      <c r="CL58">
        <v>452</v>
      </c>
      <c r="CM58">
        <v>401</v>
      </c>
      <c r="CN58">
        <v>321</v>
      </c>
      <c r="CO58">
        <v>267</v>
      </c>
      <c r="CP58">
        <v>288</v>
      </c>
      <c r="CQ58">
        <v>266</v>
      </c>
      <c r="CR58">
        <v>182</v>
      </c>
      <c r="CS58">
        <v>251</v>
      </c>
      <c r="CT58">
        <v>469</v>
      </c>
      <c r="CU58">
        <v>595</v>
      </c>
      <c r="CV58">
        <v>585</v>
      </c>
      <c r="CW58">
        <v>503</v>
      </c>
      <c r="CX58">
        <v>409</v>
      </c>
      <c r="CY58">
        <v>304</v>
      </c>
      <c r="CZ58">
        <v>259</v>
      </c>
      <c r="DA58">
        <v>192</v>
      </c>
      <c r="DB58">
        <v>157</v>
      </c>
      <c r="DC58">
        <v>170</v>
      </c>
      <c r="DD58">
        <v>115</v>
      </c>
      <c r="DE58">
        <v>126</v>
      </c>
      <c r="DF58">
        <v>126</v>
      </c>
      <c r="DG58">
        <v>108</v>
      </c>
      <c r="DH58">
        <v>88</v>
      </c>
      <c r="DI58">
        <v>70</v>
      </c>
      <c r="DJ58">
        <v>101</v>
      </c>
      <c r="DK58">
        <v>79</v>
      </c>
      <c r="DL58">
        <v>49</v>
      </c>
      <c r="DM58">
        <v>41</v>
      </c>
      <c r="DN58">
        <v>46</v>
      </c>
      <c r="DO58">
        <v>36</v>
      </c>
      <c r="DP58">
        <v>29</v>
      </c>
      <c r="DQ58">
        <v>30</v>
      </c>
    </row>
    <row r="59" spans="2:121" x14ac:dyDescent="0.35">
      <c r="B59">
        <v>9</v>
      </c>
      <c r="C59">
        <v>10</v>
      </c>
      <c r="D59">
        <v>10</v>
      </c>
      <c r="E59">
        <v>9</v>
      </c>
      <c r="F59">
        <v>8</v>
      </c>
      <c r="G59">
        <v>9</v>
      </c>
      <c r="H59">
        <v>9</v>
      </c>
      <c r="I59">
        <v>11</v>
      </c>
      <c r="J59">
        <v>12</v>
      </c>
      <c r="K59">
        <v>13</v>
      </c>
      <c r="L59">
        <v>15</v>
      </c>
      <c r="M59">
        <v>18</v>
      </c>
      <c r="N59">
        <v>21</v>
      </c>
      <c r="O59">
        <v>23</v>
      </c>
      <c r="P59">
        <v>26</v>
      </c>
      <c r="Q59">
        <v>29</v>
      </c>
      <c r="R59">
        <v>31</v>
      </c>
      <c r="S59">
        <v>33</v>
      </c>
      <c r="T59">
        <v>35</v>
      </c>
      <c r="U59">
        <v>37</v>
      </c>
      <c r="V59">
        <v>39</v>
      </c>
      <c r="W59">
        <v>40</v>
      </c>
      <c r="X59">
        <v>41</v>
      </c>
      <c r="Y59">
        <v>43</v>
      </c>
      <c r="Z59">
        <v>45</v>
      </c>
      <c r="AA59">
        <v>48</v>
      </c>
      <c r="AB59">
        <v>50</v>
      </c>
      <c r="AC59">
        <v>52</v>
      </c>
      <c r="AD59">
        <v>55</v>
      </c>
      <c r="AE59">
        <v>58</v>
      </c>
      <c r="AF59">
        <v>60</v>
      </c>
      <c r="AG59">
        <v>63</v>
      </c>
      <c r="AH59">
        <v>65</v>
      </c>
      <c r="AI59">
        <v>67</v>
      </c>
      <c r="AJ59">
        <v>70</v>
      </c>
      <c r="AK59">
        <v>72</v>
      </c>
      <c r="AL59">
        <v>71</v>
      </c>
      <c r="AM59">
        <v>72</v>
      </c>
      <c r="AN59">
        <v>75</v>
      </c>
      <c r="AO59">
        <v>77</v>
      </c>
      <c r="AP59">
        <v>83</v>
      </c>
      <c r="AQ59">
        <v>99</v>
      </c>
      <c r="AR59">
        <v>87</v>
      </c>
      <c r="AS59">
        <v>85</v>
      </c>
      <c r="AT59">
        <v>89</v>
      </c>
      <c r="AU59">
        <v>96</v>
      </c>
      <c r="AV59">
        <v>103</v>
      </c>
      <c r="AW59">
        <v>115</v>
      </c>
      <c r="AX59">
        <v>121</v>
      </c>
      <c r="AY59">
        <v>119</v>
      </c>
      <c r="AZ59">
        <v>115</v>
      </c>
      <c r="BA59">
        <v>100</v>
      </c>
      <c r="BB59">
        <v>99</v>
      </c>
      <c r="BC59">
        <v>94</v>
      </c>
      <c r="BD59">
        <v>88</v>
      </c>
      <c r="BE59">
        <v>99</v>
      </c>
      <c r="BF59">
        <v>104</v>
      </c>
      <c r="BG59">
        <v>104</v>
      </c>
      <c r="BH59">
        <v>101</v>
      </c>
      <c r="BI59">
        <v>108</v>
      </c>
      <c r="BJ59">
        <v>119</v>
      </c>
      <c r="BK59">
        <v>123</v>
      </c>
      <c r="BL59">
        <v>113</v>
      </c>
      <c r="BM59">
        <v>136</v>
      </c>
      <c r="BN59">
        <v>153</v>
      </c>
      <c r="BO59">
        <v>220</v>
      </c>
      <c r="BP59">
        <v>275</v>
      </c>
      <c r="BQ59">
        <v>288</v>
      </c>
      <c r="BR59">
        <v>178</v>
      </c>
      <c r="BS59">
        <v>236</v>
      </c>
      <c r="BT59">
        <v>353</v>
      </c>
      <c r="BU59">
        <v>243</v>
      </c>
      <c r="BV59">
        <v>276</v>
      </c>
      <c r="BW59">
        <v>243</v>
      </c>
      <c r="BX59">
        <v>220</v>
      </c>
      <c r="BY59">
        <v>161</v>
      </c>
      <c r="BZ59">
        <v>164</v>
      </c>
      <c r="CA59">
        <v>164</v>
      </c>
      <c r="CB59">
        <v>184</v>
      </c>
      <c r="CC59">
        <v>165</v>
      </c>
      <c r="CD59">
        <v>171</v>
      </c>
      <c r="CE59">
        <v>179</v>
      </c>
      <c r="CF59">
        <v>183</v>
      </c>
      <c r="CG59">
        <v>196</v>
      </c>
      <c r="CH59">
        <v>193</v>
      </c>
      <c r="CI59">
        <v>169</v>
      </c>
      <c r="CJ59">
        <v>193</v>
      </c>
      <c r="CK59">
        <v>214</v>
      </c>
      <c r="CL59">
        <v>202</v>
      </c>
      <c r="CM59">
        <v>190</v>
      </c>
      <c r="CN59">
        <v>190</v>
      </c>
      <c r="CO59">
        <v>174</v>
      </c>
      <c r="CP59">
        <v>175</v>
      </c>
      <c r="CQ59">
        <v>186</v>
      </c>
      <c r="CR59">
        <v>190</v>
      </c>
      <c r="CS59">
        <v>222</v>
      </c>
      <c r="CT59">
        <v>303</v>
      </c>
      <c r="CU59">
        <v>352</v>
      </c>
      <c r="CV59">
        <v>320</v>
      </c>
      <c r="CW59">
        <v>310</v>
      </c>
      <c r="CX59">
        <v>343</v>
      </c>
      <c r="CY59">
        <v>384</v>
      </c>
      <c r="CZ59">
        <v>572</v>
      </c>
      <c r="DA59">
        <v>618</v>
      </c>
      <c r="DB59">
        <v>739</v>
      </c>
      <c r="DC59">
        <v>738</v>
      </c>
      <c r="DD59">
        <v>765</v>
      </c>
      <c r="DE59">
        <v>747</v>
      </c>
      <c r="DF59">
        <v>565</v>
      </c>
      <c r="DG59">
        <v>460</v>
      </c>
      <c r="DH59">
        <v>443</v>
      </c>
      <c r="DI59">
        <v>532</v>
      </c>
      <c r="DJ59">
        <v>436</v>
      </c>
      <c r="DK59">
        <v>311</v>
      </c>
      <c r="DL59">
        <v>223</v>
      </c>
      <c r="DM59">
        <v>194</v>
      </c>
      <c r="DN59">
        <v>192</v>
      </c>
      <c r="DO59">
        <v>225</v>
      </c>
      <c r="DP59">
        <v>270</v>
      </c>
      <c r="DQ59">
        <v>220</v>
      </c>
    </row>
    <row r="60" spans="2:121" x14ac:dyDescent="0.35">
      <c r="B60">
        <v>593</v>
      </c>
      <c r="C60">
        <v>569</v>
      </c>
      <c r="D60">
        <v>518</v>
      </c>
      <c r="E60">
        <v>490</v>
      </c>
      <c r="F60">
        <v>450</v>
      </c>
      <c r="G60">
        <v>415</v>
      </c>
      <c r="H60">
        <v>375</v>
      </c>
      <c r="I60">
        <v>333</v>
      </c>
      <c r="J60">
        <v>339</v>
      </c>
      <c r="K60">
        <v>338</v>
      </c>
      <c r="L60">
        <v>315</v>
      </c>
      <c r="M60">
        <v>294</v>
      </c>
      <c r="N60">
        <v>257</v>
      </c>
      <c r="O60">
        <v>245</v>
      </c>
      <c r="P60">
        <v>235</v>
      </c>
      <c r="Q60">
        <v>238</v>
      </c>
      <c r="R60">
        <v>231</v>
      </c>
      <c r="S60">
        <v>237</v>
      </c>
      <c r="T60">
        <v>200</v>
      </c>
      <c r="U60">
        <v>205</v>
      </c>
      <c r="V60">
        <v>213</v>
      </c>
      <c r="W60">
        <v>191</v>
      </c>
      <c r="X60">
        <v>212</v>
      </c>
      <c r="Y60">
        <v>254</v>
      </c>
      <c r="Z60">
        <v>204</v>
      </c>
      <c r="AA60">
        <v>220</v>
      </c>
      <c r="AB60">
        <v>155</v>
      </c>
      <c r="AC60">
        <v>144</v>
      </c>
      <c r="AD60">
        <v>165</v>
      </c>
      <c r="AE60">
        <v>189</v>
      </c>
      <c r="AF60">
        <v>194</v>
      </c>
      <c r="AG60">
        <v>175</v>
      </c>
      <c r="AH60">
        <v>180</v>
      </c>
      <c r="AI60">
        <v>169</v>
      </c>
      <c r="AJ60">
        <v>155</v>
      </c>
      <c r="AK60">
        <v>146</v>
      </c>
      <c r="AL60">
        <v>127</v>
      </c>
      <c r="AM60">
        <v>127</v>
      </c>
      <c r="AN60">
        <v>123</v>
      </c>
      <c r="AO60">
        <v>114</v>
      </c>
      <c r="AP60">
        <v>97</v>
      </c>
      <c r="AQ60">
        <v>99</v>
      </c>
      <c r="AR60">
        <v>107</v>
      </c>
      <c r="AS60">
        <v>108</v>
      </c>
      <c r="AT60">
        <v>111</v>
      </c>
      <c r="AU60">
        <v>123</v>
      </c>
      <c r="AV60">
        <v>137</v>
      </c>
      <c r="AW60">
        <v>144</v>
      </c>
      <c r="AX60">
        <v>159</v>
      </c>
      <c r="AY60">
        <v>213</v>
      </c>
      <c r="AZ60">
        <v>274</v>
      </c>
      <c r="BA60">
        <v>324</v>
      </c>
      <c r="BB60">
        <v>375</v>
      </c>
      <c r="BC60">
        <v>470</v>
      </c>
      <c r="BD60">
        <v>549</v>
      </c>
      <c r="BE60">
        <v>603</v>
      </c>
      <c r="BF60">
        <v>579</v>
      </c>
      <c r="BG60">
        <v>492</v>
      </c>
      <c r="BH60">
        <v>432</v>
      </c>
      <c r="BI60">
        <v>401</v>
      </c>
      <c r="BJ60">
        <v>304</v>
      </c>
      <c r="BK60">
        <v>228</v>
      </c>
      <c r="BL60">
        <v>212</v>
      </c>
      <c r="BM60">
        <v>237</v>
      </c>
      <c r="BN60">
        <v>244</v>
      </c>
      <c r="BO60">
        <v>207</v>
      </c>
      <c r="BP60">
        <v>137</v>
      </c>
      <c r="BQ60">
        <v>160</v>
      </c>
      <c r="BR60">
        <v>178</v>
      </c>
      <c r="BS60">
        <v>185</v>
      </c>
      <c r="BT60">
        <v>171</v>
      </c>
      <c r="BU60">
        <v>207</v>
      </c>
      <c r="BV60">
        <v>200</v>
      </c>
      <c r="BW60">
        <v>161</v>
      </c>
      <c r="BX60">
        <v>182</v>
      </c>
      <c r="BY60">
        <v>222</v>
      </c>
      <c r="BZ60">
        <v>296</v>
      </c>
      <c r="CA60">
        <v>296</v>
      </c>
      <c r="CB60">
        <v>254</v>
      </c>
      <c r="CC60">
        <v>349</v>
      </c>
      <c r="CD60">
        <v>380</v>
      </c>
      <c r="CE60">
        <v>401</v>
      </c>
      <c r="CF60">
        <v>376</v>
      </c>
      <c r="CG60">
        <v>348</v>
      </c>
      <c r="CH60">
        <v>405</v>
      </c>
      <c r="CI60">
        <v>408</v>
      </c>
      <c r="CJ60">
        <v>316</v>
      </c>
      <c r="CK60">
        <v>224</v>
      </c>
      <c r="CL60">
        <v>183</v>
      </c>
      <c r="CM60">
        <v>200</v>
      </c>
      <c r="CN60">
        <v>166</v>
      </c>
      <c r="CO60">
        <v>110</v>
      </c>
      <c r="CP60">
        <v>88</v>
      </c>
      <c r="CQ60">
        <v>104</v>
      </c>
      <c r="CR60">
        <v>148</v>
      </c>
      <c r="CS60">
        <v>208</v>
      </c>
      <c r="CT60">
        <v>205</v>
      </c>
      <c r="CU60">
        <v>138</v>
      </c>
      <c r="CV60">
        <v>113</v>
      </c>
      <c r="CW60">
        <v>110</v>
      </c>
      <c r="CX60">
        <v>114</v>
      </c>
      <c r="CY60">
        <v>129</v>
      </c>
      <c r="CZ60">
        <v>155</v>
      </c>
      <c r="DA60">
        <v>138</v>
      </c>
      <c r="DB60">
        <v>109</v>
      </c>
      <c r="DC60">
        <v>127</v>
      </c>
      <c r="DD60">
        <v>111</v>
      </c>
      <c r="DE60">
        <v>107</v>
      </c>
      <c r="DF60">
        <v>126</v>
      </c>
      <c r="DG60">
        <v>135</v>
      </c>
      <c r="DH60">
        <v>110</v>
      </c>
      <c r="DI60">
        <v>106</v>
      </c>
      <c r="DJ60">
        <v>113</v>
      </c>
      <c r="DK60">
        <v>102</v>
      </c>
      <c r="DL60">
        <v>85</v>
      </c>
      <c r="DM60">
        <v>73</v>
      </c>
      <c r="DN60">
        <v>73</v>
      </c>
      <c r="DO60">
        <v>71</v>
      </c>
      <c r="DP60">
        <v>87</v>
      </c>
      <c r="DQ60">
        <v>83</v>
      </c>
    </row>
    <row r="61" spans="2:121" x14ac:dyDescent="0.35">
      <c r="B61">
        <v>0</v>
      </c>
      <c r="C61">
        <v>8</v>
      </c>
      <c r="D61">
        <v>15</v>
      </c>
      <c r="E61">
        <v>23</v>
      </c>
      <c r="F61">
        <v>21</v>
      </c>
      <c r="G61">
        <v>19</v>
      </c>
      <c r="H61">
        <v>106</v>
      </c>
      <c r="I61">
        <v>130</v>
      </c>
      <c r="J61">
        <v>86</v>
      </c>
      <c r="K61">
        <v>168</v>
      </c>
      <c r="L61">
        <v>204</v>
      </c>
      <c r="M61">
        <v>220</v>
      </c>
      <c r="N61">
        <v>212</v>
      </c>
      <c r="O61">
        <v>128</v>
      </c>
      <c r="P61">
        <v>97</v>
      </c>
      <c r="Q61">
        <v>143</v>
      </c>
      <c r="R61">
        <v>170</v>
      </c>
      <c r="S61">
        <v>102</v>
      </c>
      <c r="T61">
        <v>99</v>
      </c>
      <c r="U61">
        <v>78</v>
      </c>
      <c r="V61">
        <v>95</v>
      </c>
      <c r="W61">
        <v>149</v>
      </c>
      <c r="X61">
        <v>127</v>
      </c>
      <c r="Y61">
        <v>76</v>
      </c>
      <c r="Z61">
        <v>36</v>
      </c>
      <c r="AA61">
        <v>24</v>
      </c>
      <c r="AB61">
        <v>10</v>
      </c>
      <c r="AC61">
        <v>6</v>
      </c>
      <c r="AD61">
        <v>2</v>
      </c>
      <c r="AE61">
        <v>2</v>
      </c>
      <c r="AF61">
        <v>2</v>
      </c>
      <c r="AG61">
        <v>1</v>
      </c>
      <c r="AH61">
        <v>1</v>
      </c>
      <c r="AI61">
        <v>1</v>
      </c>
      <c r="AJ61">
        <v>1</v>
      </c>
      <c r="AK61">
        <v>2</v>
      </c>
      <c r="AL61">
        <v>0</v>
      </c>
      <c r="AM61">
        <v>1</v>
      </c>
      <c r="AN61">
        <v>1</v>
      </c>
      <c r="AO61">
        <v>2</v>
      </c>
      <c r="AP61">
        <v>1</v>
      </c>
      <c r="AQ61">
        <v>1</v>
      </c>
      <c r="AR61">
        <v>1</v>
      </c>
      <c r="AS61">
        <v>0</v>
      </c>
      <c r="AT61">
        <v>2</v>
      </c>
      <c r="AU61">
        <v>5</v>
      </c>
      <c r="AV61">
        <v>9</v>
      </c>
      <c r="AW61">
        <v>15</v>
      </c>
      <c r="AX61">
        <v>25</v>
      </c>
      <c r="AY61">
        <v>31</v>
      </c>
      <c r="AZ61">
        <v>34</v>
      </c>
      <c r="BA61">
        <v>30</v>
      </c>
      <c r="BB61">
        <v>87</v>
      </c>
      <c r="BC61">
        <v>257</v>
      </c>
      <c r="BD61">
        <v>187</v>
      </c>
      <c r="BE61">
        <v>261</v>
      </c>
      <c r="BF61">
        <v>308</v>
      </c>
      <c r="BG61">
        <v>202</v>
      </c>
      <c r="BH61">
        <v>164</v>
      </c>
      <c r="BI61">
        <v>135</v>
      </c>
      <c r="BJ61">
        <v>291</v>
      </c>
      <c r="BK61">
        <v>308</v>
      </c>
      <c r="BL61">
        <v>141</v>
      </c>
      <c r="BM61">
        <v>60</v>
      </c>
      <c r="BN61">
        <v>41</v>
      </c>
      <c r="BO61">
        <v>45</v>
      </c>
      <c r="BP61">
        <v>44</v>
      </c>
      <c r="BQ61">
        <v>77</v>
      </c>
      <c r="BR61">
        <v>50</v>
      </c>
      <c r="BS61">
        <v>16</v>
      </c>
      <c r="BT61">
        <v>7</v>
      </c>
      <c r="BU61">
        <v>4</v>
      </c>
      <c r="BV61">
        <v>3</v>
      </c>
      <c r="BW61">
        <v>1</v>
      </c>
      <c r="BX61">
        <v>0</v>
      </c>
      <c r="BY61">
        <v>1</v>
      </c>
      <c r="BZ61">
        <v>3</v>
      </c>
      <c r="CA61">
        <v>23</v>
      </c>
      <c r="CB61">
        <v>63</v>
      </c>
      <c r="CC61">
        <v>121</v>
      </c>
      <c r="CD61">
        <v>190</v>
      </c>
      <c r="CE61">
        <v>118</v>
      </c>
      <c r="CF61">
        <v>110</v>
      </c>
      <c r="CG61">
        <v>48</v>
      </c>
      <c r="CH61">
        <v>40</v>
      </c>
      <c r="CI61">
        <v>43</v>
      </c>
      <c r="CJ61">
        <v>58</v>
      </c>
      <c r="CK61">
        <v>62</v>
      </c>
      <c r="CL61">
        <v>53</v>
      </c>
      <c r="CM61">
        <v>45</v>
      </c>
      <c r="CN61">
        <v>40</v>
      </c>
      <c r="CO61">
        <v>41</v>
      </c>
      <c r="CP61">
        <v>46</v>
      </c>
      <c r="CQ61">
        <v>45</v>
      </c>
      <c r="CR61">
        <v>55</v>
      </c>
      <c r="CS61">
        <v>43</v>
      </c>
      <c r="CT61">
        <v>38</v>
      </c>
      <c r="CU61">
        <v>35</v>
      </c>
      <c r="CV61">
        <v>33</v>
      </c>
      <c r="CW61">
        <v>33</v>
      </c>
      <c r="CX61">
        <v>38</v>
      </c>
      <c r="CY61">
        <v>44</v>
      </c>
      <c r="CZ61">
        <v>58</v>
      </c>
      <c r="DA61">
        <v>59</v>
      </c>
      <c r="DB61">
        <v>45</v>
      </c>
      <c r="DC61">
        <v>30</v>
      </c>
      <c r="DD61">
        <v>21</v>
      </c>
      <c r="DE61">
        <v>14</v>
      </c>
      <c r="DF61">
        <v>6</v>
      </c>
      <c r="DG61">
        <v>1</v>
      </c>
      <c r="DH61">
        <v>2</v>
      </c>
      <c r="DI61">
        <v>3</v>
      </c>
      <c r="DJ61">
        <v>1</v>
      </c>
      <c r="DK61">
        <v>1</v>
      </c>
      <c r="DL61">
        <v>0</v>
      </c>
      <c r="DM61">
        <v>2</v>
      </c>
      <c r="DN61">
        <v>2</v>
      </c>
      <c r="DO61">
        <v>2</v>
      </c>
      <c r="DP61">
        <v>2</v>
      </c>
      <c r="DQ61">
        <v>3</v>
      </c>
    </row>
    <row r="62" spans="2:121" x14ac:dyDescent="0.35">
      <c r="B62">
        <v>0</v>
      </c>
      <c r="C62">
        <v>0</v>
      </c>
      <c r="D62">
        <v>1</v>
      </c>
      <c r="E62">
        <v>0</v>
      </c>
      <c r="F62">
        <v>1</v>
      </c>
      <c r="G62">
        <v>0</v>
      </c>
      <c r="H62">
        <v>1</v>
      </c>
      <c r="I62">
        <v>0</v>
      </c>
      <c r="J62">
        <v>0</v>
      </c>
      <c r="K62">
        <v>1</v>
      </c>
      <c r="L62">
        <v>1</v>
      </c>
      <c r="M62">
        <v>2</v>
      </c>
      <c r="N62">
        <v>2</v>
      </c>
      <c r="O62">
        <v>1</v>
      </c>
      <c r="P62">
        <v>4</v>
      </c>
      <c r="Q62">
        <v>4</v>
      </c>
      <c r="R62">
        <v>4</v>
      </c>
      <c r="S62">
        <v>5</v>
      </c>
      <c r="T62">
        <v>7</v>
      </c>
      <c r="U62">
        <v>8</v>
      </c>
      <c r="V62">
        <v>9</v>
      </c>
      <c r="W62">
        <v>9</v>
      </c>
      <c r="X62">
        <v>12</v>
      </c>
      <c r="Y62">
        <v>14</v>
      </c>
      <c r="Z62">
        <v>16</v>
      </c>
      <c r="AA62">
        <v>19</v>
      </c>
      <c r="AB62">
        <v>38</v>
      </c>
      <c r="AC62">
        <v>184</v>
      </c>
      <c r="AD62">
        <v>275</v>
      </c>
      <c r="AE62">
        <v>410</v>
      </c>
      <c r="AF62">
        <v>538</v>
      </c>
      <c r="AG62">
        <v>588</v>
      </c>
      <c r="AH62">
        <v>868</v>
      </c>
      <c r="AI62">
        <v>873</v>
      </c>
      <c r="AJ62">
        <v>789</v>
      </c>
      <c r="AK62">
        <v>606</v>
      </c>
      <c r="AL62">
        <v>642</v>
      </c>
      <c r="AM62">
        <v>457</v>
      </c>
      <c r="AN62">
        <v>738</v>
      </c>
      <c r="AO62">
        <v>755</v>
      </c>
      <c r="AP62">
        <v>652</v>
      </c>
      <c r="AQ62">
        <v>670</v>
      </c>
      <c r="AR62">
        <v>666</v>
      </c>
      <c r="AS62">
        <v>785</v>
      </c>
      <c r="AT62">
        <v>827</v>
      </c>
      <c r="AU62">
        <v>1045</v>
      </c>
      <c r="AV62">
        <v>1479</v>
      </c>
      <c r="AW62">
        <v>1696</v>
      </c>
      <c r="AX62">
        <v>1875</v>
      </c>
      <c r="AY62">
        <v>1905</v>
      </c>
      <c r="AZ62">
        <v>1939</v>
      </c>
      <c r="BA62">
        <v>1719</v>
      </c>
      <c r="BB62">
        <v>1909</v>
      </c>
      <c r="BC62">
        <v>2100</v>
      </c>
      <c r="BD62">
        <v>2397</v>
      </c>
      <c r="BE62">
        <v>2812</v>
      </c>
      <c r="BF62">
        <v>2859</v>
      </c>
      <c r="BG62">
        <v>2623</v>
      </c>
      <c r="BH62">
        <v>2459</v>
      </c>
      <c r="BI62">
        <v>2604</v>
      </c>
      <c r="BJ62">
        <v>2970</v>
      </c>
      <c r="BK62">
        <v>3075</v>
      </c>
      <c r="BL62">
        <v>3385</v>
      </c>
      <c r="BM62">
        <v>3420</v>
      </c>
      <c r="BN62">
        <v>3154</v>
      </c>
      <c r="BO62">
        <v>2769</v>
      </c>
      <c r="BP62">
        <v>2441</v>
      </c>
      <c r="BQ62">
        <v>2279</v>
      </c>
      <c r="BR62">
        <v>2240</v>
      </c>
      <c r="BS62">
        <v>2042</v>
      </c>
      <c r="BT62">
        <v>1693</v>
      </c>
      <c r="BU62">
        <v>2010</v>
      </c>
      <c r="BV62">
        <v>2398</v>
      </c>
      <c r="BW62">
        <v>2792</v>
      </c>
      <c r="BX62">
        <v>2789</v>
      </c>
      <c r="BY62">
        <v>2339</v>
      </c>
      <c r="BZ62">
        <v>2467</v>
      </c>
      <c r="CA62">
        <v>2853</v>
      </c>
      <c r="CB62">
        <v>3246</v>
      </c>
      <c r="CC62">
        <v>3266</v>
      </c>
      <c r="CD62">
        <v>3399</v>
      </c>
      <c r="CE62">
        <v>3495</v>
      </c>
      <c r="CF62">
        <v>3173</v>
      </c>
      <c r="CG62">
        <v>2799</v>
      </c>
      <c r="CH62">
        <v>2626</v>
      </c>
      <c r="CI62">
        <v>2588</v>
      </c>
      <c r="CJ62">
        <v>2279</v>
      </c>
      <c r="CK62">
        <v>1999</v>
      </c>
      <c r="CL62">
        <v>2237</v>
      </c>
      <c r="CM62">
        <v>2036</v>
      </c>
      <c r="CN62">
        <v>1742</v>
      </c>
      <c r="CO62">
        <v>1954</v>
      </c>
      <c r="CP62">
        <v>2231</v>
      </c>
      <c r="CQ62">
        <v>2519</v>
      </c>
      <c r="CR62">
        <v>2698</v>
      </c>
      <c r="CS62">
        <v>2490</v>
      </c>
      <c r="CT62">
        <v>2745</v>
      </c>
      <c r="CU62">
        <v>3319</v>
      </c>
      <c r="CV62">
        <v>3588</v>
      </c>
      <c r="CW62">
        <v>3293</v>
      </c>
      <c r="CX62">
        <v>3297</v>
      </c>
      <c r="CY62">
        <v>3537</v>
      </c>
      <c r="CZ62">
        <v>3530</v>
      </c>
      <c r="DA62">
        <v>3275</v>
      </c>
      <c r="DB62">
        <v>3045</v>
      </c>
      <c r="DC62">
        <v>2876</v>
      </c>
      <c r="DD62">
        <v>2785</v>
      </c>
      <c r="DE62">
        <v>2259</v>
      </c>
      <c r="DF62">
        <v>1923</v>
      </c>
      <c r="DG62">
        <v>2245</v>
      </c>
      <c r="DH62">
        <v>2553</v>
      </c>
      <c r="DI62">
        <v>2072</v>
      </c>
      <c r="DJ62">
        <v>1989</v>
      </c>
      <c r="DK62">
        <v>2330</v>
      </c>
      <c r="DL62">
        <v>2650</v>
      </c>
      <c r="DM62">
        <v>2151</v>
      </c>
      <c r="DN62">
        <v>2148</v>
      </c>
      <c r="DO62">
        <v>2470</v>
      </c>
      <c r="DP62">
        <v>2941</v>
      </c>
      <c r="DQ62">
        <v>3174</v>
      </c>
    </row>
    <row r="63" spans="2:121" x14ac:dyDescent="0.35">
      <c r="B63">
        <v>872</v>
      </c>
      <c r="C63">
        <v>844</v>
      </c>
      <c r="D63">
        <v>783</v>
      </c>
      <c r="E63">
        <v>769</v>
      </c>
      <c r="F63">
        <v>835</v>
      </c>
      <c r="G63">
        <v>905</v>
      </c>
      <c r="H63">
        <v>897</v>
      </c>
      <c r="I63">
        <v>595</v>
      </c>
      <c r="J63">
        <v>437</v>
      </c>
      <c r="K63">
        <v>426</v>
      </c>
      <c r="L63">
        <v>554</v>
      </c>
      <c r="M63">
        <v>716</v>
      </c>
      <c r="N63">
        <v>874</v>
      </c>
      <c r="O63">
        <v>850</v>
      </c>
      <c r="P63">
        <v>669</v>
      </c>
      <c r="Q63">
        <v>605</v>
      </c>
      <c r="R63">
        <v>554</v>
      </c>
      <c r="S63">
        <v>415</v>
      </c>
      <c r="T63">
        <v>341</v>
      </c>
      <c r="U63">
        <v>300</v>
      </c>
      <c r="V63">
        <v>293</v>
      </c>
      <c r="W63">
        <v>288</v>
      </c>
      <c r="X63">
        <v>312</v>
      </c>
      <c r="Y63">
        <v>570</v>
      </c>
      <c r="Z63">
        <v>532</v>
      </c>
      <c r="AA63">
        <v>431</v>
      </c>
      <c r="AB63">
        <v>433</v>
      </c>
      <c r="AC63">
        <v>346</v>
      </c>
      <c r="AD63">
        <v>254</v>
      </c>
      <c r="AE63">
        <v>220</v>
      </c>
      <c r="AF63">
        <v>215</v>
      </c>
      <c r="AG63">
        <v>205</v>
      </c>
      <c r="AH63">
        <v>189</v>
      </c>
      <c r="AI63">
        <v>184</v>
      </c>
      <c r="AJ63">
        <v>180</v>
      </c>
      <c r="AK63">
        <v>174</v>
      </c>
      <c r="AL63">
        <v>166</v>
      </c>
      <c r="AM63">
        <v>152</v>
      </c>
      <c r="AN63">
        <v>146</v>
      </c>
      <c r="AO63">
        <v>141</v>
      </c>
      <c r="AP63">
        <v>142</v>
      </c>
      <c r="AQ63">
        <v>147</v>
      </c>
      <c r="AR63">
        <v>158</v>
      </c>
      <c r="AS63">
        <v>185</v>
      </c>
      <c r="AT63">
        <v>289</v>
      </c>
      <c r="AU63">
        <v>349</v>
      </c>
      <c r="AV63">
        <v>222</v>
      </c>
      <c r="AW63">
        <v>178</v>
      </c>
      <c r="AX63">
        <v>185</v>
      </c>
      <c r="AY63">
        <v>196</v>
      </c>
      <c r="AZ63">
        <v>208</v>
      </c>
      <c r="BA63">
        <v>232</v>
      </c>
      <c r="BB63">
        <v>260</v>
      </c>
      <c r="BC63">
        <v>260</v>
      </c>
      <c r="BD63">
        <v>274</v>
      </c>
      <c r="BE63">
        <v>318</v>
      </c>
      <c r="BF63">
        <v>411</v>
      </c>
      <c r="BG63">
        <v>418</v>
      </c>
      <c r="BH63">
        <v>500</v>
      </c>
      <c r="BI63">
        <v>614</v>
      </c>
      <c r="BJ63">
        <v>550</v>
      </c>
      <c r="BK63">
        <v>548</v>
      </c>
      <c r="BL63">
        <v>590</v>
      </c>
      <c r="BM63">
        <v>690</v>
      </c>
      <c r="BN63">
        <v>728</v>
      </c>
      <c r="BO63">
        <v>731</v>
      </c>
      <c r="BP63">
        <v>921</v>
      </c>
      <c r="BQ63">
        <v>1190</v>
      </c>
      <c r="BR63">
        <v>1295</v>
      </c>
      <c r="BS63">
        <v>1157</v>
      </c>
      <c r="BT63">
        <v>1089</v>
      </c>
      <c r="BU63">
        <v>981</v>
      </c>
      <c r="BV63">
        <v>900</v>
      </c>
      <c r="BW63">
        <v>800</v>
      </c>
      <c r="BX63">
        <v>650</v>
      </c>
      <c r="BY63">
        <v>530</v>
      </c>
      <c r="BZ63">
        <v>496</v>
      </c>
      <c r="CA63">
        <v>513</v>
      </c>
      <c r="CB63">
        <v>554</v>
      </c>
      <c r="CC63">
        <v>557</v>
      </c>
      <c r="CD63">
        <v>512</v>
      </c>
      <c r="CE63">
        <v>321</v>
      </c>
      <c r="CF63">
        <v>184</v>
      </c>
      <c r="CG63">
        <v>171</v>
      </c>
      <c r="CH63">
        <v>206</v>
      </c>
      <c r="CI63">
        <v>310</v>
      </c>
      <c r="CJ63">
        <v>632</v>
      </c>
      <c r="CK63">
        <v>625</v>
      </c>
      <c r="CL63">
        <v>494</v>
      </c>
      <c r="CM63">
        <v>374</v>
      </c>
      <c r="CN63">
        <v>386</v>
      </c>
      <c r="CO63">
        <v>370</v>
      </c>
      <c r="CP63">
        <v>307</v>
      </c>
      <c r="CQ63">
        <v>276</v>
      </c>
      <c r="CR63">
        <v>383</v>
      </c>
      <c r="CS63">
        <v>400</v>
      </c>
      <c r="CT63">
        <v>288</v>
      </c>
      <c r="CU63">
        <v>200</v>
      </c>
      <c r="CV63">
        <v>118</v>
      </c>
      <c r="CW63">
        <v>109</v>
      </c>
      <c r="CX63">
        <v>87</v>
      </c>
      <c r="CY63">
        <v>74</v>
      </c>
      <c r="CZ63">
        <v>76</v>
      </c>
      <c r="DA63">
        <v>74</v>
      </c>
      <c r="DB63">
        <v>57</v>
      </c>
      <c r="DC63">
        <v>53</v>
      </c>
      <c r="DD63">
        <v>63</v>
      </c>
      <c r="DE63">
        <v>41</v>
      </c>
      <c r="DF63">
        <v>41</v>
      </c>
      <c r="DG63">
        <v>46</v>
      </c>
      <c r="DH63">
        <v>52</v>
      </c>
      <c r="DI63">
        <v>41</v>
      </c>
      <c r="DJ63">
        <v>28</v>
      </c>
      <c r="DK63">
        <v>38</v>
      </c>
      <c r="DL63">
        <v>29</v>
      </c>
      <c r="DM63">
        <v>21</v>
      </c>
      <c r="DN63">
        <v>17</v>
      </c>
      <c r="DO63">
        <v>15</v>
      </c>
      <c r="DP63">
        <v>16</v>
      </c>
      <c r="DQ63">
        <v>16</v>
      </c>
    </row>
    <row r="64" spans="2:121" x14ac:dyDescent="0.35">
      <c r="B64">
        <v>11</v>
      </c>
      <c r="C64">
        <v>11</v>
      </c>
      <c r="D64">
        <v>14</v>
      </c>
      <c r="E64">
        <v>11</v>
      </c>
      <c r="F64">
        <v>6</v>
      </c>
      <c r="G64">
        <v>4</v>
      </c>
      <c r="H64">
        <v>6</v>
      </c>
      <c r="I64">
        <v>4</v>
      </c>
      <c r="J64">
        <v>2</v>
      </c>
      <c r="K64">
        <v>7</v>
      </c>
      <c r="L64">
        <v>12</v>
      </c>
      <c r="M64">
        <v>6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2</v>
      </c>
      <c r="AA64">
        <v>3</v>
      </c>
      <c r="AB64">
        <v>4</v>
      </c>
      <c r="AC64">
        <v>5</v>
      </c>
      <c r="AD64">
        <v>5</v>
      </c>
      <c r="AE64">
        <v>5</v>
      </c>
      <c r="AF64">
        <v>5</v>
      </c>
      <c r="AG64">
        <v>5</v>
      </c>
      <c r="AH64">
        <v>7</v>
      </c>
      <c r="AI64">
        <v>7</v>
      </c>
      <c r="AJ64">
        <v>7</v>
      </c>
      <c r="AK64">
        <v>9</v>
      </c>
      <c r="AL64">
        <v>10</v>
      </c>
      <c r="AM64">
        <v>12</v>
      </c>
      <c r="AN64">
        <v>12</v>
      </c>
      <c r="AO64">
        <v>13</v>
      </c>
      <c r="AP64">
        <v>13</v>
      </c>
      <c r="AQ64">
        <v>13</v>
      </c>
      <c r="AR64">
        <v>13</v>
      </c>
      <c r="AS64">
        <v>14</v>
      </c>
      <c r="AT64">
        <v>12</v>
      </c>
      <c r="AU64">
        <v>9</v>
      </c>
      <c r="AV64">
        <v>10</v>
      </c>
      <c r="AW64">
        <v>10</v>
      </c>
      <c r="AX64">
        <v>11</v>
      </c>
      <c r="AY64">
        <v>13</v>
      </c>
      <c r="AZ64">
        <v>15</v>
      </c>
      <c r="BA64">
        <v>16</v>
      </c>
      <c r="BB64">
        <v>17</v>
      </c>
      <c r="BC64">
        <v>19</v>
      </c>
      <c r="BD64">
        <v>19</v>
      </c>
      <c r="BE64">
        <v>18</v>
      </c>
      <c r="BF64">
        <v>16</v>
      </c>
      <c r="BG64">
        <v>18</v>
      </c>
      <c r="BH64">
        <v>17</v>
      </c>
      <c r="BI64">
        <v>16</v>
      </c>
      <c r="BJ64">
        <v>20</v>
      </c>
      <c r="BK64">
        <v>23</v>
      </c>
      <c r="BL64">
        <v>25</v>
      </c>
      <c r="BM64">
        <v>28</v>
      </c>
      <c r="BN64">
        <v>30</v>
      </c>
      <c r="BO64">
        <v>31</v>
      </c>
      <c r="BP64">
        <v>32</v>
      </c>
      <c r="BQ64">
        <v>35</v>
      </c>
      <c r="BR64">
        <v>38</v>
      </c>
      <c r="BS64">
        <v>40</v>
      </c>
      <c r="BT64">
        <v>43</v>
      </c>
      <c r="BU64">
        <v>45</v>
      </c>
      <c r="BV64">
        <v>48</v>
      </c>
      <c r="BW64">
        <v>52</v>
      </c>
      <c r="BX64">
        <v>55</v>
      </c>
      <c r="BY64">
        <v>55</v>
      </c>
      <c r="BZ64">
        <v>58</v>
      </c>
      <c r="CA64">
        <v>57</v>
      </c>
      <c r="CB64">
        <v>58</v>
      </c>
      <c r="CC64">
        <v>59</v>
      </c>
      <c r="CD64">
        <v>63</v>
      </c>
      <c r="CE64">
        <v>70</v>
      </c>
      <c r="CF64">
        <v>76</v>
      </c>
      <c r="CG64">
        <v>81</v>
      </c>
      <c r="CH64">
        <v>78</v>
      </c>
      <c r="CI64">
        <v>81</v>
      </c>
      <c r="CJ64">
        <v>85</v>
      </c>
      <c r="CK64">
        <v>90</v>
      </c>
      <c r="CL64">
        <v>98</v>
      </c>
      <c r="CM64">
        <v>105</v>
      </c>
      <c r="CN64">
        <v>96</v>
      </c>
      <c r="CO64">
        <v>90</v>
      </c>
      <c r="CP64">
        <v>94</v>
      </c>
      <c r="CQ64">
        <v>93</v>
      </c>
      <c r="CR64">
        <v>93</v>
      </c>
      <c r="CS64">
        <v>97</v>
      </c>
      <c r="CT64">
        <v>103</v>
      </c>
      <c r="CU64">
        <v>111</v>
      </c>
      <c r="CV64">
        <v>124</v>
      </c>
      <c r="CW64">
        <v>132</v>
      </c>
      <c r="CX64">
        <v>142</v>
      </c>
      <c r="CY64">
        <v>164</v>
      </c>
      <c r="CZ64">
        <v>205</v>
      </c>
      <c r="DA64">
        <v>200</v>
      </c>
      <c r="DB64">
        <v>158</v>
      </c>
      <c r="DC64">
        <v>154</v>
      </c>
      <c r="DD64">
        <v>118</v>
      </c>
      <c r="DE64">
        <v>174</v>
      </c>
      <c r="DF64">
        <v>198</v>
      </c>
      <c r="DG64">
        <v>163</v>
      </c>
      <c r="DH64">
        <v>167</v>
      </c>
      <c r="DI64">
        <v>189</v>
      </c>
      <c r="DJ64">
        <v>174</v>
      </c>
      <c r="DK64">
        <v>185</v>
      </c>
      <c r="DL64">
        <v>192</v>
      </c>
      <c r="DM64">
        <v>161</v>
      </c>
      <c r="DN64">
        <v>164</v>
      </c>
      <c r="DO64">
        <v>209</v>
      </c>
      <c r="DP64">
        <v>293</v>
      </c>
      <c r="DQ64">
        <v>316</v>
      </c>
    </row>
    <row r="65" spans="2:121" x14ac:dyDescent="0.35">
      <c r="B65">
        <v>295</v>
      </c>
      <c r="C65">
        <v>293</v>
      </c>
      <c r="D65">
        <v>294</v>
      </c>
      <c r="E65">
        <v>300</v>
      </c>
      <c r="F65">
        <v>317</v>
      </c>
      <c r="G65">
        <v>354</v>
      </c>
      <c r="H65">
        <v>375</v>
      </c>
      <c r="I65">
        <v>349</v>
      </c>
      <c r="J65">
        <v>319</v>
      </c>
      <c r="K65">
        <v>300</v>
      </c>
      <c r="L65">
        <v>307</v>
      </c>
      <c r="M65">
        <v>316</v>
      </c>
      <c r="N65">
        <v>336</v>
      </c>
      <c r="O65">
        <v>304</v>
      </c>
      <c r="P65">
        <v>343</v>
      </c>
      <c r="Q65">
        <v>369</v>
      </c>
      <c r="R65">
        <v>423</v>
      </c>
      <c r="S65">
        <v>377</v>
      </c>
      <c r="T65">
        <v>443</v>
      </c>
      <c r="U65">
        <v>499</v>
      </c>
      <c r="V65">
        <v>422</v>
      </c>
      <c r="W65">
        <v>377</v>
      </c>
      <c r="X65">
        <v>421</v>
      </c>
      <c r="Y65">
        <v>382</v>
      </c>
      <c r="Z65">
        <v>324</v>
      </c>
      <c r="AA65">
        <v>359</v>
      </c>
      <c r="AB65">
        <v>349</v>
      </c>
      <c r="AC65">
        <v>320</v>
      </c>
      <c r="AD65">
        <v>293</v>
      </c>
      <c r="AE65">
        <v>284</v>
      </c>
      <c r="AF65">
        <v>280</v>
      </c>
      <c r="AG65">
        <v>231</v>
      </c>
      <c r="AH65">
        <v>309</v>
      </c>
      <c r="AI65">
        <v>383</v>
      </c>
      <c r="AJ65">
        <v>378</v>
      </c>
      <c r="AK65">
        <v>328</v>
      </c>
      <c r="AL65">
        <v>357</v>
      </c>
      <c r="AM65">
        <v>344</v>
      </c>
      <c r="AN65">
        <v>342</v>
      </c>
      <c r="AO65">
        <v>355</v>
      </c>
      <c r="AP65">
        <v>406</v>
      </c>
      <c r="AQ65">
        <v>398</v>
      </c>
      <c r="AR65">
        <v>397</v>
      </c>
      <c r="AS65">
        <v>394</v>
      </c>
      <c r="AT65">
        <v>385</v>
      </c>
      <c r="AU65">
        <v>405</v>
      </c>
      <c r="AV65">
        <v>409</v>
      </c>
      <c r="AW65">
        <v>404</v>
      </c>
      <c r="AX65">
        <v>422</v>
      </c>
      <c r="AY65">
        <v>400</v>
      </c>
      <c r="AZ65">
        <v>423</v>
      </c>
      <c r="BA65">
        <v>408</v>
      </c>
      <c r="BB65">
        <v>416</v>
      </c>
      <c r="BC65">
        <v>435</v>
      </c>
      <c r="BD65">
        <v>443</v>
      </c>
      <c r="BE65">
        <v>443</v>
      </c>
      <c r="BF65">
        <v>419</v>
      </c>
      <c r="BG65">
        <v>390</v>
      </c>
      <c r="BH65">
        <v>399</v>
      </c>
      <c r="BI65">
        <v>384</v>
      </c>
      <c r="BJ65">
        <v>380</v>
      </c>
      <c r="BK65">
        <v>368</v>
      </c>
      <c r="BL65">
        <v>346</v>
      </c>
      <c r="BM65">
        <v>324</v>
      </c>
      <c r="BN65">
        <v>346</v>
      </c>
      <c r="BO65">
        <v>335</v>
      </c>
      <c r="BP65">
        <v>316</v>
      </c>
      <c r="BQ65">
        <v>312</v>
      </c>
      <c r="BR65">
        <v>335</v>
      </c>
      <c r="BS65">
        <v>313</v>
      </c>
      <c r="BT65">
        <v>309</v>
      </c>
      <c r="BU65">
        <v>296</v>
      </c>
      <c r="BV65">
        <v>301</v>
      </c>
      <c r="BW65">
        <v>283</v>
      </c>
      <c r="BX65">
        <v>241</v>
      </c>
      <c r="BY65">
        <v>230</v>
      </c>
      <c r="BZ65">
        <v>219</v>
      </c>
      <c r="CA65">
        <v>219</v>
      </c>
      <c r="CB65">
        <v>211</v>
      </c>
      <c r="CC65">
        <v>242</v>
      </c>
      <c r="CD65">
        <v>221</v>
      </c>
      <c r="CE65">
        <v>228</v>
      </c>
      <c r="CF65">
        <v>284</v>
      </c>
      <c r="CG65">
        <v>240</v>
      </c>
      <c r="CH65">
        <v>188</v>
      </c>
      <c r="CI65">
        <v>160</v>
      </c>
      <c r="CJ65">
        <v>155</v>
      </c>
      <c r="CK65">
        <v>172</v>
      </c>
      <c r="CL65">
        <v>226</v>
      </c>
      <c r="CM65">
        <v>185</v>
      </c>
      <c r="CN65">
        <v>180</v>
      </c>
      <c r="CO65">
        <v>150</v>
      </c>
      <c r="CP65">
        <v>155</v>
      </c>
      <c r="CQ65">
        <v>157</v>
      </c>
      <c r="CR65">
        <v>135</v>
      </c>
      <c r="CS65">
        <v>138</v>
      </c>
      <c r="CT65">
        <v>147</v>
      </c>
      <c r="CU65">
        <v>175</v>
      </c>
      <c r="CV65">
        <v>187</v>
      </c>
      <c r="CW65">
        <v>169</v>
      </c>
      <c r="CX65">
        <v>218</v>
      </c>
      <c r="CY65">
        <v>342</v>
      </c>
      <c r="CZ65">
        <v>452</v>
      </c>
      <c r="DA65">
        <v>539</v>
      </c>
      <c r="DB65">
        <v>633</v>
      </c>
      <c r="DC65">
        <v>638</v>
      </c>
      <c r="DD65">
        <v>629</v>
      </c>
      <c r="DE65">
        <v>702</v>
      </c>
      <c r="DF65">
        <v>828</v>
      </c>
      <c r="DG65">
        <v>887</v>
      </c>
      <c r="DH65">
        <v>827</v>
      </c>
      <c r="DI65">
        <v>632</v>
      </c>
      <c r="DJ65">
        <v>510</v>
      </c>
      <c r="DK65">
        <v>366</v>
      </c>
      <c r="DL65">
        <v>338</v>
      </c>
      <c r="DM65">
        <v>407</v>
      </c>
      <c r="DN65">
        <v>367</v>
      </c>
      <c r="DO65">
        <v>234</v>
      </c>
      <c r="DP65">
        <v>177</v>
      </c>
      <c r="DQ65">
        <v>189</v>
      </c>
    </row>
    <row r="66" spans="2:121" x14ac:dyDescent="0.35">
      <c r="B66">
        <v>11</v>
      </c>
      <c r="C66">
        <v>9</v>
      </c>
      <c r="D66">
        <v>11</v>
      </c>
      <c r="E66">
        <v>9</v>
      </c>
      <c r="F66">
        <v>7</v>
      </c>
      <c r="G66">
        <v>5</v>
      </c>
      <c r="H66">
        <v>4</v>
      </c>
      <c r="I66">
        <v>7</v>
      </c>
      <c r="J66">
        <v>3</v>
      </c>
      <c r="K66">
        <v>3</v>
      </c>
      <c r="L66">
        <v>2</v>
      </c>
      <c r="M66">
        <v>2</v>
      </c>
      <c r="N66">
        <v>2</v>
      </c>
      <c r="O66">
        <v>4</v>
      </c>
      <c r="P66">
        <v>5</v>
      </c>
      <c r="Q66">
        <v>10</v>
      </c>
      <c r="R66">
        <v>21</v>
      </c>
      <c r="S66">
        <v>33</v>
      </c>
      <c r="T66">
        <v>37</v>
      </c>
      <c r="U66">
        <v>38</v>
      </c>
      <c r="V66">
        <v>40</v>
      </c>
      <c r="W66">
        <v>42</v>
      </c>
      <c r="X66">
        <v>42</v>
      </c>
      <c r="Y66">
        <v>42</v>
      </c>
      <c r="Z66">
        <v>42</v>
      </c>
      <c r="AA66">
        <v>42</v>
      </c>
      <c r="AB66">
        <v>41</v>
      </c>
      <c r="AC66">
        <v>39</v>
      </c>
      <c r="AD66">
        <v>39</v>
      </c>
      <c r="AE66">
        <v>32</v>
      </c>
      <c r="AF66">
        <v>22</v>
      </c>
      <c r="AG66">
        <v>17</v>
      </c>
      <c r="AH66">
        <v>14</v>
      </c>
      <c r="AI66">
        <v>8</v>
      </c>
      <c r="AJ66">
        <v>7</v>
      </c>
      <c r="AK66">
        <v>6</v>
      </c>
      <c r="AL66">
        <v>1</v>
      </c>
      <c r="AM66">
        <v>0</v>
      </c>
      <c r="AN66">
        <v>2</v>
      </c>
      <c r="AO66">
        <v>2</v>
      </c>
      <c r="AP66">
        <v>5</v>
      </c>
      <c r="AQ66">
        <v>14</v>
      </c>
      <c r="AR66">
        <v>25</v>
      </c>
      <c r="AS66">
        <v>29</v>
      </c>
      <c r="AT66">
        <v>35</v>
      </c>
      <c r="AU66">
        <v>32</v>
      </c>
      <c r="AV66">
        <v>33</v>
      </c>
      <c r="AW66">
        <v>32</v>
      </c>
      <c r="AX66">
        <v>35</v>
      </c>
      <c r="AY66">
        <v>33</v>
      </c>
      <c r="AZ66">
        <v>36</v>
      </c>
      <c r="BA66">
        <v>47</v>
      </c>
      <c r="BB66">
        <v>31</v>
      </c>
      <c r="BC66">
        <v>15</v>
      </c>
      <c r="BD66">
        <v>8</v>
      </c>
      <c r="BE66">
        <v>4</v>
      </c>
      <c r="BF66">
        <v>1</v>
      </c>
      <c r="BG66">
        <v>3</v>
      </c>
      <c r="BH66">
        <v>3</v>
      </c>
      <c r="BI66">
        <v>3</v>
      </c>
      <c r="BJ66">
        <v>2</v>
      </c>
      <c r="BK66">
        <v>2</v>
      </c>
      <c r="BL66">
        <v>1</v>
      </c>
      <c r="BM66">
        <v>1</v>
      </c>
      <c r="BN66">
        <v>2</v>
      </c>
      <c r="BO66">
        <v>1</v>
      </c>
      <c r="BP66">
        <v>2</v>
      </c>
      <c r="BQ66">
        <v>2</v>
      </c>
      <c r="BR66">
        <v>1</v>
      </c>
      <c r="BS66">
        <v>2</v>
      </c>
      <c r="BT66">
        <v>5</v>
      </c>
      <c r="BU66">
        <v>9</v>
      </c>
      <c r="BV66">
        <v>20</v>
      </c>
      <c r="BW66">
        <v>25</v>
      </c>
      <c r="BX66">
        <v>38</v>
      </c>
      <c r="BY66">
        <v>66</v>
      </c>
      <c r="BZ66">
        <v>69</v>
      </c>
      <c r="CA66">
        <v>118</v>
      </c>
      <c r="CB66">
        <v>203</v>
      </c>
      <c r="CC66">
        <v>138</v>
      </c>
      <c r="CD66">
        <v>92</v>
      </c>
      <c r="CE66">
        <v>126</v>
      </c>
      <c r="CF66">
        <v>108</v>
      </c>
      <c r="CG66">
        <v>88</v>
      </c>
      <c r="CH66">
        <v>77</v>
      </c>
      <c r="CI66">
        <v>90</v>
      </c>
      <c r="CJ66">
        <v>84</v>
      </c>
      <c r="CK66">
        <v>82</v>
      </c>
      <c r="CL66">
        <v>81</v>
      </c>
      <c r="CM66">
        <v>73</v>
      </c>
      <c r="CN66">
        <v>85</v>
      </c>
      <c r="CO66">
        <v>76</v>
      </c>
      <c r="CP66">
        <v>68</v>
      </c>
      <c r="CQ66">
        <v>70</v>
      </c>
      <c r="CR66">
        <v>91</v>
      </c>
      <c r="CS66">
        <v>110</v>
      </c>
      <c r="CT66">
        <v>103</v>
      </c>
      <c r="CU66">
        <v>93</v>
      </c>
      <c r="CV66">
        <v>74</v>
      </c>
      <c r="CW66">
        <v>60</v>
      </c>
      <c r="CX66">
        <v>49</v>
      </c>
      <c r="CY66">
        <v>40</v>
      </c>
      <c r="CZ66">
        <v>31</v>
      </c>
      <c r="DA66">
        <v>23</v>
      </c>
      <c r="DB66">
        <v>15</v>
      </c>
      <c r="DC66">
        <v>5</v>
      </c>
      <c r="DD66">
        <v>4</v>
      </c>
      <c r="DE66">
        <v>4</v>
      </c>
      <c r="DF66">
        <v>3</v>
      </c>
      <c r="DG66">
        <v>2</v>
      </c>
      <c r="DH66">
        <v>2</v>
      </c>
      <c r="DI66">
        <v>2</v>
      </c>
      <c r="DJ66">
        <v>2</v>
      </c>
      <c r="DK66">
        <v>2</v>
      </c>
      <c r="DL66">
        <v>2</v>
      </c>
      <c r="DM66">
        <v>2</v>
      </c>
      <c r="DN66">
        <v>2</v>
      </c>
      <c r="DO66">
        <v>2</v>
      </c>
      <c r="DP66">
        <v>2</v>
      </c>
      <c r="DQ66">
        <v>5</v>
      </c>
    </row>
    <row r="67" spans="2:121" x14ac:dyDescent="0.35">
      <c r="B67">
        <v>2268</v>
      </c>
      <c r="C67">
        <v>2244</v>
      </c>
      <c r="D67">
        <v>2463</v>
      </c>
      <c r="E67">
        <v>2616</v>
      </c>
      <c r="F67">
        <v>2800</v>
      </c>
      <c r="G67">
        <v>3003</v>
      </c>
      <c r="H67">
        <v>3032</v>
      </c>
      <c r="I67">
        <v>3216</v>
      </c>
      <c r="J67">
        <v>3442</v>
      </c>
      <c r="K67">
        <v>3576</v>
      </c>
      <c r="L67">
        <v>3730</v>
      </c>
      <c r="M67">
        <v>3928</v>
      </c>
      <c r="N67">
        <v>4054</v>
      </c>
      <c r="O67">
        <v>3968</v>
      </c>
      <c r="P67">
        <v>3906</v>
      </c>
      <c r="Q67">
        <v>3746</v>
      </c>
      <c r="R67">
        <v>3363</v>
      </c>
      <c r="S67">
        <v>3572</v>
      </c>
      <c r="T67">
        <v>3392</v>
      </c>
      <c r="U67">
        <v>3032</v>
      </c>
      <c r="V67">
        <v>2607</v>
      </c>
      <c r="W67">
        <v>2422</v>
      </c>
      <c r="X67">
        <v>2649</v>
      </c>
      <c r="Y67">
        <v>3253</v>
      </c>
      <c r="Z67">
        <v>3633</v>
      </c>
      <c r="AA67">
        <v>3750</v>
      </c>
      <c r="AB67">
        <v>3744</v>
      </c>
      <c r="AC67">
        <v>4029</v>
      </c>
      <c r="AD67">
        <v>3985</v>
      </c>
      <c r="AE67">
        <v>4269</v>
      </c>
      <c r="AF67">
        <v>4173</v>
      </c>
      <c r="AG67">
        <v>3940</v>
      </c>
      <c r="AH67">
        <v>4043</v>
      </c>
      <c r="AI67">
        <v>3990</v>
      </c>
      <c r="AJ67">
        <v>3824</v>
      </c>
      <c r="AK67">
        <v>3803</v>
      </c>
      <c r="AL67">
        <v>3687</v>
      </c>
      <c r="AM67">
        <v>3083</v>
      </c>
      <c r="AN67">
        <v>3375</v>
      </c>
      <c r="AO67">
        <v>3310</v>
      </c>
      <c r="AP67">
        <v>2893</v>
      </c>
      <c r="AQ67">
        <v>2581</v>
      </c>
      <c r="AR67">
        <v>2752</v>
      </c>
      <c r="AS67">
        <v>2550</v>
      </c>
      <c r="AT67">
        <v>2919</v>
      </c>
      <c r="AU67">
        <v>3472</v>
      </c>
      <c r="AV67">
        <v>3844</v>
      </c>
      <c r="AW67">
        <v>4207</v>
      </c>
      <c r="AX67">
        <v>4456</v>
      </c>
      <c r="AY67">
        <v>4489</v>
      </c>
      <c r="AZ67">
        <v>4439</v>
      </c>
      <c r="BA67">
        <v>4308</v>
      </c>
      <c r="BB67">
        <v>4303</v>
      </c>
      <c r="BC67">
        <v>4104</v>
      </c>
      <c r="BD67">
        <v>4029</v>
      </c>
      <c r="BE67">
        <v>3874</v>
      </c>
      <c r="BF67">
        <v>3633</v>
      </c>
      <c r="BG67">
        <v>3021</v>
      </c>
      <c r="BH67">
        <v>2668</v>
      </c>
      <c r="BI67">
        <v>2814</v>
      </c>
      <c r="BJ67">
        <v>3160</v>
      </c>
      <c r="BK67">
        <v>3519</v>
      </c>
      <c r="BL67">
        <v>3755</v>
      </c>
      <c r="BM67">
        <v>3251</v>
      </c>
      <c r="BN67">
        <v>2873</v>
      </c>
      <c r="BO67">
        <v>3122</v>
      </c>
      <c r="BP67">
        <v>3629</v>
      </c>
      <c r="BQ67">
        <v>3860</v>
      </c>
      <c r="BR67">
        <v>3913</v>
      </c>
      <c r="BS67">
        <v>3777</v>
      </c>
      <c r="BT67">
        <v>3834</v>
      </c>
      <c r="BU67">
        <v>3512</v>
      </c>
      <c r="BV67">
        <v>3102</v>
      </c>
      <c r="BW67">
        <v>3102</v>
      </c>
      <c r="BX67">
        <v>2918</v>
      </c>
      <c r="BY67">
        <v>2632</v>
      </c>
      <c r="BZ67">
        <v>2884</v>
      </c>
      <c r="CA67">
        <v>3470</v>
      </c>
      <c r="CB67">
        <v>2795</v>
      </c>
      <c r="CC67">
        <v>2416</v>
      </c>
      <c r="CD67">
        <v>2761</v>
      </c>
      <c r="CE67">
        <v>3027</v>
      </c>
      <c r="CF67">
        <v>2173</v>
      </c>
      <c r="CG67">
        <v>1991</v>
      </c>
      <c r="CH67">
        <v>2082</v>
      </c>
      <c r="CI67">
        <v>2253</v>
      </c>
      <c r="CJ67">
        <v>1800</v>
      </c>
      <c r="CK67">
        <v>1888</v>
      </c>
      <c r="CL67">
        <v>1694</v>
      </c>
      <c r="CM67">
        <v>1635</v>
      </c>
      <c r="CN67">
        <v>1464</v>
      </c>
      <c r="CO67">
        <v>1320</v>
      </c>
      <c r="CP67">
        <v>1238</v>
      </c>
      <c r="CQ67">
        <v>1181</v>
      </c>
      <c r="CR67">
        <v>1157</v>
      </c>
      <c r="CS67">
        <v>1059</v>
      </c>
      <c r="CT67">
        <v>993</v>
      </c>
      <c r="CU67">
        <v>954</v>
      </c>
      <c r="CV67">
        <v>900</v>
      </c>
      <c r="CW67">
        <v>882</v>
      </c>
      <c r="CX67">
        <v>831</v>
      </c>
      <c r="CY67">
        <v>790</v>
      </c>
      <c r="CZ67">
        <v>764</v>
      </c>
      <c r="DA67">
        <v>786</v>
      </c>
      <c r="DB67">
        <v>814</v>
      </c>
      <c r="DC67">
        <v>827</v>
      </c>
      <c r="DD67">
        <v>695</v>
      </c>
      <c r="DE67">
        <v>669</v>
      </c>
      <c r="DF67">
        <v>777</v>
      </c>
      <c r="DG67">
        <v>861</v>
      </c>
      <c r="DH67">
        <v>875</v>
      </c>
      <c r="DI67">
        <v>882</v>
      </c>
      <c r="DJ67">
        <v>701</v>
      </c>
      <c r="DK67">
        <v>581</v>
      </c>
      <c r="DL67">
        <v>439</v>
      </c>
      <c r="DM67">
        <v>418</v>
      </c>
      <c r="DN67">
        <v>376</v>
      </c>
      <c r="DO67">
        <v>346</v>
      </c>
      <c r="DP67">
        <v>337</v>
      </c>
      <c r="DQ67">
        <v>336</v>
      </c>
    </row>
    <row r="68" spans="2:121" x14ac:dyDescent="0.35">
      <c r="B68">
        <v>706</v>
      </c>
      <c r="C68">
        <v>604</v>
      </c>
      <c r="D68">
        <v>656</v>
      </c>
      <c r="E68">
        <v>498</v>
      </c>
      <c r="F68">
        <v>269</v>
      </c>
      <c r="G68">
        <v>240</v>
      </c>
      <c r="H68">
        <v>105</v>
      </c>
      <c r="I68">
        <v>108</v>
      </c>
      <c r="J68">
        <v>112</v>
      </c>
      <c r="K68">
        <v>137</v>
      </c>
      <c r="L68">
        <v>113</v>
      </c>
      <c r="M68">
        <v>102</v>
      </c>
      <c r="N68">
        <v>82</v>
      </c>
      <c r="O68">
        <v>60</v>
      </c>
      <c r="P68">
        <v>54</v>
      </c>
      <c r="Q68">
        <v>101</v>
      </c>
      <c r="R68">
        <v>98</v>
      </c>
      <c r="S68">
        <v>82</v>
      </c>
      <c r="T68">
        <v>58</v>
      </c>
      <c r="U68">
        <v>72</v>
      </c>
      <c r="V68">
        <v>115</v>
      </c>
      <c r="W68">
        <v>90</v>
      </c>
      <c r="X68">
        <v>61</v>
      </c>
      <c r="Y68">
        <v>51</v>
      </c>
      <c r="Z68">
        <v>45</v>
      </c>
      <c r="AA68">
        <v>34</v>
      </c>
      <c r="AB68">
        <v>36</v>
      </c>
      <c r="AC68">
        <v>30</v>
      </c>
      <c r="AD68">
        <v>30</v>
      </c>
      <c r="AE68">
        <v>28</v>
      </c>
      <c r="AF68">
        <v>28</v>
      </c>
      <c r="AG68">
        <v>29</v>
      </c>
      <c r="AH68">
        <v>31</v>
      </c>
      <c r="AI68">
        <v>30</v>
      </c>
      <c r="AJ68">
        <v>30</v>
      </c>
      <c r="AK68">
        <v>35</v>
      </c>
      <c r="AL68">
        <v>34</v>
      </c>
      <c r="AM68">
        <v>33</v>
      </c>
      <c r="AN68">
        <v>41</v>
      </c>
      <c r="AO68">
        <v>42</v>
      </c>
      <c r="AP68">
        <v>41</v>
      </c>
      <c r="AQ68">
        <v>37</v>
      </c>
      <c r="AR68">
        <v>39</v>
      </c>
      <c r="AS68">
        <v>35</v>
      </c>
      <c r="AT68">
        <v>35</v>
      </c>
      <c r="AU68">
        <v>28</v>
      </c>
      <c r="AV68">
        <v>30</v>
      </c>
      <c r="AW68">
        <v>31</v>
      </c>
      <c r="AX68">
        <v>40</v>
      </c>
      <c r="AY68">
        <v>38</v>
      </c>
      <c r="AZ68">
        <v>48</v>
      </c>
      <c r="BA68">
        <v>53</v>
      </c>
      <c r="BB68">
        <v>44</v>
      </c>
      <c r="BC68">
        <v>41</v>
      </c>
      <c r="BD68">
        <v>38</v>
      </c>
      <c r="BE68">
        <v>34</v>
      </c>
      <c r="BF68">
        <v>30</v>
      </c>
      <c r="BG68">
        <v>23</v>
      </c>
      <c r="BH68">
        <v>19</v>
      </c>
      <c r="BI68">
        <v>21</v>
      </c>
      <c r="BJ68">
        <v>22</v>
      </c>
      <c r="BK68">
        <v>29</v>
      </c>
      <c r="BL68">
        <v>34</v>
      </c>
      <c r="BM68">
        <v>38</v>
      </c>
      <c r="BN68">
        <v>42</v>
      </c>
      <c r="BO68">
        <v>43</v>
      </c>
      <c r="BP68">
        <v>41</v>
      </c>
      <c r="BQ68">
        <v>41</v>
      </c>
      <c r="BR68">
        <v>44</v>
      </c>
      <c r="BS68">
        <v>45</v>
      </c>
      <c r="BT68">
        <v>42</v>
      </c>
      <c r="BU68">
        <v>39</v>
      </c>
      <c r="BV68">
        <v>34</v>
      </c>
      <c r="BW68">
        <v>27</v>
      </c>
      <c r="BX68">
        <v>23</v>
      </c>
      <c r="BY68">
        <v>26</v>
      </c>
      <c r="BZ68">
        <v>29</v>
      </c>
      <c r="CA68">
        <v>28</v>
      </c>
      <c r="CB68">
        <v>29</v>
      </c>
      <c r="CC68">
        <v>30</v>
      </c>
      <c r="CD68">
        <v>31</v>
      </c>
      <c r="CE68">
        <v>24</v>
      </c>
      <c r="CF68">
        <v>0</v>
      </c>
      <c r="CG68">
        <v>0</v>
      </c>
      <c r="CH68">
        <v>0</v>
      </c>
      <c r="CI68">
        <v>0</v>
      </c>
      <c r="CJ68">
        <v>8</v>
      </c>
      <c r="CK68">
        <v>1</v>
      </c>
      <c r="CL68">
        <v>0</v>
      </c>
      <c r="CM68">
        <v>0</v>
      </c>
      <c r="CN68">
        <v>1</v>
      </c>
      <c r="CO68">
        <v>4</v>
      </c>
      <c r="CP68">
        <v>7</v>
      </c>
      <c r="CQ68">
        <v>9</v>
      </c>
      <c r="CR68">
        <v>9</v>
      </c>
      <c r="CS68">
        <v>11</v>
      </c>
      <c r="CT68">
        <v>11</v>
      </c>
      <c r="CU68">
        <v>13</v>
      </c>
      <c r="CV68">
        <v>14</v>
      </c>
      <c r="CW68">
        <v>16</v>
      </c>
      <c r="CX68">
        <v>16</v>
      </c>
      <c r="CY68">
        <v>18</v>
      </c>
      <c r="CZ68">
        <v>18</v>
      </c>
      <c r="DA68">
        <v>16</v>
      </c>
      <c r="DB68">
        <v>17</v>
      </c>
      <c r="DC68">
        <v>17</v>
      </c>
      <c r="DD68">
        <v>17</v>
      </c>
      <c r="DE68">
        <v>19</v>
      </c>
      <c r="DF68">
        <v>19</v>
      </c>
      <c r="DG68">
        <v>20</v>
      </c>
      <c r="DH68">
        <v>20</v>
      </c>
      <c r="DI68">
        <v>20</v>
      </c>
      <c r="DJ68">
        <v>20</v>
      </c>
      <c r="DK68">
        <v>22</v>
      </c>
      <c r="DL68">
        <v>22</v>
      </c>
      <c r="DM68">
        <v>20</v>
      </c>
      <c r="DN68">
        <v>24</v>
      </c>
      <c r="DO68">
        <v>26</v>
      </c>
      <c r="DP68">
        <v>28</v>
      </c>
      <c r="DQ68">
        <v>28</v>
      </c>
    </row>
    <row r="69" spans="2:121" x14ac:dyDescent="0.35">
      <c r="B69">
        <v>618</v>
      </c>
      <c r="C69">
        <v>755</v>
      </c>
      <c r="D69">
        <v>880</v>
      </c>
      <c r="E69">
        <v>858</v>
      </c>
      <c r="F69">
        <v>754</v>
      </c>
      <c r="G69">
        <v>773</v>
      </c>
      <c r="H69">
        <v>866</v>
      </c>
      <c r="I69">
        <v>993</v>
      </c>
      <c r="J69">
        <v>1004</v>
      </c>
      <c r="K69">
        <v>933</v>
      </c>
      <c r="L69">
        <v>795</v>
      </c>
      <c r="M69">
        <v>801</v>
      </c>
      <c r="N69">
        <v>750</v>
      </c>
      <c r="O69">
        <v>622</v>
      </c>
      <c r="P69">
        <v>643</v>
      </c>
      <c r="Q69">
        <v>552</v>
      </c>
      <c r="R69">
        <v>551</v>
      </c>
      <c r="S69">
        <v>548</v>
      </c>
      <c r="T69">
        <v>455</v>
      </c>
      <c r="U69">
        <v>424</v>
      </c>
      <c r="V69">
        <v>445</v>
      </c>
      <c r="W69">
        <v>457</v>
      </c>
      <c r="X69">
        <v>435</v>
      </c>
      <c r="Y69">
        <v>449</v>
      </c>
      <c r="Z69">
        <v>503</v>
      </c>
      <c r="AA69">
        <v>450</v>
      </c>
      <c r="AB69">
        <v>409</v>
      </c>
      <c r="AC69">
        <v>448</v>
      </c>
      <c r="AD69">
        <v>562</v>
      </c>
      <c r="AE69">
        <v>576</v>
      </c>
      <c r="AF69">
        <v>533</v>
      </c>
      <c r="AG69">
        <v>480</v>
      </c>
      <c r="AH69">
        <v>305</v>
      </c>
      <c r="AI69">
        <v>327</v>
      </c>
      <c r="AJ69">
        <v>311</v>
      </c>
      <c r="AK69">
        <v>320</v>
      </c>
      <c r="AL69">
        <v>357</v>
      </c>
      <c r="AM69">
        <v>352</v>
      </c>
      <c r="AN69">
        <v>354</v>
      </c>
      <c r="AO69">
        <v>412</v>
      </c>
      <c r="AP69">
        <v>405</v>
      </c>
      <c r="AQ69">
        <v>415</v>
      </c>
      <c r="AR69">
        <v>423</v>
      </c>
      <c r="AS69">
        <v>414</v>
      </c>
      <c r="AT69">
        <v>445</v>
      </c>
      <c r="AU69">
        <v>429</v>
      </c>
      <c r="AV69">
        <v>431</v>
      </c>
      <c r="AW69">
        <v>450</v>
      </c>
      <c r="AX69">
        <v>480</v>
      </c>
      <c r="AY69">
        <v>518</v>
      </c>
      <c r="AZ69">
        <v>533</v>
      </c>
      <c r="BA69">
        <v>502</v>
      </c>
      <c r="BB69">
        <v>461</v>
      </c>
      <c r="BC69">
        <v>480</v>
      </c>
      <c r="BD69">
        <v>493</v>
      </c>
      <c r="BE69">
        <v>517</v>
      </c>
      <c r="BF69">
        <v>499</v>
      </c>
      <c r="BG69">
        <v>484</v>
      </c>
      <c r="BH69">
        <v>453</v>
      </c>
      <c r="BI69">
        <v>402</v>
      </c>
      <c r="BJ69">
        <v>387</v>
      </c>
      <c r="BK69">
        <v>376</v>
      </c>
      <c r="BL69">
        <v>363</v>
      </c>
      <c r="BM69">
        <v>355</v>
      </c>
      <c r="BN69">
        <v>346</v>
      </c>
      <c r="BO69">
        <v>345</v>
      </c>
      <c r="BP69">
        <v>340</v>
      </c>
      <c r="BQ69">
        <v>321</v>
      </c>
      <c r="BR69">
        <v>316</v>
      </c>
      <c r="BS69">
        <v>304</v>
      </c>
      <c r="BT69">
        <v>298</v>
      </c>
      <c r="BU69">
        <v>286</v>
      </c>
      <c r="BV69">
        <v>276</v>
      </c>
      <c r="BW69">
        <v>268</v>
      </c>
      <c r="BX69">
        <v>263</v>
      </c>
      <c r="BY69">
        <v>272</v>
      </c>
      <c r="BZ69">
        <v>291</v>
      </c>
      <c r="CA69">
        <v>312</v>
      </c>
      <c r="CB69">
        <v>333</v>
      </c>
      <c r="CC69">
        <v>308</v>
      </c>
      <c r="CD69">
        <v>281</v>
      </c>
      <c r="CE69">
        <v>309</v>
      </c>
      <c r="CF69">
        <v>306</v>
      </c>
      <c r="CG69">
        <v>292</v>
      </c>
      <c r="CH69">
        <v>302</v>
      </c>
      <c r="CI69">
        <v>311</v>
      </c>
      <c r="CJ69">
        <v>326</v>
      </c>
      <c r="CK69">
        <v>331</v>
      </c>
      <c r="CL69">
        <v>328</v>
      </c>
      <c r="CM69">
        <v>332</v>
      </c>
      <c r="CN69">
        <v>336</v>
      </c>
      <c r="CO69">
        <v>359</v>
      </c>
      <c r="CP69">
        <v>382</v>
      </c>
      <c r="CQ69">
        <v>376</v>
      </c>
      <c r="CR69">
        <v>404</v>
      </c>
      <c r="CS69">
        <v>448</v>
      </c>
      <c r="CT69">
        <v>486</v>
      </c>
      <c r="CU69">
        <v>497</v>
      </c>
      <c r="CV69">
        <v>515</v>
      </c>
      <c r="CW69">
        <v>518</v>
      </c>
      <c r="CX69">
        <v>446</v>
      </c>
      <c r="CY69">
        <v>396</v>
      </c>
      <c r="CZ69">
        <v>453</v>
      </c>
      <c r="DA69">
        <v>448</v>
      </c>
      <c r="DB69">
        <v>405</v>
      </c>
      <c r="DC69">
        <v>449</v>
      </c>
      <c r="DD69">
        <v>461</v>
      </c>
      <c r="DE69">
        <v>592</v>
      </c>
      <c r="DF69">
        <v>564</v>
      </c>
      <c r="DG69">
        <v>479</v>
      </c>
      <c r="DH69">
        <v>547</v>
      </c>
      <c r="DI69">
        <v>630</v>
      </c>
      <c r="DJ69">
        <v>615</v>
      </c>
      <c r="DK69">
        <v>692</v>
      </c>
      <c r="DL69">
        <v>628</v>
      </c>
      <c r="DM69">
        <v>511</v>
      </c>
      <c r="DN69">
        <v>516</v>
      </c>
      <c r="DO69">
        <v>612</v>
      </c>
      <c r="DP69">
        <v>644</v>
      </c>
      <c r="DQ69">
        <v>514</v>
      </c>
    </row>
    <row r="70" spans="2:121" x14ac:dyDescent="0.35">
      <c r="B70">
        <v>78</v>
      </c>
      <c r="C70">
        <v>83</v>
      </c>
      <c r="D70">
        <v>115</v>
      </c>
      <c r="E70">
        <v>183</v>
      </c>
      <c r="F70">
        <v>221</v>
      </c>
      <c r="G70">
        <v>288</v>
      </c>
      <c r="H70">
        <v>355</v>
      </c>
      <c r="I70">
        <v>391</v>
      </c>
      <c r="J70">
        <v>399</v>
      </c>
      <c r="K70">
        <v>434</v>
      </c>
      <c r="L70">
        <v>426</v>
      </c>
      <c r="M70">
        <v>413</v>
      </c>
      <c r="N70">
        <v>369</v>
      </c>
      <c r="O70">
        <v>397</v>
      </c>
      <c r="P70">
        <v>380</v>
      </c>
      <c r="Q70">
        <v>339</v>
      </c>
      <c r="R70">
        <v>243</v>
      </c>
      <c r="S70">
        <v>192</v>
      </c>
      <c r="T70">
        <v>158</v>
      </c>
      <c r="U70">
        <v>116</v>
      </c>
      <c r="V70">
        <v>79</v>
      </c>
      <c r="W70">
        <v>82</v>
      </c>
      <c r="X70">
        <v>106</v>
      </c>
      <c r="Y70">
        <v>166</v>
      </c>
      <c r="Z70">
        <v>217</v>
      </c>
      <c r="AA70">
        <v>204</v>
      </c>
      <c r="AB70">
        <v>211</v>
      </c>
      <c r="AC70">
        <v>179</v>
      </c>
      <c r="AD70">
        <v>144</v>
      </c>
      <c r="AE70">
        <v>79</v>
      </c>
      <c r="AF70">
        <v>51</v>
      </c>
      <c r="AG70">
        <v>43</v>
      </c>
      <c r="AH70">
        <v>56</v>
      </c>
      <c r="AI70">
        <v>75</v>
      </c>
      <c r="AJ70">
        <v>58</v>
      </c>
      <c r="AK70">
        <v>23</v>
      </c>
      <c r="AL70">
        <v>14</v>
      </c>
      <c r="AM70">
        <v>10</v>
      </c>
      <c r="AN70">
        <v>12</v>
      </c>
      <c r="AO70">
        <v>6</v>
      </c>
      <c r="AP70">
        <v>18</v>
      </c>
      <c r="AQ70">
        <v>92</v>
      </c>
      <c r="AR70">
        <v>119</v>
      </c>
      <c r="AS70">
        <v>153</v>
      </c>
      <c r="AT70">
        <v>153</v>
      </c>
      <c r="AU70">
        <v>148</v>
      </c>
      <c r="AV70">
        <v>154</v>
      </c>
      <c r="AW70">
        <v>165</v>
      </c>
      <c r="AX70">
        <v>187</v>
      </c>
      <c r="AY70">
        <v>182</v>
      </c>
      <c r="AZ70">
        <v>163</v>
      </c>
      <c r="BA70">
        <v>150</v>
      </c>
      <c r="BB70">
        <v>129</v>
      </c>
      <c r="BC70">
        <v>104</v>
      </c>
      <c r="BD70">
        <v>87</v>
      </c>
      <c r="BE70">
        <v>60</v>
      </c>
      <c r="BF70">
        <v>0</v>
      </c>
      <c r="BG70">
        <v>6</v>
      </c>
      <c r="BH70">
        <v>12</v>
      </c>
      <c r="BI70">
        <v>20</v>
      </c>
      <c r="BJ70">
        <v>33</v>
      </c>
      <c r="BK70">
        <v>35</v>
      </c>
      <c r="BL70">
        <v>18</v>
      </c>
      <c r="BM70">
        <v>12</v>
      </c>
      <c r="BN70">
        <v>6</v>
      </c>
      <c r="BO70">
        <v>2</v>
      </c>
      <c r="BP70">
        <v>6</v>
      </c>
      <c r="BQ70">
        <v>12</v>
      </c>
      <c r="BR70">
        <v>1</v>
      </c>
      <c r="BS70">
        <v>2</v>
      </c>
      <c r="BT70">
        <v>4</v>
      </c>
      <c r="BU70">
        <v>11</v>
      </c>
      <c r="BV70">
        <v>17</v>
      </c>
      <c r="BW70">
        <v>22</v>
      </c>
      <c r="BX70">
        <v>24</v>
      </c>
      <c r="BY70">
        <v>47</v>
      </c>
      <c r="BZ70">
        <v>87</v>
      </c>
      <c r="CA70">
        <v>62</v>
      </c>
      <c r="CB70">
        <v>47</v>
      </c>
      <c r="CC70">
        <v>33</v>
      </c>
      <c r="CD70">
        <v>30</v>
      </c>
      <c r="CE70">
        <v>31</v>
      </c>
      <c r="CF70">
        <v>37</v>
      </c>
      <c r="CG70">
        <v>51</v>
      </c>
      <c r="CH70">
        <v>58</v>
      </c>
      <c r="CI70">
        <v>73</v>
      </c>
      <c r="CJ70">
        <v>117</v>
      </c>
      <c r="CK70">
        <v>165</v>
      </c>
      <c r="CL70">
        <v>198</v>
      </c>
      <c r="CM70">
        <v>234</v>
      </c>
      <c r="CN70">
        <v>161</v>
      </c>
      <c r="CO70">
        <v>142</v>
      </c>
      <c r="CP70">
        <v>168</v>
      </c>
      <c r="CQ70">
        <v>236</v>
      </c>
      <c r="CR70">
        <v>210</v>
      </c>
      <c r="CS70">
        <v>180</v>
      </c>
      <c r="CT70">
        <v>156</v>
      </c>
      <c r="CU70">
        <v>137</v>
      </c>
      <c r="CV70">
        <v>115</v>
      </c>
      <c r="CW70">
        <v>129</v>
      </c>
      <c r="CX70">
        <v>141</v>
      </c>
      <c r="CY70">
        <v>132</v>
      </c>
      <c r="CZ70">
        <v>119</v>
      </c>
      <c r="DA70">
        <v>104</v>
      </c>
      <c r="DB70">
        <v>96</v>
      </c>
      <c r="DC70">
        <v>82</v>
      </c>
      <c r="DD70">
        <v>75</v>
      </c>
      <c r="DE70">
        <v>68</v>
      </c>
      <c r="DF70">
        <v>69</v>
      </c>
      <c r="DG70">
        <v>59</v>
      </c>
      <c r="DH70">
        <v>48</v>
      </c>
      <c r="DI70">
        <v>36</v>
      </c>
      <c r="DJ70">
        <v>27</v>
      </c>
      <c r="DK70">
        <v>20</v>
      </c>
      <c r="DL70">
        <v>10</v>
      </c>
      <c r="DM70">
        <v>5</v>
      </c>
      <c r="DN70">
        <v>4</v>
      </c>
      <c r="DO70">
        <v>4</v>
      </c>
      <c r="DP70">
        <v>3</v>
      </c>
      <c r="DQ70">
        <v>4</v>
      </c>
    </row>
    <row r="71" spans="2:121" x14ac:dyDescent="0.35">
      <c r="B71">
        <v>3829</v>
      </c>
      <c r="C71">
        <v>4044</v>
      </c>
      <c r="D71">
        <v>3906</v>
      </c>
      <c r="E71">
        <v>3739</v>
      </c>
      <c r="F71">
        <v>3876</v>
      </c>
      <c r="G71">
        <v>3862</v>
      </c>
      <c r="H71">
        <v>3862</v>
      </c>
      <c r="I71">
        <v>4128</v>
      </c>
      <c r="J71">
        <v>4042</v>
      </c>
      <c r="K71">
        <v>3698</v>
      </c>
      <c r="L71">
        <v>3727</v>
      </c>
      <c r="M71">
        <v>3973</v>
      </c>
      <c r="N71">
        <v>4095</v>
      </c>
      <c r="O71">
        <v>4246</v>
      </c>
      <c r="P71">
        <v>4510</v>
      </c>
      <c r="Q71">
        <v>4562</v>
      </c>
      <c r="R71">
        <v>4558</v>
      </c>
      <c r="S71">
        <v>4610</v>
      </c>
      <c r="T71">
        <v>4766</v>
      </c>
      <c r="U71">
        <v>4861</v>
      </c>
      <c r="V71">
        <v>4879</v>
      </c>
      <c r="W71">
        <v>4957</v>
      </c>
      <c r="X71">
        <v>4673</v>
      </c>
      <c r="Y71">
        <v>4620</v>
      </c>
      <c r="Z71">
        <v>4732</v>
      </c>
      <c r="AA71">
        <v>4618</v>
      </c>
      <c r="AB71">
        <v>4435</v>
      </c>
      <c r="AC71">
        <v>4320</v>
      </c>
      <c r="AD71">
        <v>3975</v>
      </c>
      <c r="AE71">
        <v>3603</v>
      </c>
      <c r="AF71">
        <v>4087</v>
      </c>
      <c r="AG71">
        <v>4248</v>
      </c>
      <c r="AH71">
        <v>4147</v>
      </c>
      <c r="AI71">
        <v>3949</v>
      </c>
      <c r="AJ71">
        <v>4093</v>
      </c>
      <c r="AK71">
        <v>4378</v>
      </c>
      <c r="AL71">
        <v>4633</v>
      </c>
      <c r="AM71">
        <v>4460</v>
      </c>
      <c r="AN71">
        <v>4417</v>
      </c>
      <c r="AO71">
        <v>4495</v>
      </c>
      <c r="AP71">
        <v>4359</v>
      </c>
      <c r="AQ71">
        <v>4231</v>
      </c>
      <c r="AR71">
        <v>4111</v>
      </c>
      <c r="AS71">
        <v>4175</v>
      </c>
      <c r="AT71">
        <v>4184</v>
      </c>
      <c r="AU71">
        <v>4288</v>
      </c>
      <c r="AV71">
        <v>4190</v>
      </c>
      <c r="AW71">
        <v>4241</v>
      </c>
      <c r="AX71">
        <v>3956</v>
      </c>
      <c r="AY71">
        <v>3639</v>
      </c>
      <c r="AZ71">
        <v>3865</v>
      </c>
      <c r="BA71">
        <v>3970</v>
      </c>
      <c r="BB71">
        <v>3815</v>
      </c>
      <c r="BC71">
        <v>3893</v>
      </c>
      <c r="BD71">
        <v>3956</v>
      </c>
      <c r="BE71">
        <v>3922</v>
      </c>
      <c r="BF71">
        <v>3703</v>
      </c>
      <c r="BG71">
        <v>3499</v>
      </c>
      <c r="BH71">
        <v>3394</v>
      </c>
      <c r="BI71">
        <v>2788</v>
      </c>
      <c r="BJ71">
        <v>2587</v>
      </c>
      <c r="BK71">
        <v>2315</v>
      </c>
      <c r="BL71">
        <v>2222</v>
      </c>
      <c r="BM71">
        <v>2138</v>
      </c>
      <c r="BN71">
        <v>2245</v>
      </c>
      <c r="BO71">
        <v>2147</v>
      </c>
      <c r="BP71">
        <v>1997</v>
      </c>
      <c r="BQ71">
        <v>1761</v>
      </c>
      <c r="BR71">
        <v>1637</v>
      </c>
      <c r="BS71">
        <v>1632</v>
      </c>
      <c r="BT71">
        <v>1481</v>
      </c>
      <c r="BU71">
        <v>1476</v>
      </c>
      <c r="BV71">
        <v>1463</v>
      </c>
      <c r="BW71">
        <v>1259</v>
      </c>
      <c r="BX71">
        <v>1367</v>
      </c>
      <c r="BY71">
        <v>1580</v>
      </c>
      <c r="BZ71">
        <v>1573</v>
      </c>
      <c r="CA71">
        <v>1344</v>
      </c>
      <c r="CB71">
        <v>1211</v>
      </c>
      <c r="CC71">
        <v>1121</v>
      </c>
      <c r="CD71">
        <v>1049</v>
      </c>
      <c r="CE71">
        <v>1042</v>
      </c>
      <c r="CF71">
        <v>963</v>
      </c>
      <c r="CG71">
        <v>979</v>
      </c>
      <c r="CH71">
        <v>976</v>
      </c>
      <c r="CI71">
        <v>890</v>
      </c>
      <c r="CJ71">
        <v>859</v>
      </c>
      <c r="CK71">
        <v>764</v>
      </c>
      <c r="CL71">
        <v>680</v>
      </c>
      <c r="CM71">
        <v>673</v>
      </c>
      <c r="CN71">
        <v>594</v>
      </c>
      <c r="CO71">
        <v>567</v>
      </c>
      <c r="CP71">
        <v>559</v>
      </c>
      <c r="CQ71">
        <v>493</v>
      </c>
      <c r="CR71">
        <v>437</v>
      </c>
      <c r="CS71">
        <v>434</v>
      </c>
      <c r="CT71">
        <v>465</v>
      </c>
      <c r="CU71">
        <v>484</v>
      </c>
      <c r="CV71">
        <v>417</v>
      </c>
      <c r="CW71">
        <v>471</v>
      </c>
      <c r="CX71">
        <v>637</v>
      </c>
      <c r="CY71">
        <v>798</v>
      </c>
      <c r="CZ71">
        <v>941</v>
      </c>
      <c r="DA71">
        <v>843</v>
      </c>
      <c r="DB71">
        <v>743</v>
      </c>
      <c r="DC71">
        <v>633</v>
      </c>
      <c r="DD71">
        <v>431</v>
      </c>
      <c r="DE71">
        <v>415</v>
      </c>
      <c r="DF71">
        <v>359</v>
      </c>
      <c r="DG71">
        <v>267</v>
      </c>
      <c r="DH71">
        <v>260</v>
      </c>
      <c r="DI71">
        <v>234</v>
      </c>
      <c r="DJ71">
        <v>224</v>
      </c>
      <c r="DK71">
        <v>248</v>
      </c>
      <c r="DL71">
        <v>247</v>
      </c>
      <c r="DM71">
        <v>204</v>
      </c>
      <c r="DN71">
        <v>198</v>
      </c>
      <c r="DO71">
        <v>192</v>
      </c>
      <c r="DP71">
        <v>188</v>
      </c>
      <c r="DQ71">
        <v>185</v>
      </c>
    </row>
    <row r="72" spans="2:121" x14ac:dyDescent="0.35">
      <c r="B72">
        <v>51</v>
      </c>
      <c r="C72">
        <v>50</v>
      </c>
      <c r="D72">
        <v>47</v>
      </c>
      <c r="E72">
        <v>44</v>
      </c>
      <c r="F72">
        <v>40</v>
      </c>
      <c r="G72">
        <v>30</v>
      </c>
      <c r="H72">
        <v>26</v>
      </c>
      <c r="I72">
        <v>31</v>
      </c>
      <c r="J72">
        <v>33</v>
      </c>
      <c r="K72">
        <v>40</v>
      </c>
      <c r="L72">
        <v>42</v>
      </c>
      <c r="M72">
        <v>46</v>
      </c>
      <c r="N72">
        <v>47</v>
      </c>
      <c r="O72">
        <v>43</v>
      </c>
      <c r="P72">
        <v>39</v>
      </c>
      <c r="Q72">
        <v>40</v>
      </c>
      <c r="R72">
        <v>46</v>
      </c>
      <c r="S72">
        <v>52</v>
      </c>
      <c r="T72">
        <v>58</v>
      </c>
      <c r="U72">
        <v>63</v>
      </c>
      <c r="V72">
        <v>60</v>
      </c>
      <c r="W72">
        <v>53</v>
      </c>
      <c r="X72">
        <v>48</v>
      </c>
      <c r="Y72">
        <v>49</v>
      </c>
      <c r="Z72">
        <v>52</v>
      </c>
      <c r="AA72">
        <v>46</v>
      </c>
      <c r="AB72">
        <v>42</v>
      </c>
      <c r="AC72">
        <v>46</v>
      </c>
      <c r="AD72">
        <v>52</v>
      </c>
      <c r="AE72">
        <v>55</v>
      </c>
      <c r="AF72">
        <v>60</v>
      </c>
      <c r="AG72">
        <v>51</v>
      </c>
      <c r="AH72">
        <v>42</v>
      </c>
      <c r="AI72">
        <v>40</v>
      </c>
      <c r="AJ72">
        <v>36</v>
      </c>
      <c r="AK72">
        <v>27</v>
      </c>
      <c r="AL72">
        <v>11</v>
      </c>
      <c r="AM72">
        <v>0</v>
      </c>
      <c r="AN72">
        <v>7</v>
      </c>
      <c r="AO72">
        <v>0</v>
      </c>
      <c r="AP72">
        <v>0</v>
      </c>
      <c r="AQ72">
        <v>0</v>
      </c>
      <c r="AR72">
        <v>2</v>
      </c>
      <c r="AS72">
        <v>4</v>
      </c>
      <c r="AT72">
        <v>6</v>
      </c>
      <c r="AU72">
        <v>6</v>
      </c>
      <c r="AV72">
        <v>7</v>
      </c>
      <c r="AW72">
        <v>8</v>
      </c>
      <c r="AX72">
        <v>10</v>
      </c>
      <c r="AY72">
        <v>10</v>
      </c>
      <c r="AZ72">
        <v>11</v>
      </c>
      <c r="BA72">
        <v>12</v>
      </c>
      <c r="BB72">
        <v>13</v>
      </c>
      <c r="BC72">
        <v>14</v>
      </c>
      <c r="BD72">
        <v>15</v>
      </c>
      <c r="BE72">
        <v>17</v>
      </c>
      <c r="BF72">
        <v>17</v>
      </c>
      <c r="BG72">
        <v>19</v>
      </c>
      <c r="BH72">
        <v>20</v>
      </c>
      <c r="BI72">
        <v>22</v>
      </c>
      <c r="BJ72">
        <v>24</v>
      </c>
      <c r="BK72">
        <v>24</v>
      </c>
      <c r="BL72">
        <v>25</v>
      </c>
      <c r="BM72">
        <v>25</v>
      </c>
      <c r="BN72">
        <v>25</v>
      </c>
      <c r="BO72">
        <v>27</v>
      </c>
      <c r="BP72">
        <v>28</v>
      </c>
      <c r="BQ72">
        <v>29</v>
      </c>
      <c r="BR72">
        <v>29</v>
      </c>
      <c r="BS72">
        <v>28</v>
      </c>
      <c r="BT72">
        <v>29</v>
      </c>
      <c r="BU72">
        <v>30</v>
      </c>
      <c r="BV72">
        <v>30</v>
      </c>
      <c r="BW72">
        <v>31</v>
      </c>
      <c r="BX72">
        <v>33</v>
      </c>
      <c r="BY72">
        <v>35</v>
      </c>
      <c r="BZ72">
        <v>35</v>
      </c>
      <c r="CA72">
        <v>35</v>
      </c>
      <c r="CB72">
        <v>35</v>
      </c>
      <c r="CC72">
        <v>37</v>
      </c>
      <c r="CD72">
        <v>42</v>
      </c>
      <c r="CE72">
        <v>43</v>
      </c>
      <c r="CF72">
        <v>46</v>
      </c>
      <c r="CG72">
        <v>51</v>
      </c>
      <c r="CH72">
        <v>55</v>
      </c>
      <c r="CI72">
        <v>57</v>
      </c>
      <c r="CJ72">
        <v>62</v>
      </c>
      <c r="CK72">
        <v>64</v>
      </c>
      <c r="CL72">
        <v>64</v>
      </c>
      <c r="CM72">
        <v>64</v>
      </c>
      <c r="CN72">
        <v>65</v>
      </c>
      <c r="CO72">
        <v>68</v>
      </c>
      <c r="CP72">
        <v>77</v>
      </c>
      <c r="CQ72">
        <v>81</v>
      </c>
      <c r="CR72">
        <v>85</v>
      </c>
      <c r="CS72">
        <v>87</v>
      </c>
      <c r="CT72">
        <v>95</v>
      </c>
      <c r="CU72">
        <v>92</v>
      </c>
      <c r="CV72">
        <v>118</v>
      </c>
      <c r="CW72">
        <v>123</v>
      </c>
      <c r="CX72">
        <v>99</v>
      </c>
      <c r="CY72">
        <v>99</v>
      </c>
      <c r="CZ72">
        <v>100</v>
      </c>
      <c r="DA72">
        <v>108</v>
      </c>
      <c r="DB72">
        <v>114</v>
      </c>
      <c r="DC72">
        <v>108</v>
      </c>
      <c r="DD72">
        <v>108</v>
      </c>
      <c r="DE72">
        <v>111</v>
      </c>
      <c r="DF72">
        <v>115</v>
      </c>
      <c r="DG72">
        <v>135</v>
      </c>
      <c r="DH72">
        <v>150</v>
      </c>
      <c r="DI72">
        <v>167</v>
      </c>
      <c r="DJ72">
        <v>178</v>
      </c>
      <c r="DK72">
        <v>189</v>
      </c>
      <c r="DL72">
        <v>200</v>
      </c>
      <c r="DM72">
        <v>205</v>
      </c>
      <c r="DN72">
        <v>197</v>
      </c>
      <c r="DO72">
        <v>164</v>
      </c>
      <c r="DP72">
        <v>170</v>
      </c>
      <c r="DQ72">
        <v>172</v>
      </c>
    </row>
    <row r="73" spans="2:121" x14ac:dyDescent="0.35">
      <c r="B73">
        <v>366</v>
      </c>
      <c r="C73">
        <v>330</v>
      </c>
      <c r="D73">
        <v>315</v>
      </c>
      <c r="E73">
        <v>333</v>
      </c>
      <c r="F73">
        <v>350</v>
      </c>
      <c r="G73">
        <v>352</v>
      </c>
      <c r="H73">
        <v>364</v>
      </c>
      <c r="I73">
        <v>390</v>
      </c>
      <c r="J73">
        <v>442</v>
      </c>
      <c r="K73">
        <v>517</v>
      </c>
      <c r="L73">
        <v>508</v>
      </c>
      <c r="M73">
        <v>640</v>
      </c>
      <c r="N73">
        <v>663</v>
      </c>
      <c r="O73">
        <v>696</v>
      </c>
      <c r="P73">
        <v>711</v>
      </c>
      <c r="Q73">
        <v>744</v>
      </c>
      <c r="R73">
        <v>740</v>
      </c>
      <c r="S73">
        <v>724</v>
      </c>
      <c r="T73">
        <v>702</v>
      </c>
      <c r="U73">
        <v>686</v>
      </c>
      <c r="V73">
        <v>663</v>
      </c>
      <c r="W73">
        <v>656</v>
      </c>
      <c r="X73">
        <v>630</v>
      </c>
      <c r="Y73">
        <v>550</v>
      </c>
      <c r="Z73">
        <v>613</v>
      </c>
      <c r="AA73">
        <v>720</v>
      </c>
      <c r="AB73">
        <v>784</v>
      </c>
      <c r="AC73">
        <v>815</v>
      </c>
      <c r="AD73">
        <v>810</v>
      </c>
      <c r="AE73">
        <v>850</v>
      </c>
      <c r="AF73">
        <v>900</v>
      </c>
      <c r="AG73">
        <v>904</v>
      </c>
      <c r="AH73">
        <v>913</v>
      </c>
      <c r="AI73">
        <v>933</v>
      </c>
      <c r="AJ73">
        <v>981</v>
      </c>
      <c r="AK73">
        <v>1013</v>
      </c>
      <c r="AL73">
        <v>1001</v>
      </c>
      <c r="AM73">
        <v>889</v>
      </c>
      <c r="AN73">
        <v>805</v>
      </c>
      <c r="AO73">
        <v>718</v>
      </c>
      <c r="AP73">
        <v>622</v>
      </c>
      <c r="AQ73">
        <v>521</v>
      </c>
      <c r="AR73">
        <v>453</v>
      </c>
      <c r="AS73">
        <v>448</v>
      </c>
      <c r="AT73">
        <v>453</v>
      </c>
      <c r="AU73">
        <v>468</v>
      </c>
      <c r="AV73">
        <v>507</v>
      </c>
      <c r="AW73">
        <v>601</v>
      </c>
      <c r="AX73">
        <v>566</v>
      </c>
      <c r="AY73">
        <v>630</v>
      </c>
      <c r="AZ73">
        <v>490</v>
      </c>
      <c r="BA73">
        <v>473</v>
      </c>
      <c r="BB73">
        <v>476</v>
      </c>
      <c r="BC73">
        <v>398</v>
      </c>
      <c r="BD73">
        <v>490</v>
      </c>
      <c r="BE73">
        <v>493</v>
      </c>
      <c r="BF73">
        <v>556</v>
      </c>
      <c r="BG73">
        <v>755</v>
      </c>
      <c r="BH73">
        <v>858</v>
      </c>
      <c r="BI73">
        <v>890</v>
      </c>
      <c r="BJ73">
        <v>887</v>
      </c>
      <c r="BK73">
        <v>898</v>
      </c>
      <c r="BL73">
        <v>925</v>
      </c>
      <c r="BM73">
        <v>957</v>
      </c>
      <c r="BN73">
        <v>923</v>
      </c>
      <c r="BO73">
        <v>907</v>
      </c>
      <c r="BP73">
        <v>886</v>
      </c>
      <c r="BQ73">
        <v>919</v>
      </c>
      <c r="BR73">
        <v>928</v>
      </c>
      <c r="BS73">
        <v>921</v>
      </c>
      <c r="BT73">
        <v>879</v>
      </c>
      <c r="BU73">
        <v>864</v>
      </c>
      <c r="BV73">
        <v>864</v>
      </c>
      <c r="BW73">
        <v>880</v>
      </c>
      <c r="BX73">
        <v>912</v>
      </c>
      <c r="BY73">
        <v>888</v>
      </c>
      <c r="BZ73">
        <v>831</v>
      </c>
      <c r="CA73">
        <v>809</v>
      </c>
      <c r="CB73">
        <v>778</v>
      </c>
      <c r="CC73">
        <v>706</v>
      </c>
      <c r="CD73">
        <v>794</v>
      </c>
      <c r="CE73">
        <v>934</v>
      </c>
      <c r="CF73">
        <v>988</v>
      </c>
      <c r="CG73">
        <v>1026</v>
      </c>
      <c r="CH73">
        <v>974</v>
      </c>
      <c r="CI73">
        <v>968</v>
      </c>
      <c r="CJ73">
        <v>994</v>
      </c>
      <c r="CK73">
        <v>1030</v>
      </c>
      <c r="CL73">
        <v>985</v>
      </c>
      <c r="CM73">
        <v>943</v>
      </c>
      <c r="CN73">
        <v>798</v>
      </c>
      <c r="CO73">
        <v>705</v>
      </c>
      <c r="CP73">
        <v>620</v>
      </c>
      <c r="CQ73">
        <v>564</v>
      </c>
      <c r="CR73">
        <v>517</v>
      </c>
      <c r="CS73">
        <v>417</v>
      </c>
      <c r="CT73">
        <v>509</v>
      </c>
      <c r="CU73">
        <v>573</v>
      </c>
      <c r="CV73">
        <v>679</v>
      </c>
      <c r="CW73">
        <v>824</v>
      </c>
      <c r="CX73">
        <v>872</v>
      </c>
      <c r="CY73">
        <v>827</v>
      </c>
      <c r="CZ73">
        <v>826</v>
      </c>
      <c r="DA73">
        <v>898</v>
      </c>
      <c r="DB73">
        <v>926</v>
      </c>
      <c r="DC73">
        <v>884</v>
      </c>
      <c r="DD73">
        <v>801</v>
      </c>
      <c r="DE73">
        <v>653</v>
      </c>
      <c r="DF73">
        <v>468</v>
      </c>
      <c r="DG73">
        <v>277</v>
      </c>
      <c r="DH73">
        <v>162</v>
      </c>
      <c r="DI73">
        <v>125</v>
      </c>
      <c r="DJ73">
        <v>121</v>
      </c>
      <c r="DK73">
        <v>124</v>
      </c>
      <c r="DL73">
        <v>128</v>
      </c>
      <c r="DM73">
        <v>114</v>
      </c>
      <c r="DN73">
        <v>110</v>
      </c>
      <c r="DO73">
        <v>92</v>
      </c>
      <c r="DP73">
        <v>80</v>
      </c>
      <c r="DQ73">
        <v>72</v>
      </c>
    </row>
    <row r="74" spans="2:121" x14ac:dyDescent="0.35">
      <c r="B74">
        <v>131</v>
      </c>
      <c r="C74">
        <v>120</v>
      </c>
      <c r="D74">
        <v>106</v>
      </c>
      <c r="E74">
        <v>93</v>
      </c>
      <c r="F74">
        <v>84</v>
      </c>
      <c r="G74">
        <v>75</v>
      </c>
      <c r="H74">
        <v>67</v>
      </c>
      <c r="I74">
        <v>60</v>
      </c>
      <c r="J74">
        <v>52</v>
      </c>
      <c r="K74">
        <v>41</v>
      </c>
      <c r="L74">
        <v>33</v>
      </c>
      <c r="M74">
        <v>26</v>
      </c>
      <c r="N74">
        <v>20</v>
      </c>
      <c r="O74">
        <v>14</v>
      </c>
      <c r="P74">
        <v>11</v>
      </c>
      <c r="Q74">
        <v>4</v>
      </c>
      <c r="R74">
        <v>6</v>
      </c>
      <c r="S74">
        <v>6</v>
      </c>
      <c r="T74">
        <v>7</v>
      </c>
      <c r="U74">
        <v>4</v>
      </c>
      <c r="V74">
        <v>4</v>
      </c>
      <c r="W74">
        <v>3</v>
      </c>
      <c r="X74">
        <v>3</v>
      </c>
      <c r="Y74">
        <v>4</v>
      </c>
      <c r="Z74">
        <v>6</v>
      </c>
      <c r="AA74">
        <v>5</v>
      </c>
      <c r="AB74">
        <v>5</v>
      </c>
      <c r="AC74">
        <v>6</v>
      </c>
      <c r="AD74">
        <v>5</v>
      </c>
      <c r="AE74">
        <v>6</v>
      </c>
      <c r="AF74">
        <v>5</v>
      </c>
      <c r="AG74">
        <v>2</v>
      </c>
      <c r="AH74">
        <v>2</v>
      </c>
      <c r="AI74">
        <v>1</v>
      </c>
      <c r="AJ74">
        <v>2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3</v>
      </c>
      <c r="AT74">
        <v>3</v>
      </c>
      <c r="AU74">
        <v>2</v>
      </c>
      <c r="AV74">
        <v>3</v>
      </c>
      <c r="AW74">
        <v>2</v>
      </c>
      <c r="AX74">
        <v>2</v>
      </c>
      <c r="AY74">
        <v>1</v>
      </c>
      <c r="AZ74">
        <v>1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1</v>
      </c>
      <c r="BN74">
        <v>1</v>
      </c>
      <c r="BO74">
        <v>6</v>
      </c>
      <c r="BP74">
        <v>6</v>
      </c>
      <c r="BQ74">
        <v>2</v>
      </c>
      <c r="BR74">
        <v>3</v>
      </c>
      <c r="BS74">
        <v>3</v>
      </c>
      <c r="BT74">
        <v>2</v>
      </c>
      <c r="BU74">
        <v>3</v>
      </c>
      <c r="BV74">
        <v>4</v>
      </c>
      <c r="BW74">
        <v>6</v>
      </c>
      <c r="BX74">
        <v>4</v>
      </c>
      <c r="BY74">
        <v>2</v>
      </c>
      <c r="BZ74">
        <v>1</v>
      </c>
      <c r="CA74">
        <v>2</v>
      </c>
      <c r="CB74">
        <v>3</v>
      </c>
      <c r="CC74">
        <v>4</v>
      </c>
      <c r="CD74">
        <v>6</v>
      </c>
      <c r="CE74">
        <v>8</v>
      </c>
      <c r="CF74">
        <v>9</v>
      </c>
      <c r="CG74">
        <v>10</v>
      </c>
      <c r="CH74">
        <v>12</v>
      </c>
      <c r="CI74">
        <v>15</v>
      </c>
      <c r="CJ74">
        <v>16</v>
      </c>
      <c r="CK74">
        <v>19</v>
      </c>
      <c r="CL74">
        <v>22</v>
      </c>
      <c r="CM74">
        <v>25</v>
      </c>
      <c r="CN74">
        <v>28</v>
      </c>
      <c r="CO74">
        <v>34</v>
      </c>
      <c r="CP74">
        <v>105</v>
      </c>
      <c r="CQ74">
        <v>396</v>
      </c>
      <c r="CR74">
        <v>584</v>
      </c>
      <c r="CS74">
        <v>738</v>
      </c>
      <c r="CT74">
        <v>880</v>
      </c>
      <c r="CU74">
        <v>945</v>
      </c>
      <c r="CV74">
        <v>806</v>
      </c>
      <c r="CW74">
        <v>1124</v>
      </c>
      <c r="CX74">
        <v>1617</v>
      </c>
      <c r="CY74">
        <v>1377</v>
      </c>
      <c r="CZ74">
        <v>1036</v>
      </c>
      <c r="DA74">
        <v>1257</v>
      </c>
      <c r="DB74">
        <v>1152</v>
      </c>
      <c r="DC74">
        <v>1184</v>
      </c>
      <c r="DD74">
        <v>1404</v>
      </c>
      <c r="DE74">
        <v>1374</v>
      </c>
      <c r="DF74">
        <v>1405</v>
      </c>
      <c r="DG74">
        <v>1503</v>
      </c>
      <c r="DH74">
        <v>1751</v>
      </c>
      <c r="DI74">
        <v>2158</v>
      </c>
      <c r="DJ74">
        <v>2346</v>
      </c>
      <c r="DK74">
        <v>2729</v>
      </c>
      <c r="DL74">
        <v>2653</v>
      </c>
      <c r="DM74">
        <v>2436</v>
      </c>
      <c r="DN74">
        <v>2367</v>
      </c>
      <c r="DO74">
        <v>2120</v>
      </c>
      <c r="DP74">
        <v>2188</v>
      </c>
      <c r="DQ74">
        <v>2278</v>
      </c>
    </row>
    <row r="75" spans="2:121" x14ac:dyDescent="0.35">
      <c r="B75">
        <v>686</v>
      </c>
      <c r="C75">
        <v>665</v>
      </c>
      <c r="D75">
        <v>659</v>
      </c>
      <c r="E75">
        <v>726</v>
      </c>
      <c r="F75">
        <v>668</v>
      </c>
      <c r="G75">
        <v>587</v>
      </c>
      <c r="H75">
        <v>549</v>
      </c>
      <c r="I75">
        <v>647</v>
      </c>
      <c r="J75">
        <v>682</v>
      </c>
      <c r="K75">
        <v>501</v>
      </c>
      <c r="L75">
        <v>503</v>
      </c>
      <c r="M75">
        <v>453</v>
      </c>
      <c r="N75">
        <v>462</v>
      </c>
      <c r="O75">
        <v>501</v>
      </c>
      <c r="P75">
        <v>351</v>
      </c>
      <c r="Q75">
        <v>324</v>
      </c>
      <c r="R75">
        <v>309</v>
      </c>
      <c r="S75">
        <v>293</v>
      </c>
      <c r="T75">
        <v>277</v>
      </c>
      <c r="U75">
        <v>308</v>
      </c>
      <c r="V75">
        <v>385</v>
      </c>
      <c r="W75">
        <v>296</v>
      </c>
      <c r="X75">
        <v>261</v>
      </c>
      <c r="Y75">
        <v>239</v>
      </c>
      <c r="Z75">
        <v>239</v>
      </c>
      <c r="AA75">
        <v>231</v>
      </c>
      <c r="AB75">
        <v>294</v>
      </c>
      <c r="AC75">
        <v>312</v>
      </c>
      <c r="AD75">
        <v>218</v>
      </c>
      <c r="AE75">
        <v>207</v>
      </c>
      <c r="AF75">
        <v>202</v>
      </c>
      <c r="AG75">
        <v>198</v>
      </c>
      <c r="AH75">
        <v>195</v>
      </c>
      <c r="AI75">
        <v>192</v>
      </c>
      <c r="AJ75">
        <v>190</v>
      </c>
      <c r="AK75">
        <v>190</v>
      </c>
      <c r="AL75">
        <v>192</v>
      </c>
      <c r="AM75">
        <v>192</v>
      </c>
      <c r="AN75">
        <v>194</v>
      </c>
      <c r="AO75">
        <v>195</v>
      </c>
      <c r="AP75">
        <v>194</v>
      </c>
      <c r="AQ75">
        <v>200</v>
      </c>
      <c r="AR75">
        <v>201</v>
      </c>
      <c r="AS75">
        <v>201</v>
      </c>
      <c r="AT75">
        <v>204</v>
      </c>
      <c r="AU75">
        <v>208</v>
      </c>
      <c r="AV75">
        <v>212</v>
      </c>
      <c r="AW75">
        <v>217</v>
      </c>
      <c r="AX75">
        <v>229</v>
      </c>
      <c r="AY75">
        <v>243</v>
      </c>
      <c r="AZ75">
        <v>257</v>
      </c>
      <c r="BA75">
        <v>274</v>
      </c>
      <c r="BB75">
        <v>302</v>
      </c>
      <c r="BC75">
        <v>352</v>
      </c>
      <c r="BD75">
        <v>417</v>
      </c>
      <c r="BE75">
        <v>449</v>
      </c>
      <c r="BF75">
        <v>581</v>
      </c>
      <c r="BG75">
        <v>644</v>
      </c>
      <c r="BH75">
        <v>780</v>
      </c>
      <c r="BI75">
        <v>898</v>
      </c>
      <c r="BJ75">
        <v>1006</v>
      </c>
      <c r="BK75">
        <v>1254</v>
      </c>
      <c r="BL75">
        <v>1511</v>
      </c>
      <c r="BM75">
        <v>1870</v>
      </c>
      <c r="BN75">
        <v>2088</v>
      </c>
      <c r="BO75">
        <v>1972</v>
      </c>
      <c r="BP75">
        <v>1831</v>
      </c>
      <c r="BQ75">
        <v>1643</v>
      </c>
      <c r="BR75">
        <v>1507</v>
      </c>
      <c r="BS75">
        <v>1325</v>
      </c>
      <c r="BT75">
        <v>1157</v>
      </c>
      <c r="BU75">
        <v>1100</v>
      </c>
      <c r="BV75">
        <v>886</v>
      </c>
      <c r="BW75">
        <v>743</v>
      </c>
      <c r="BX75">
        <v>632</v>
      </c>
      <c r="BY75">
        <v>625</v>
      </c>
      <c r="BZ75">
        <v>537</v>
      </c>
      <c r="CA75">
        <v>329</v>
      </c>
      <c r="CB75">
        <v>420</v>
      </c>
      <c r="CC75">
        <v>513</v>
      </c>
      <c r="CD75">
        <v>657</v>
      </c>
      <c r="CE75">
        <v>848</v>
      </c>
      <c r="CF75">
        <v>670</v>
      </c>
      <c r="CG75">
        <v>738</v>
      </c>
      <c r="CH75">
        <v>1060</v>
      </c>
      <c r="CI75">
        <v>1231</v>
      </c>
      <c r="CJ75">
        <v>1138</v>
      </c>
      <c r="CK75">
        <v>1005</v>
      </c>
      <c r="CL75">
        <v>921</v>
      </c>
      <c r="CM75">
        <v>911</v>
      </c>
      <c r="CN75">
        <v>831</v>
      </c>
      <c r="CO75">
        <v>802</v>
      </c>
      <c r="CP75">
        <v>670</v>
      </c>
      <c r="CQ75">
        <v>510</v>
      </c>
      <c r="CR75">
        <v>499</v>
      </c>
      <c r="CS75">
        <v>574</v>
      </c>
      <c r="CT75">
        <v>627</v>
      </c>
      <c r="CU75">
        <v>643</v>
      </c>
      <c r="CV75">
        <v>497</v>
      </c>
      <c r="CW75">
        <v>732</v>
      </c>
      <c r="CX75">
        <v>708</v>
      </c>
      <c r="CY75">
        <v>452</v>
      </c>
      <c r="CZ75">
        <v>255</v>
      </c>
      <c r="DA75">
        <v>223</v>
      </c>
      <c r="DB75">
        <v>177</v>
      </c>
      <c r="DC75">
        <v>153</v>
      </c>
      <c r="DD75">
        <v>149</v>
      </c>
      <c r="DE75">
        <v>162</v>
      </c>
      <c r="DF75">
        <v>122</v>
      </c>
      <c r="DG75">
        <v>100</v>
      </c>
      <c r="DH75">
        <v>129</v>
      </c>
      <c r="DI75">
        <v>275</v>
      </c>
      <c r="DJ75">
        <v>127</v>
      </c>
      <c r="DK75">
        <v>87</v>
      </c>
      <c r="DL75">
        <v>91</v>
      </c>
      <c r="DM75">
        <v>96</v>
      </c>
      <c r="DN75">
        <v>96</v>
      </c>
      <c r="DO75">
        <v>91</v>
      </c>
      <c r="DP75">
        <v>84</v>
      </c>
      <c r="DQ75">
        <v>79</v>
      </c>
    </row>
    <row r="76" spans="2:121" x14ac:dyDescent="0.3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</v>
      </c>
      <c r="K76">
        <v>3</v>
      </c>
      <c r="L76">
        <v>0</v>
      </c>
      <c r="M76">
        <v>1</v>
      </c>
      <c r="N76">
        <v>0</v>
      </c>
      <c r="O76">
        <v>0</v>
      </c>
      <c r="P76">
        <v>2</v>
      </c>
      <c r="Q76">
        <v>5</v>
      </c>
      <c r="R76">
        <v>6</v>
      </c>
      <c r="S76">
        <v>9</v>
      </c>
      <c r="T76">
        <v>12</v>
      </c>
      <c r="U76">
        <v>14</v>
      </c>
      <c r="V76">
        <v>15</v>
      </c>
      <c r="W76">
        <v>13</v>
      </c>
      <c r="X76">
        <v>14</v>
      </c>
      <c r="Y76">
        <v>19</v>
      </c>
      <c r="Z76">
        <v>18</v>
      </c>
      <c r="AA76">
        <v>19</v>
      </c>
      <c r="AB76">
        <v>19</v>
      </c>
      <c r="AC76">
        <v>21</v>
      </c>
      <c r="AD76">
        <v>21</v>
      </c>
      <c r="AE76">
        <v>20</v>
      </c>
      <c r="AF76">
        <v>22</v>
      </c>
      <c r="AG76">
        <v>23</v>
      </c>
      <c r="AH76">
        <v>24</v>
      </c>
      <c r="AI76">
        <v>25</v>
      </c>
      <c r="AJ76">
        <v>26</v>
      </c>
      <c r="AK76">
        <v>28</v>
      </c>
      <c r="AL76">
        <v>29</v>
      </c>
      <c r="AM76">
        <v>30</v>
      </c>
      <c r="AN76">
        <v>32</v>
      </c>
      <c r="AO76">
        <v>33</v>
      </c>
      <c r="AP76">
        <v>36</v>
      </c>
      <c r="AQ76">
        <v>35</v>
      </c>
      <c r="AR76">
        <v>35</v>
      </c>
      <c r="AS76">
        <v>38</v>
      </c>
      <c r="AT76">
        <v>40</v>
      </c>
      <c r="AU76">
        <v>41</v>
      </c>
      <c r="AV76">
        <v>42</v>
      </c>
      <c r="AW76">
        <v>41</v>
      </c>
      <c r="AX76">
        <v>42</v>
      </c>
      <c r="AY76">
        <v>45</v>
      </c>
      <c r="AZ76">
        <v>42</v>
      </c>
      <c r="BA76">
        <v>45</v>
      </c>
      <c r="BB76">
        <v>52</v>
      </c>
      <c r="BC76">
        <v>63</v>
      </c>
      <c r="BD76">
        <v>74</v>
      </c>
      <c r="BE76">
        <v>82</v>
      </c>
      <c r="BF76">
        <v>84</v>
      </c>
      <c r="BG76">
        <v>84</v>
      </c>
      <c r="BH76">
        <v>82</v>
      </c>
      <c r="BI76">
        <v>84</v>
      </c>
      <c r="BJ76">
        <v>92</v>
      </c>
      <c r="BK76">
        <v>94</v>
      </c>
      <c r="BL76">
        <v>93</v>
      </c>
      <c r="BM76">
        <v>100</v>
      </c>
      <c r="BN76">
        <v>96</v>
      </c>
      <c r="BO76">
        <v>117</v>
      </c>
      <c r="BP76">
        <v>129</v>
      </c>
      <c r="BQ76">
        <v>120</v>
      </c>
      <c r="BR76">
        <v>120</v>
      </c>
      <c r="BS76">
        <v>133</v>
      </c>
      <c r="BT76">
        <v>138</v>
      </c>
      <c r="BU76">
        <v>153</v>
      </c>
      <c r="BV76">
        <v>160</v>
      </c>
      <c r="BW76">
        <v>156</v>
      </c>
      <c r="BX76">
        <v>158</v>
      </c>
      <c r="BY76">
        <v>148</v>
      </c>
      <c r="BZ76">
        <v>175</v>
      </c>
      <c r="CA76">
        <v>191</v>
      </c>
      <c r="CB76">
        <v>169</v>
      </c>
      <c r="CC76">
        <v>178</v>
      </c>
      <c r="CD76">
        <v>188</v>
      </c>
      <c r="CE76">
        <v>180</v>
      </c>
      <c r="CF76">
        <v>163</v>
      </c>
      <c r="CG76">
        <v>190</v>
      </c>
      <c r="CH76">
        <v>199</v>
      </c>
      <c r="CI76">
        <v>231</v>
      </c>
      <c r="CJ76">
        <v>229</v>
      </c>
      <c r="CK76">
        <v>268</v>
      </c>
      <c r="CL76">
        <v>257</v>
      </c>
      <c r="CM76">
        <v>301</v>
      </c>
      <c r="CN76">
        <v>327</v>
      </c>
      <c r="CO76">
        <v>291</v>
      </c>
      <c r="CP76">
        <v>274</v>
      </c>
      <c r="CQ76">
        <v>343</v>
      </c>
      <c r="CR76">
        <v>404</v>
      </c>
      <c r="CS76">
        <v>304</v>
      </c>
      <c r="CT76">
        <v>390</v>
      </c>
      <c r="CU76">
        <v>480</v>
      </c>
      <c r="CV76">
        <v>511</v>
      </c>
      <c r="CW76">
        <v>510</v>
      </c>
      <c r="CX76">
        <v>627</v>
      </c>
      <c r="CY76">
        <v>515</v>
      </c>
      <c r="CZ76">
        <v>483</v>
      </c>
      <c r="DA76">
        <v>624</v>
      </c>
      <c r="DB76">
        <v>799</v>
      </c>
      <c r="DC76">
        <v>795</v>
      </c>
      <c r="DD76">
        <v>1018</v>
      </c>
      <c r="DE76">
        <v>838</v>
      </c>
      <c r="DF76">
        <v>718</v>
      </c>
      <c r="DG76">
        <v>672</v>
      </c>
      <c r="DH76">
        <v>775</v>
      </c>
      <c r="DI76">
        <v>955</v>
      </c>
      <c r="DJ76">
        <v>1066</v>
      </c>
      <c r="DK76">
        <v>919</v>
      </c>
      <c r="DL76">
        <v>913</v>
      </c>
      <c r="DM76">
        <v>881</v>
      </c>
      <c r="DN76">
        <v>764</v>
      </c>
      <c r="DO76">
        <v>759</v>
      </c>
      <c r="DP76">
        <v>839</v>
      </c>
      <c r="DQ76">
        <v>824</v>
      </c>
    </row>
    <row r="77" spans="2:121" x14ac:dyDescent="0.35">
      <c r="B77">
        <v>355</v>
      </c>
      <c r="C77">
        <v>373</v>
      </c>
      <c r="D77">
        <v>383</v>
      </c>
      <c r="E77">
        <v>372</v>
      </c>
      <c r="F77">
        <v>406</v>
      </c>
      <c r="G77">
        <v>403</v>
      </c>
      <c r="H77">
        <v>393</v>
      </c>
      <c r="I77">
        <v>379</v>
      </c>
      <c r="J77">
        <v>373</v>
      </c>
      <c r="K77">
        <v>387</v>
      </c>
      <c r="L77">
        <v>376</v>
      </c>
      <c r="M77">
        <v>375</v>
      </c>
      <c r="N77">
        <v>391</v>
      </c>
      <c r="O77">
        <v>406</v>
      </c>
      <c r="P77">
        <v>428</v>
      </c>
      <c r="Q77">
        <v>424</v>
      </c>
      <c r="R77">
        <v>434</v>
      </c>
      <c r="S77">
        <v>423</v>
      </c>
      <c r="T77">
        <v>497</v>
      </c>
      <c r="U77">
        <v>572</v>
      </c>
      <c r="V77">
        <v>663</v>
      </c>
      <c r="W77">
        <v>670</v>
      </c>
      <c r="X77">
        <v>572</v>
      </c>
      <c r="Y77">
        <v>470</v>
      </c>
      <c r="Z77">
        <v>481</v>
      </c>
      <c r="AA77">
        <v>422</v>
      </c>
      <c r="AB77">
        <v>410</v>
      </c>
      <c r="AC77">
        <v>391</v>
      </c>
      <c r="AD77">
        <v>400</v>
      </c>
      <c r="AE77">
        <v>438</v>
      </c>
      <c r="AF77">
        <v>483</v>
      </c>
      <c r="AG77">
        <v>457</v>
      </c>
      <c r="AH77">
        <v>469</v>
      </c>
      <c r="AI77">
        <v>402</v>
      </c>
      <c r="AJ77">
        <v>416</v>
      </c>
      <c r="AK77">
        <v>507</v>
      </c>
      <c r="AL77">
        <v>499</v>
      </c>
      <c r="AM77">
        <v>500</v>
      </c>
      <c r="AN77">
        <v>585</v>
      </c>
      <c r="AO77">
        <v>667</v>
      </c>
      <c r="AP77">
        <v>773</v>
      </c>
      <c r="AQ77">
        <v>839</v>
      </c>
      <c r="AR77">
        <v>746</v>
      </c>
      <c r="AS77">
        <v>750</v>
      </c>
      <c r="AT77">
        <v>856</v>
      </c>
      <c r="AU77">
        <v>919</v>
      </c>
      <c r="AV77">
        <v>884</v>
      </c>
      <c r="AW77">
        <v>842</v>
      </c>
      <c r="AX77">
        <v>783</v>
      </c>
      <c r="AY77">
        <v>749</v>
      </c>
      <c r="AZ77">
        <v>733</v>
      </c>
      <c r="BA77">
        <v>714</v>
      </c>
      <c r="BB77">
        <v>711</v>
      </c>
      <c r="BC77">
        <v>706</v>
      </c>
      <c r="BD77">
        <v>699</v>
      </c>
      <c r="BE77">
        <v>696</v>
      </c>
      <c r="BF77">
        <v>694</v>
      </c>
      <c r="BG77">
        <v>691</v>
      </c>
      <c r="BH77">
        <v>692</v>
      </c>
      <c r="BI77">
        <v>694</v>
      </c>
      <c r="BJ77">
        <v>704</v>
      </c>
      <c r="BK77">
        <v>723</v>
      </c>
      <c r="BL77">
        <v>722</v>
      </c>
      <c r="BM77">
        <v>754</v>
      </c>
      <c r="BN77">
        <v>806</v>
      </c>
      <c r="BO77">
        <v>898</v>
      </c>
      <c r="BP77">
        <v>904</v>
      </c>
      <c r="BQ77">
        <v>920</v>
      </c>
      <c r="BR77">
        <v>915</v>
      </c>
      <c r="BS77">
        <v>913</v>
      </c>
      <c r="BT77">
        <v>916</v>
      </c>
      <c r="BU77">
        <v>838</v>
      </c>
      <c r="BV77">
        <v>866</v>
      </c>
      <c r="BW77">
        <v>929</v>
      </c>
      <c r="BX77">
        <v>944</v>
      </c>
      <c r="BY77">
        <v>929</v>
      </c>
      <c r="BZ77">
        <v>916</v>
      </c>
      <c r="CA77">
        <v>954</v>
      </c>
      <c r="CB77">
        <v>919</v>
      </c>
      <c r="CC77">
        <v>885</v>
      </c>
      <c r="CD77">
        <v>819</v>
      </c>
      <c r="CE77">
        <v>814</v>
      </c>
      <c r="CF77">
        <v>833</v>
      </c>
      <c r="CG77">
        <v>785</v>
      </c>
      <c r="CH77">
        <v>794</v>
      </c>
      <c r="CI77">
        <v>776</v>
      </c>
      <c r="CJ77">
        <v>816</v>
      </c>
      <c r="CK77">
        <v>805</v>
      </c>
      <c r="CL77">
        <v>759</v>
      </c>
      <c r="CM77">
        <v>773</v>
      </c>
      <c r="CN77">
        <v>763</v>
      </c>
      <c r="CO77">
        <v>831</v>
      </c>
      <c r="CP77">
        <v>920</v>
      </c>
      <c r="CQ77">
        <v>888</v>
      </c>
      <c r="CR77">
        <v>833</v>
      </c>
      <c r="CS77">
        <v>883</v>
      </c>
      <c r="CT77">
        <v>953</v>
      </c>
      <c r="CU77">
        <v>975</v>
      </c>
      <c r="CV77">
        <v>975</v>
      </c>
      <c r="CW77">
        <v>936</v>
      </c>
      <c r="CX77">
        <v>907</v>
      </c>
      <c r="CY77">
        <v>907</v>
      </c>
      <c r="CZ77">
        <v>935</v>
      </c>
      <c r="DA77">
        <v>954</v>
      </c>
      <c r="DB77">
        <v>965</v>
      </c>
      <c r="DC77">
        <v>938</v>
      </c>
      <c r="DD77">
        <v>910</v>
      </c>
      <c r="DE77">
        <v>905</v>
      </c>
      <c r="DF77">
        <v>868</v>
      </c>
      <c r="DG77">
        <v>824</v>
      </c>
      <c r="DH77">
        <v>738</v>
      </c>
      <c r="DI77">
        <v>592</v>
      </c>
      <c r="DJ77">
        <v>532</v>
      </c>
      <c r="DK77">
        <v>505</v>
      </c>
      <c r="DL77">
        <v>449</v>
      </c>
      <c r="DM77">
        <v>519</v>
      </c>
      <c r="DN77">
        <v>441</v>
      </c>
      <c r="DO77">
        <v>369</v>
      </c>
      <c r="DP77">
        <v>464</v>
      </c>
      <c r="DQ77">
        <v>447</v>
      </c>
    </row>
    <row r="78" spans="2:121" x14ac:dyDescent="0.35">
      <c r="B78">
        <v>172</v>
      </c>
      <c r="C78">
        <v>204</v>
      </c>
      <c r="D78">
        <v>188</v>
      </c>
      <c r="E78">
        <v>194</v>
      </c>
      <c r="F78">
        <v>205</v>
      </c>
      <c r="G78">
        <v>286</v>
      </c>
      <c r="H78">
        <v>321</v>
      </c>
      <c r="I78">
        <v>352</v>
      </c>
      <c r="J78">
        <v>307</v>
      </c>
      <c r="K78">
        <v>226</v>
      </c>
      <c r="L78">
        <v>251</v>
      </c>
      <c r="M78">
        <v>309</v>
      </c>
      <c r="N78">
        <v>329</v>
      </c>
      <c r="O78">
        <v>304</v>
      </c>
      <c r="P78">
        <v>317</v>
      </c>
      <c r="Q78">
        <v>382</v>
      </c>
      <c r="R78">
        <v>416</v>
      </c>
      <c r="S78">
        <v>362</v>
      </c>
      <c r="T78">
        <v>370</v>
      </c>
      <c r="U78">
        <v>395</v>
      </c>
      <c r="V78">
        <v>376</v>
      </c>
      <c r="W78">
        <v>377</v>
      </c>
      <c r="X78">
        <v>303</v>
      </c>
      <c r="Y78">
        <v>206</v>
      </c>
      <c r="Z78">
        <v>167</v>
      </c>
      <c r="AA78">
        <v>159</v>
      </c>
      <c r="AB78">
        <v>116</v>
      </c>
      <c r="AC78">
        <v>71</v>
      </c>
      <c r="AD78">
        <v>120</v>
      </c>
      <c r="AE78">
        <v>179</v>
      </c>
      <c r="AF78">
        <v>195</v>
      </c>
      <c r="AG78">
        <v>146</v>
      </c>
      <c r="AH78">
        <v>130</v>
      </c>
      <c r="AI78">
        <v>109</v>
      </c>
      <c r="AJ78">
        <v>92</v>
      </c>
      <c r="AK78">
        <v>72</v>
      </c>
      <c r="AL78">
        <v>53</v>
      </c>
      <c r="AM78">
        <v>38</v>
      </c>
      <c r="AN78">
        <v>34</v>
      </c>
      <c r="AO78">
        <v>27</v>
      </c>
      <c r="AP78">
        <v>23</v>
      </c>
      <c r="AQ78">
        <v>21</v>
      </c>
      <c r="AR78">
        <v>19</v>
      </c>
      <c r="AS78">
        <v>16</v>
      </c>
      <c r="AT78">
        <v>17</v>
      </c>
      <c r="AU78">
        <v>11</v>
      </c>
      <c r="AV78">
        <v>10</v>
      </c>
      <c r="AW78">
        <v>9</v>
      </c>
      <c r="AX78">
        <v>5</v>
      </c>
      <c r="AY78">
        <v>3</v>
      </c>
      <c r="AZ78">
        <v>4</v>
      </c>
      <c r="BA78">
        <v>2</v>
      </c>
      <c r="BB78">
        <v>3</v>
      </c>
      <c r="BC78">
        <v>0</v>
      </c>
      <c r="BD78">
        <v>0</v>
      </c>
      <c r="BE78">
        <v>8</v>
      </c>
      <c r="BF78">
        <v>9</v>
      </c>
      <c r="BG78">
        <v>6</v>
      </c>
      <c r="BH78">
        <v>6</v>
      </c>
      <c r="BI78">
        <v>6</v>
      </c>
      <c r="BJ78">
        <v>4</v>
      </c>
      <c r="BK78">
        <v>2</v>
      </c>
      <c r="BL78">
        <v>0</v>
      </c>
      <c r="BM78">
        <v>0</v>
      </c>
      <c r="BN78">
        <v>1</v>
      </c>
      <c r="BO78">
        <v>0</v>
      </c>
      <c r="BP78">
        <v>3</v>
      </c>
      <c r="BQ78">
        <v>41</v>
      </c>
      <c r="BR78">
        <v>30</v>
      </c>
      <c r="BS78">
        <v>32</v>
      </c>
      <c r="BT78">
        <v>8</v>
      </c>
      <c r="BU78">
        <v>109</v>
      </c>
      <c r="BV78">
        <v>155</v>
      </c>
      <c r="BW78">
        <v>247</v>
      </c>
      <c r="BX78">
        <v>232</v>
      </c>
      <c r="BY78">
        <v>214</v>
      </c>
      <c r="BZ78">
        <v>346</v>
      </c>
      <c r="CA78">
        <v>236</v>
      </c>
      <c r="CB78">
        <v>225</v>
      </c>
      <c r="CC78">
        <v>360</v>
      </c>
      <c r="CD78">
        <v>353</v>
      </c>
      <c r="CE78">
        <v>371</v>
      </c>
      <c r="CF78">
        <v>240</v>
      </c>
      <c r="CG78">
        <v>287</v>
      </c>
      <c r="CH78">
        <v>439</v>
      </c>
      <c r="CI78">
        <v>429</v>
      </c>
      <c r="CJ78">
        <v>297</v>
      </c>
      <c r="CK78">
        <v>170</v>
      </c>
      <c r="CL78">
        <v>156</v>
      </c>
      <c r="CM78">
        <v>147</v>
      </c>
      <c r="CN78">
        <v>191</v>
      </c>
      <c r="CO78">
        <v>198</v>
      </c>
      <c r="CP78">
        <v>149</v>
      </c>
      <c r="CQ78">
        <v>99</v>
      </c>
      <c r="CR78">
        <v>92</v>
      </c>
      <c r="CS78">
        <v>122</v>
      </c>
      <c r="CT78">
        <v>188</v>
      </c>
      <c r="CU78">
        <v>160</v>
      </c>
      <c r="CV78">
        <v>77</v>
      </c>
      <c r="CW78">
        <v>39</v>
      </c>
      <c r="CX78">
        <v>16</v>
      </c>
      <c r="CY78">
        <v>1</v>
      </c>
      <c r="CZ78">
        <v>0</v>
      </c>
      <c r="DA78">
        <v>0</v>
      </c>
      <c r="DB78">
        <v>7</v>
      </c>
      <c r="DC78">
        <v>27</v>
      </c>
      <c r="DD78">
        <v>16</v>
      </c>
      <c r="DE78">
        <v>15</v>
      </c>
      <c r="DF78">
        <v>14</v>
      </c>
      <c r="DG78">
        <v>13</v>
      </c>
      <c r="DH78">
        <v>26</v>
      </c>
      <c r="DI78">
        <v>21</v>
      </c>
      <c r="DJ78">
        <v>20</v>
      </c>
      <c r="DK78">
        <v>33</v>
      </c>
      <c r="DL78">
        <v>41</v>
      </c>
      <c r="DM78">
        <v>76</v>
      </c>
      <c r="DN78">
        <v>149</v>
      </c>
      <c r="DO78">
        <v>120</v>
      </c>
      <c r="DP78">
        <v>106</v>
      </c>
      <c r="DQ78">
        <v>126</v>
      </c>
    </row>
    <row r="79" spans="2:121" x14ac:dyDescent="0.35">
      <c r="B79">
        <v>151</v>
      </c>
      <c r="C79">
        <v>137</v>
      </c>
      <c r="D79">
        <v>114</v>
      </c>
      <c r="E79">
        <v>110</v>
      </c>
      <c r="F79">
        <v>113</v>
      </c>
      <c r="G79">
        <v>110</v>
      </c>
      <c r="H79">
        <v>103</v>
      </c>
      <c r="I79">
        <v>98</v>
      </c>
      <c r="J79">
        <v>100</v>
      </c>
      <c r="K79">
        <v>111</v>
      </c>
      <c r="L79">
        <v>107</v>
      </c>
      <c r="M79">
        <v>104</v>
      </c>
      <c r="N79">
        <v>95</v>
      </c>
      <c r="O79">
        <v>89</v>
      </c>
      <c r="P79">
        <v>83</v>
      </c>
      <c r="Q79">
        <v>74</v>
      </c>
      <c r="R79">
        <v>68</v>
      </c>
      <c r="S79">
        <v>60</v>
      </c>
      <c r="T79">
        <v>52</v>
      </c>
      <c r="U79">
        <v>46</v>
      </c>
      <c r="V79">
        <v>39</v>
      </c>
      <c r="W79">
        <v>32</v>
      </c>
      <c r="X79">
        <v>29</v>
      </c>
      <c r="Y79">
        <v>23</v>
      </c>
      <c r="Z79">
        <v>17</v>
      </c>
      <c r="AA79">
        <v>11</v>
      </c>
      <c r="AB79">
        <v>8</v>
      </c>
      <c r="AC79">
        <v>7</v>
      </c>
      <c r="AD79">
        <v>6</v>
      </c>
      <c r="AE79">
        <v>4</v>
      </c>
      <c r="AF79">
        <v>6</v>
      </c>
      <c r="AG79">
        <v>6</v>
      </c>
      <c r="AH79">
        <v>5</v>
      </c>
      <c r="AI79">
        <v>4</v>
      </c>
      <c r="AJ79">
        <v>4</v>
      </c>
      <c r="AK79">
        <v>5</v>
      </c>
      <c r="AL79">
        <v>5</v>
      </c>
      <c r="AM79">
        <v>5</v>
      </c>
      <c r="AN79">
        <v>5</v>
      </c>
      <c r="AO79">
        <v>6</v>
      </c>
      <c r="AP79">
        <v>4</v>
      </c>
      <c r="AQ79">
        <v>4</v>
      </c>
      <c r="AR79">
        <v>4</v>
      </c>
      <c r="AS79">
        <v>1</v>
      </c>
      <c r="AT79">
        <v>2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2</v>
      </c>
      <c r="BA79">
        <v>2</v>
      </c>
      <c r="BB79">
        <v>4</v>
      </c>
      <c r="BC79">
        <v>4</v>
      </c>
      <c r="BD79">
        <v>3</v>
      </c>
      <c r="BE79">
        <v>1</v>
      </c>
      <c r="BF79">
        <v>4</v>
      </c>
      <c r="BG79">
        <v>3</v>
      </c>
      <c r="BH79">
        <v>3</v>
      </c>
      <c r="BI79">
        <v>2</v>
      </c>
      <c r="BJ79">
        <v>3</v>
      </c>
      <c r="BK79">
        <v>3</v>
      </c>
      <c r="BL79">
        <v>4</v>
      </c>
      <c r="BM79">
        <v>2</v>
      </c>
      <c r="BN79">
        <v>0</v>
      </c>
      <c r="BO79">
        <v>0</v>
      </c>
      <c r="BP79">
        <v>1</v>
      </c>
      <c r="BQ79">
        <v>0</v>
      </c>
      <c r="BR79">
        <v>5</v>
      </c>
      <c r="BS79">
        <v>7</v>
      </c>
      <c r="BT79">
        <v>3</v>
      </c>
      <c r="BU79">
        <v>3</v>
      </c>
      <c r="BV79">
        <v>3</v>
      </c>
      <c r="BW79">
        <v>2</v>
      </c>
      <c r="BX79">
        <v>2</v>
      </c>
      <c r="BY79">
        <v>5</v>
      </c>
      <c r="BZ79">
        <v>5</v>
      </c>
      <c r="CA79">
        <v>7</v>
      </c>
      <c r="CB79">
        <v>7</v>
      </c>
      <c r="CC79">
        <v>11</v>
      </c>
      <c r="CD79">
        <v>10</v>
      </c>
      <c r="CE79">
        <v>7</v>
      </c>
      <c r="CF79">
        <v>6</v>
      </c>
      <c r="CG79">
        <v>7</v>
      </c>
      <c r="CH79">
        <v>8</v>
      </c>
      <c r="CI79">
        <v>9</v>
      </c>
      <c r="CJ79">
        <v>9</v>
      </c>
      <c r="CK79">
        <v>13</v>
      </c>
      <c r="CL79">
        <v>13</v>
      </c>
      <c r="CM79">
        <v>16</v>
      </c>
      <c r="CN79">
        <v>19</v>
      </c>
      <c r="CO79">
        <v>22</v>
      </c>
      <c r="CP79">
        <v>20</v>
      </c>
      <c r="CQ79">
        <v>17</v>
      </c>
      <c r="CR79">
        <v>19</v>
      </c>
      <c r="CS79">
        <v>23</v>
      </c>
      <c r="CT79">
        <v>28</v>
      </c>
      <c r="CU79">
        <v>29</v>
      </c>
      <c r="CV79">
        <v>30</v>
      </c>
      <c r="CW79">
        <v>30</v>
      </c>
      <c r="CX79">
        <v>34</v>
      </c>
      <c r="CY79">
        <v>46</v>
      </c>
      <c r="CZ79">
        <v>263</v>
      </c>
      <c r="DA79">
        <v>357</v>
      </c>
      <c r="DB79">
        <v>501</v>
      </c>
      <c r="DC79">
        <v>509</v>
      </c>
      <c r="DD79">
        <v>406</v>
      </c>
      <c r="DE79">
        <v>490</v>
      </c>
      <c r="DF79">
        <v>733</v>
      </c>
      <c r="DG79">
        <v>1018</v>
      </c>
      <c r="DH79">
        <v>1036</v>
      </c>
      <c r="DI79">
        <v>1214</v>
      </c>
      <c r="DJ79">
        <v>1291</v>
      </c>
      <c r="DK79">
        <v>1335</v>
      </c>
      <c r="DL79">
        <v>1366</v>
      </c>
      <c r="DM79">
        <v>1571</v>
      </c>
      <c r="DN79">
        <v>1792</v>
      </c>
      <c r="DO79">
        <v>1897</v>
      </c>
      <c r="DP79">
        <v>1851</v>
      </c>
      <c r="DQ79">
        <v>1827</v>
      </c>
    </row>
    <row r="80" spans="2:121" x14ac:dyDescent="0.35">
      <c r="B80">
        <v>3955</v>
      </c>
      <c r="C80">
        <v>4041</v>
      </c>
      <c r="D80">
        <v>3941</v>
      </c>
      <c r="E80">
        <v>4161</v>
      </c>
      <c r="F80">
        <v>4196</v>
      </c>
      <c r="G80">
        <v>4337</v>
      </c>
      <c r="H80">
        <v>4422</v>
      </c>
      <c r="I80">
        <v>4283</v>
      </c>
      <c r="J80">
        <v>4301</v>
      </c>
      <c r="K80">
        <v>4241</v>
      </c>
      <c r="L80">
        <v>4077</v>
      </c>
      <c r="M80">
        <v>4154</v>
      </c>
      <c r="N80">
        <v>4316</v>
      </c>
      <c r="O80">
        <v>4454</v>
      </c>
      <c r="P80">
        <v>4431</v>
      </c>
      <c r="Q80">
        <v>4245</v>
      </c>
      <c r="R80">
        <v>4172</v>
      </c>
      <c r="S80">
        <v>4130</v>
      </c>
      <c r="T80">
        <v>4208</v>
      </c>
      <c r="U80">
        <v>4177</v>
      </c>
      <c r="V80">
        <v>4096</v>
      </c>
      <c r="W80">
        <v>4035</v>
      </c>
      <c r="X80">
        <v>4232</v>
      </c>
      <c r="Y80">
        <v>4477</v>
      </c>
      <c r="Z80">
        <v>4313</v>
      </c>
      <c r="AA80">
        <v>4514</v>
      </c>
      <c r="AB80">
        <v>4412</v>
      </c>
      <c r="AC80">
        <v>4379</v>
      </c>
      <c r="AD80">
        <v>4201</v>
      </c>
      <c r="AE80">
        <v>4088</v>
      </c>
      <c r="AF80">
        <v>3926</v>
      </c>
      <c r="AG80">
        <v>3673</v>
      </c>
      <c r="AH80">
        <v>3720</v>
      </c>
      <c r="AI80">
        <v>3507</v>
      </c>
      <c r="AJ80">
        <v>3211</v>
      </c>
      <c r="AK80">
        <v>2618</v>
      </c>
      <c r="AL80">
        <v>2461</v>
      </c>
      <c r="AM80">
        <v>2808</v>
      </c>
      <c r="AN80">
        <v>2933</v>
      </c>
      <c r="AO80">
        <v>2723</v>
      </c>
      <c r="AP80">
        <v>2504</v>
      </c>
      <c r="AQ80">
        <v>2157</v>
      </c>
      <c r="AR80">
        <v>2179</v>
      </c>
      <c r="AS80">
        <v>1966</v>
      </c>
      <c r="AT80">
        <v>1753</v>
      </c>
      <c r="AU80">
        <v>1526</v>
      </c>
      <c r="AV80">
        <v>1549</v>
      </c>
      <c r="AW80">
        <v>1586</v>
      </c>
      <c r="AX80">
        <v>1515</v>
      </c>
      <c r="AY80">
        <v>1384</v>
      </c>
      <c r="AZ80">
        <v>1330</v>
      </c>
      <c r="BA80">
        <v>1263</v>
      </c>
      <c r="BB80">
        <v>1202</v>
      </c>
      <c r="BC80">
        <v>1167</v>
      </c>
      <c r="BD80">
        <v>1116</v>
      </c>
      <c r="BE80">
        <v>1071</v>
      </c>
      <c r="BF80">
        <v>1029</v>
      </c>
      <c r="BG80">
        <v>961</v>
      </c>
      <c r="BH80">
        <v>901</v>
      </c>
      <c r="BI80">
        <v>853</v>
      </c>
      <c r="BJ80">
        <v>824</v>
      </c>
      <c r="BK80">
        <v>974</v>
      </c>
      <c r="BL80">
        <v>949</v>
      </c>
      <c r="BM80">
        <v>790</v>
      </c>
      <c r="BN80">
        <v>822</v>
      </c>
      <c r="BO80">
        <v>956</v>
      </c>
      <c r="BP80">
        <v>849</v>
      </c>
      <c r="BQ80">
        <v>705</v>
      </c>
      <c r="BR80">
        <v>583</v>
      </c>
      <c r="BS80">
        <v>496</v>
      </c>
      <c r="BT80">
        <v>463</v>
      </c>
      <c r="BU80">
        <v>430</v>
      </c>
      <c r="BV80">
        <v>431</v>
      </c>
      <c r="BW80">
        <v>407</v>
      </c>
      <c r="BX80">
        <v>383</v>
      </c>
      <c r="BY80">
        <v>354</v>
      </c>
      <c r="BZ80">
        <v>343</v>
      </c>
      <c r="CA80">
        <v>349</v>
      </c>
      <c r="CB80">
        <v>349</v>
      </c>
      <c r="CC80">
        <v>362</v>
      </c>
      <c r="CD80">
        <v>385</v>
      </c>
      <c r="CE80">
        <v>375</v>
      </c>
      <c r="CF80">
        <v>287</v>
      </c>
      <c r="CG80">
        <v>289</v>
      </c>
      <c r="CH80">
        <v>246</v>
      </c>
      <c r="CI80">
        <v>239</v>
      </c>
      <c r="CJ80">
        <v>241</v>
      </c>
      <c r="CK80">
        <v>240</v>
      </c>
      <c r="CL80">
        <v>237</v>
      </c>
      <c r="CM80">
        <v>232</v>
      </c>
      <c r="CN80">
        <v>226</v>
      </c>
      <c r="CO80">
        <v>219</v>
      </c>
      <c r="CP80">
        <v>217</v>
      </c>
      <c r="CQ80">
        <v>215</v>
      </c>
      <c r="CR80">
        <v>212</v>
      </c>
      <c r="CS80">
        <v>210</v>
      </c>
      <c r="CT80">
        <v>206</v>
      </c>
      <c r="CU80">
        <v>202</v>
      </c>
      <c r="CV80">
        <v>199</v>
      </c>
      <c r="CW80">
        <v>196</v>
      </c>
      <c r="CX80">
        <v>194</v>
      </c>
      <c r="CY80">
        <v>192</v>
      </c>
      <c r="CZ80">
        <v>190</v>
      </c>
      <c r="DA80">
        <v>193</v>
      </c>
      <c r="DB80">
        <v>197</v>
      </c>
      <c r="DC80">
        <v>201</v>
      </c>
      <c r="DD80">
        <v>206</v>
      </c>
      <c r="DE80">
        <v>209</v>
      </c>
      <c r="DF80">
        <v>215</v>
      </c>
      <c r="DG80">
        <v>216</v>
      </c>
      <c r="DH80">
        <v>219</v>
      </c>
      <c r="DI80">
        <v>223</v>
      </c>
      <c r="DJ80">
        <v>225</v>
      </c>
      <c r="DK80">
        <v>228</v>
      </c>
      <c r="DL80">
        <v>231</v>
      </c>
      <c r="DM80">
        <v>230</v>
      </c>
      <c r="DN80">
        <v>258</v>
      </c>
      <c r="DO80">
        <v>314</v>
      </c>
      <c r="DP80">
        <v>271</v>
      </c>
      <c r="DQ80">
        <v>299</v>
      </c>
    </row>
    <row r="81" spans="2:121" x14ac:dyDescent="0.35">
      <c r="B81">
        <v>1315</v>
      </c>
      <c r="C81">
        <v>1098</v>
      </c>
      <c r="D81">
        <v>891</v>
      </c>
      <c r="E81">
        <v>699</v>
      </c>
      <c r="F81">
        <v>773</v>
      </c>
      <c r="G81">
        <v>785</v>
      </c>
      <c r="H81">
        <v>683</v>
      </c>
      <c r="I81">
        <v>628</v>
      </c>
      <c r="J81">
        <v>562</v>
      </c>
      <c r="K81">
        <v>409</v>
      </c>
      <c r="L81">
        <v>561</v>
      </c>
      <c r="M81">
        <v>577</v>
      </c>
      <c r="N81">
        <v>628</v>
      </c>
      <c r="O81">
        <v>727</v>
      </c>
      <c r="P81">
        <v>848</v>
      </c>
      <c r="Q81">
        <v>959</v>
      </c>
      <c r="R81">
        <v>870</v>
      </c>
      <c r="S81">
        <v>791</v>
      </c>
      <c r="T81">
        <v>858</v>
      </c>
      <c r="U81">
        <v>873</v>
      </c>
      <c r="V81">
        <v>873</v>
      </c>
      <c r="W81">
        <v>983</v>
      </c>
      <c r="X81">
        <v>1166</v>
      </c>
      <c r="Y81">
        <v>1177</v>
      </c>
      <c r="Z81">
        <v>1035</v>
      </c>
      <c r="AA81">
        <v>913</v>
      </c>
      <c r="AB81">
        <v>811</v>
      </c>
      <c r="AC81">
        <v>641</v>
      </c>
      <c r="AD81">
        <v>714</v>
      </c>
      <c r="AE81">
        <v>772</v>
      </c>
      <c r="AF81">
        <v>866</v>
      </c>
      <c r="AG81">
        <v>939</v>
      </c>
      <c r="AH81">
        <v>859</v>
      </c>
      <c r="AI81">
        <v>600</v>
      </c>
      <c r="AJ81">
        <v>488</v>
      </c>
      <c r="AK81">
        <v>460</v>
      </c>
      <c r="AL81">
        <v>425</v>
      </c>
      <c r="AM81">
        <v>529</v>
      </c>
      <c r="AN81">
        <v>439</v>
      </c>
      <c r="AO81">
        <v>258</v>
      </c>
      <c r="AP81">
        <v>189</v>
      </c>
      <c r="AQ81">
        <v>187</v>
      </c>
      <c r="AR81">
        <v>159</v>
      </c>
      <c r="AS81">
        <v>158</v>
      </c>
      <c r="AT81">
        <v>208</v>
      </c>
      <c r="AU81">
        <v>253</v>
      </c>
      <c r="AV81">
        <v>316</v>
      </c>
      <c r="AW81">
        <v>272</v>
      </c>
      <c r="AX81">
        <v>221</v>
      </c>
      <c r="AY81">
        <v>211</v>
      </c>
      <c r="AZ81">
        <v>194</v>
      </c>
      <c r="BA81">
        <v>142</v>
      </c>
      <c r="BB81">
        <v>112</v>
      </c>
      <c r="BC81">
        <v>101</v>
      </c>
      <c r="BD81">
        <v>92</v>
      </c>
      <c r="BE81">
        <v>86</v>
      </c>
      <c r="BF81">
        <v>81</v>
      </c>
      <c r="BG81">
        <v>80</v>
      </c>
      <c r="BH81">
        <v>72</v>
      </c>
      <c r="BI81">
        <v>64</v>
      </c>
      <c r="BJ81">
        <v>58</v>
      </c>
      <c r="BK81">
        <v>58</v>
      </c>
      <c r="BL81">
        <v>57</v>
      </c>
      <c r="BM81">
        <v>65</v>
      </c>
      <c r="BN81">
        <v>71</v>
      </c>
      <c r="BO81">
        <v>66</v>
      </c>
      <c r="BP81">
        <v>65</v>
      </c>
      <c r="BQ81">
        <v>74</v>
      </c>
      <c r="BR81">
        <v>84</v>
      </c>
      <c r="BS81">
        <v>88</v>
      </c>
      <c r="BT81">
        <v>92</v>
      </c>
      <c r="BU81">
        <v>85</v>
      </c>
      <c r="BV81">
        <v>79</v>
      </c>
      <c r="BW81">
        <v>75</v>
      </c>
      <c r="BX81">
        <v>76</v>
      </c>
      <c r="BY81">
        <v>78</v>
      </c>
      <c r="BZ81">
        <v>82</v>
      </c>
      <c r="CA81">
        <v>76</v>
      </c>
      <c r="CB81">
        <v>70</v>
      </c>
      <c r="CC81">
        <v>65</v>
      </c>
      <c r="CD81">
        <v>60</v>
      </c>
      <c r="CE81">
        <v>52</v>
      </c>
      <c r="CF81">
        <v>51</v>
      </c>
      <c r="CG81">
        <v>52</v>
      </c>
      <c r="CH81">
        <v>49</v>
      </c>
      <c r="CI81">
        <v>55</v>
      </c>
      <c r="CJ81">
        <v>60</v>
      </c>
      <c r="CK81">
        <v>57</v>
      </c>
      <c r="CL81">
        <v>55</v>
      </c>
      <c r="CM81">
        <v>55</v>
      </c>
      <c r="CN81">
        <v>60</v>
      </c>
      <c r="CO81">
        <v>66</v>
      </c>
      <c r="CP81">
        <v>70</v>
      </c>
      <c r="CQ81">
        <v>70</v>
      </c>
      <c r="CR81">
        <v>72</v>
      </c>
      <c r="CS81">
        <v>80</v>
      </c>
      <c r="CT81">
        <v>83</v>
      </c>
      <c r="CU81">
        <v>88</v>
      </c>
      <c r="CV81">
        <v>99</v>
      </c>
      <c r="CW81">
        <v>78</v>
      </c>
      <c r="CX81">
        <v>70</v>
      </c>
      <c r="CY81">
        <v>67</v>
      </c>
      <c r="CZ81">
        <v>68</v>
      </c>
      <c r="DA81">
        <v>70</v>
      </c>
      <c r="DB81">
        <v>69</v>
      </c>
      <c r="DC81">
        <v>62</v>
      </c>
      <c r="DD81">
        <v>58</v>
      </c>
      <c r="DE81">
        <v>60</v>
      </c>
      <c r="DF81">
        <v>56</v>
      </c>
      <c r="DG81">
        <v>49</v>
      </c>
      <c r="DH81">
        <v>41</v>
      </c>
      <c r="DI81">
        <v>33</v>
      </c>
      <c r="DJ81">
        <v>31</v>
      </c>
      <c r="DK81">
        <v>31</v>
      </c>
      <c r="DL81">
        <v>32</v>
      </c>
      <c r="DM81">
        <v>31</v>
      </c>
      <c r="DN81">
        <v>26</v>
      </c>
      <c r="DO81">
        <v>20</v>
      </c>
      <c r="DP81">
        <v>9</v>
      </c>
      <c r="DQ81">
        <v>7</v>
      </c>
    </row>
    <row r="82" spans="2:121" x14ac:dyDescent="0.35">
      <c r="B82">
        <v>16</v>
      </c>
      <c r="C82">
        <v>25</v>
      </c>
      <c r="D82">
        <v>39</v>
      </c>
      <c r="E82">
        <v>34</v>
      </c>
      <c r="F82">
        <v>26</v>
      </c>
      <c r="G82">
        <v>24</v>
      </c>
      <c r="H82">
        <v>32</v>
      </c>
      <c r="I82">
        <v>40</v>
      </c>
      <c r="J82">
        <v>46</v>
      </c>
      <c r="K82">
        <v>43</v>
      </c>
      <c r="L82">
        <v>35</v>
      </c>
      <c r="M82">
        <v>32</v>
      </c>
      <c r="N82">
        <v>44</v>
      </c>
      <c r="O82">
        <v>43</v>
      </c>
      <c r="P82">
        <v>50</v>
      </c>
      <c r="Q82">
        <v>43</v>
      </c>
      <c r="R82">
        <v>37</v>
      </c>
      <c r="S82">
        <v>41</v>
      </c>
      <c r="T82">
        <v>48</v>
      </c>
      <c r="U82">
        <v>54</v>
      </c>
      <c r="V82">
        <v>50</v>
      </c>
      <c r="W82">
        <v>53</v>
      </c>
      <c r="X82">
        <v>49</v>
      </c>
      <c r="Y82">
        <v>43</v>
      </c>
      <c r="Z82">
        <v>42</v>
      </c>
      <c r="AA82">
        <v>49</v>
      </c>
      <c r="AB82">
        <v>49</v>
      </c>
      <c r="AC82">
        <v>45</v>
      </c>
      <c r="AD82">
        <v>45</v>
      </c>
      <c r="AE82">
        <v>46</v>
      </c>
      <c r="AF82">
        <v>36</v>
      </c>
      <c r="AG82">
        <v>33</v>
      </c>
      <c r="AH82">
        <v>33</v>
      </c>
      <c r="AI82">
        <v>35</v>
      </c>
      <c r="AJ82">
        <v>38</v>
      </c>
      <c r="AK82">
        <v>40</v>
      </c>
      <c r="AL82">
        <v>45</v>
      </c>
      <c r="AM82">
        <v>45</v>
      </c>
      <c r="AN82">
        <v>46</v>
      </c>
      <c r="AO82">
        <v>47</v>
      </c>
      <c r="AP82">
        <v>48</v>
      </c>
      <c r="AQ82">
        <v>47</v>
      </c>
      <c r="AR82">
        <v>44</v>
      </c>
      <c r="AS82">
        <v>44</v>
      </c>
      <c r="AT82">
        <v>42</v>
      </c>
      <c r="AU82">
        <v>41</v>
      </c>
      <c r="AV82">
        <v>42</v>
      </c>
      <c r="AW82">
        <v>42</v>
      </c>
      <c r="AX82">
        <v>42</v>
      </c>
      <c r="AY82">
        <v>42</v>
      </c>
      <c r="AZ82">
        <v>45</v>
      </c>
      <c r="BA82">
        <v>43</v>
      </c>
      <c r="BB82">
        <v>43</v>
      </c>
      <c r="BC82">
        <v>43</v>
      </c>
      <c r="BD82">
        <v>45</v>
      </c>
      <c r="BE82">
        <v>49</v>
      </c>
      <c r="BF82">
        <v>51</v>
      </c>
      <c r="BG82">
        <v>52</v>
      </c>
      <c r="BH82">
        <v>54</v>
      </c>
      <c r="BI82">
        <v>56</v>
      </c>
      <c r="BJ82">
        <v>56</v>
      </c>
      <c r="BK82">
        <v>57</v>
      </c>
      <c r="BL82">
        <v>60</v>
      </c>
      <c r="BM82">
        <v>64</v>
      </c>
      <c r="BN82">
        <v>71</v>
      </c>
      <c r="BO82">
        <v>75</v>
      </c>
      <c r="BP82">
        <v>81</v>
      </c>
      <c r="BQ82">
        <v>98</v>
      </c>
      <c r="BR82">
        <v>110</v>
      </c>
      <c r="BS82">
        <v>138</v>
      </c>
      <c r="BT82">
        <v>164</v>
      </c>
      <c r="BU82">
        <v>202</v>
      </c>
      <c r="BV82">
        <v>216</v>
      </c>
      <c r="BW82">
        <v>205</v>
      </c>
      <c r="BX82">
        <v>219</v>
      </c>
      <c r="BY82">
        <v>198</v>
      </c>
      <c r="BZ82">
        <v>196</v>
      </c>
      <c r="CA82">
        <v>203</v>
      </c>
      <c r="CB82">
        <v>204</v>
      </c>
      <c r="CC82">
        <v>261</v>
      </c>
      <c r="CD82">
        <v>331</v>
      </c>
      <c r="CE82">
        <v>378</v>
      </c>
      <c r="CF82">
        <v>390</v>
      </c>
      <c r="CG82">
        <v>426</v>
      </c>
      <c r="CH82">
        <v>489</v>
      </c>
      <c r="CI82">
        <v>602</v>
      </c>
      <c r="CJ82">
        <v>697</v>
      </c>
      <c r="CK82">
        <v>649</v>
      </c>
      <c r="CL82">
        <v>661</v>
      </c>
      <c r="CM82">
        <v>391</v>
      </c>
      <c r="CN82">
        <v>330</v>
      </c>
      <c r="CO82">
        <v>354</v>
      </c>
      <c r="CP82">
        <v>323</v>
      </c>
      <c r="CQ82">
        <v>338</v>
      </c>
      <c r="CR82">
        <v>326</v>
      </c>
      <c r="CS82">
        <v>325</v>
      </c>
      <c r="CT82">
        <v>315</v>
      </c>
      <c r="CU82">
        <v>336</v>
      </c>
      <c r="CV82">
        <v>381</v>
      </c>
      <c r="CW82">
        <v>452</v>
      </c>
      <c r="CX82">
        <v>556</v>
      </c>
      <c r="CY82">
        <v>555</v>
      </c>
      <c r="CZ82">
        <v>436</v>
      </c>
      <c r="DA82">
        <v>420</v>
      </c>
      <c r="DB82">
        <v>450</v>
      </c>
      <c r="DC82">
        <v>470</v>
      </c>
      <c r="DD82">
        <v>493</v>
      </c>
      <c r="DE82">
        <v>496</v>
      </c>
      <c r="DF82">
        <v>510</v>
      </c>
      <c r="DG82">
        <v>538</v>
      </c>
      <c r="DH82">
        <v>539</v>
      </c>
      <c r="DI82">
        <v>494</v>
      </c>
      <c r="DJ82">
        <v>481</v>
      </c>
      <c r="DK82">
        <v>492</v>
      </c>
      <c r="DL82">
        <v>472</v>
      </c>
      <c r="DM82">
        <v>485</v>
      </c>
      <c r="DN82">
        <v>523</v>
      </c>
      <c r="DO82">
        <v>588</v>
      </c>
      <c r="DP82">
        <v>684</v>
      </c>
      <c r="DQ82">
        <v>675</v>
      </c>
    </row>
    <row r="83" spans="2:121" x14ac:dyDescent="0.35">
      <c r="B83">
        <v>512</v>
      </c>
      <c r="C83">
        <v>510</v>
      </c>
      <c r="D83">
        <v>524</v>
      </c>
      <c r="E83">
        <v>548</v>
      </c>
      <c r="F83">
        <v>573</v>
      </c>
      <c r="G83">
        <v>596</v>
      </c>
      <c r="H83">
        <v>575</v>
      </c>
      <c r="I83">
        <v>609</v>
      </c>
      <c r="J83">
        <v>677</v>
      </c>
      <c r="K83">
        <v>672</v>
      </c>
      <c r="L83">
        <v>636</v>
      </c>
      <c r="M83">
        <v>724</v>
      </c>
      <c r="N83">
        <v>712</v>
      </c>
      <c r="O83">
        <v>640</v>
      </c>
      <c r="P83">
        <v>565</v>
      </c>
      <c r="Q83">
        <v>547</v>
      </c>
      <c r="R83">
        <v>556</v>
      </c>
      <c r="S83">
        <v>526</v>
      </c>
      <c r="T83">
        <v>504</v>
      </c>
      <c r="U83">
        <v>501</v>
      </c>
      <c r="V83">
        <v>499</v>
      </c>
      <c r="W83">
        <v>466</v>
      </c>
      <c r="X83">
        <v>455</v>
      </c>
      <c r="Y83">
        <v>449</v>
      </c>
      <c r="Z83">
        <v>444</v>
      </c>
      <c r="AA83">
        <v>431</v>
      </c>
      <c r="AB83">
        <v>429</v>
      </c>
      <c r="AC83">
        <v>423</v>
      </c>
      <c r="AD83">
        <v>402</v>
      </c>
      <c r="AE83">
        <v>398</v>
      </c>
      <c r="AF83">
        <v>474</v>
      </c>
      <c r="AG83">
        <v>531</v>
      </c>
      <c r="AH83">
        <v>610</v>
      </c>
      <c r="AI83">
        <v>665</v>
      </c>
      <c r="AJ83">
        <v>580</v>
      </c>
      <c r="AK83">
        <v>635</v>
      </c>
      <c r="AL83">
        <v>784</v>
      </c>
      <c r="AM83">
        <v>844</v>
      </c>
      <c r="AN83">
        <v>719</v>
      </c>
      <c r="AO83">
        <v>609</v>
      </c>
      <c r="AP83">
        <v>485</v>
      </c>
      <c r="AQ83">
        <v>432</v>
      </c>
      <c r="AR83">
        <v>434</v>
      </c>
      <c r="AS83">
        <v>507</v>
      </c>
      <c r="AT83">
        <v>554</v>
      </c>
      <c r="AU83">
        <v>656</v>
      </c>
      <c r="AV83">
        <v>616</v>
      </c>
      <c r="AW83">
        <v>560</v>
      </c>
      <c r="AX83">
        <v>652</v>
      </c>
      <c r="AY83">
        <v>743</v>
      </c>
      <c r="AZ83">
        <v>808</v>
      </c>
      <c r="BA83">
        <v>758</v>
      </c>
      <c r="BB83">
        <v>605</v>
      </c>
      <c r="BC83">
        <v>484</v>
      </c>
      <c r="BD83">
        <v>498</v>
      </c>
      <c r="BE83">
        <v>544</v>
      </c>
      <c r="BF83">
        <v>518</v>
      </c>
      <c r="BG83">
        <v>662</v>
      </c>
      <c r="BH83">
        <v>713</v>
      </c>
      <c r="BI83">
        <v>721</v>
      </c>
      <c r="BJ83">
        <v>686</v>
      </c>
      <c r="BK83">
        <v>606</v>
      </c>
      <c r="BL83">
        <v>559</v>
      </c>
      <c r="BM83">
        <v>534</v>
      </c>
      <c r="BN83">
        <v>521</v>
      </c>
      <c r="BO83">
        <v>517</v>
      </c>
      <c r="BP83">
        <v>519</v>
      </c>
      <c r="BQ83">
        <v>537</v>
      </c>
      <c r="BR83">
        <v>536</v>
      </c>
      <c r="BS83">
        <v>573</v>
      </c>
      <c r="BT83">
        <v>629</v>
      </c>
      <c r="BU83">
        <v>731</v>
      </c>
      <c r="BV83">
        <v>827</v>
      </c>
      <c r="BW83">
        <v>957</v>
      </c>
      <c r="BX83">
        <v>909</v>
      </c>
      <c r="BY83">
        <v>881</v>
      </c>
      <c r="BZ83">
        <v>854</v>
      </c>
      <c r="CA83">
        <v>913</v>
      </c>
      <c r="CB83">
        <v>966</v>
      </c>
      <c r="CC83">
        <v>1000</v>
      </c>
      <c r="CD83">
        <v>979</v>
      </c>
      <c r="CE83">
        <v>918</v>
      </c>
      <c r="CF83">
        <v>817</v>
      </c>
      <c r="CG83">
        <v>795</v>
      </c>
      <c r="CH83">
        <v>828</v>
      </c>
      <c r="CI83">
        <v>906</v>
      </c>
      <c r="CJ83">
        <v>1006</v>
      </c>
      <c r="CK83">
        <v>1031</v>
      </c>
      <c r="CL83">
        <v>1005</v>
      </c>
      <c r="CM83">
        <v>999</v>
      </c>
      <c r="CN83">
        <v>991</v>
      </c>
      <c r="CO83">
        <v>993</v>
      </c>
      <c r="CP83">
        <v>1013</v>
      </c>
      <c r="CQ83">
        <v>783</v>
      </c>
      <c r="CR83">
        <v>779</v>
      </c>
      <c r="CS83">
        <v>690</v>
      </c>
      <c r="CT83">
        <v>652</v>
      </c>
      <c r="CU83">
        <v>679</v>
      </c>
      <c r="CV83">
        <v>721</v>
      </c>
      <c r="CW83">
        <v>790</v>
      </c>
      <c r="CX83">
        <v>768</v>
      </c>
      <c r="CY83">
        <v>725</v>
      </c>
      <c r="CZ83">
        <v>718</v>
      </c>
      <c r="DA83">
        <v>804</v>
      </c>
      <c r="DB83">
        <v>807</v>
      </c>
      <c r="DC83">
        <v>911</v>
      </c>
      <c r="DD83">
        <v>858</v>
      </c>
      <c r="DE83">
        <v>837</v>
      </c>
      <c r="DF83">
        <v>840</v>
      </c>
      <c r="DG83">
        <v>740</v>
      </c>
      <c r="DH83">
        <v>668</v>
      </c>
      <c r="DI83">
        <v>648</v>
      </c>
      <c r="DJ83">
        <v>616</v>
      </c>
      <c r="DK83">
        <v>596</v>
      </c>
      <c r="DL83">
        <v>629</v>
      </c>
      <c r="DM83">
        <v>729</v>
      </c>
      <c r="DN83">
        <v>772</v>
      </c>
      <c r="DO83">
        <v>679</v>
      </c>
      <c r="DP83">
        <v>695</v>
      </c>
      <c r="DQ83">
        <v>676</v>
      </c>
    </row>
    <row r="84" spans="2:121" x14ac:dyDescent="0.35">
      <c r="B84">
        <v>699</v>
      </c>
      <c r="C84">
        <v>678</v>
      </c>
      <c r="D84">
        <v>574</v>
      </c>
      <c r="E84">
        <v>563</v>
      </c>
      <c r="F84">
        <v>784</v>
      </c>
      <c r="G84">
        <v>831</v>
      </c>
      <c r="H84">
        <v>800</v>
      </c>
      <c r="I84">
        <v>761</v>
      </c>
      <c r="J84">
        <v>719</v>
      </c>
      <c r="K84">
        <v>686</v>
      </c>
      <c r="L84">
        <v>661</v>
      </c>
      <c r="M84">
        <v>643</v>
      </c>
      <c r="N84">
        <v>552</v>
      </c>
      <c r="O84">
        <v>488</v>
      </c>
      <c r="P84">
        <v>505</v>
      </c>
      <c r="Q84">
        <v>511</v>
      </c>
      <c r="R84">
        <v>477</v>
      </c>
      <c r="S84">
        <v>396</v>
      </c>
      <c r="T84">
        <v>298</v>
      </c>
      <c r="U84">
        <v>441</v>
      </c>
      <c r="V84">
        <v>490</v>
      </c>
      <c r="W84">
        <v>417</v>
      </c>
      <c r="X84">
        <v>429</v>
      </c>
      <c r="Y84">
        <v>557</v>
      </c>
      <c r="Z84">
        <v>484</v>
      </c>
      <c r="AA84">
        <v>480</v>
      </c>
      <c r="AB84">
        <v>504</v>
      </c>
      <c r="AC84">
        <v>564</v>
      </c>
      <c r="AD84">
        <v>584</v>
      </c>
      <c r="AE84">
        <v>597</v>
      </c>
      <c r="AF84">
        <v>668</v>
      </c>
      <c r="AG84">
        <v>733</v>
      </c>
      <c r="AH84">
        <v>757</v>
      </c>
      <c r="AI84">
        <v>761</v>
      </c>
      <c r="AJ84">
        <v>667</v>
      </c>
      <c r="AK84">
        <v>559</v>
      </c>
      <c r="AL84">
        <v>466</v>
      </c>
      <c r="AM84">
        <v>381</v>
      </c>
      <c r="AN84">
        <v>354</v>
      </c>
      <c r="AO84">
        <v>349</v>
      </c>
      <c r="AP84">
        <v>340</v>
      </c>
      <c r="AQ84">
        <v>332</v>
      </c>
      <c r="AR84">
        <v>316</v>
      </c>
      <c r="AS84">
        <v>320</v>
      </c>
      <c r="AT84">
        <v>297</v>
      </c>
      <c r="AU84">
        <v>277</v>
      </c>
      <c r="AV84">
        <v>236</v>
      </c>
      <c r="AW84">
        <v>314</v>
      </c>
      <c r="AX84">
        <v>277</v>
      </c>
      <c r="AY84">
        <v>264</v>
      </c>
      <c r="AZ84">
        <v>151</v>
      </c>
      <c r="BA84">
        <v>128</v>
      </c>
      <c r="BB84">
        <v>155</v>
      </c>
      <c r="BC84">
        <v>191</v>
      </c>
      <c r="BD84">
        <v>241</v>
      </c>
      <c r="BE84">
        <v>318</v>
      </c>
      <c r="BF84">
        <v>280</v>
      </c>
      <c r="BG84">
        <v>270</v>
      </c>
      <c r="BH84">
        <v>217</v>
      </c>
      <c r="BI84">
        <v>191</v>
      </c>
      <c r="BJ84">
        <v>181</v>
      </c>
      <c r="BK84">
        <v>157</v>
      </c>
      <c r="BL84">
        <v>122</v>
      </c>
      <c r="BM84">
        <v>110</v>
      </c>
      <c r="BN84">
        <v>173</v>
      </c>
      <c r="BO84">
        <v>210</v>
      </c>
      <c r="BP84">
        <v>233</v>
      </c>
      <c r="BQ84">
        <v>200</v>
      </c>
      <c r="BR84">
        <v>167</v>
      </c>
      <c r="BS84">
        <v>162</v>
      </c>
      <c r="BT84">
        <v>131</v>
      </c>
      <c r="BU84">
        <v>110</v>
      </c>
      <c r="BV84">
        <v>93</v>
      </c>
      <c r="BW84">
        <v>71</v>
      </c>
      <c r="BX84">
        <v>69</v>
      </c>
      <c r="BY84">
        <v>73</v>
      </c>
      <c r="BZ84">
        <v>99</v>
      </c>
      <c r="CA84">
        <v>122</v>
      </c>
      <c r="CB84">
        <v>146</v>
      </c>
      <c r="CC84">
        <v>183</v>
      </c>
      <c r="CD84">
        <v>168</v>
      </c>
      <c r="CE84">
        <v>241</v>
      </c>
      <c r="CF84">
        <v>203</v>
      </c>
      <c r="CG84">
        <v>124</v>
      </c>
      <c r="CH84">
        <v>103</v>
      </c>
      <c r="CI84">
        <v>129</v>
      </c>
      <c r="CJ84">
        <v>153</v>
      </c>
      <c r="CK84">
        <v>179</v>
      </c>
      <c r="CL84">
        <v>210</v>
      </c>
      <c r="CM84">
        <v>235</v>
      </c>
      <c r="CN84">
        <v>328</v>
      </c>
      <c r="CO84">
        <v>380</v>
      </c>
      <c r="CP84">
        <v>371</v>
      </c>
      <c r="CQ84">
        <v>329</v>
      </c>
      <c r="CR84">
        <v>268</v>
      </c>
      <c r="CS84">
        <v>185</v>
      </c>
      <c r="CT84">
        <v>208</v>
      </c>
      <c r="CU84">
        <v>220</v>
      </c>
      <c r="CV84">
        <v>271</v>
      </c>
      <c r="CW84">
        <v>268</v>
      </c>
      <c r="CX84">
        <v>230</v>
      </c>
      <c r="CY84">
        <v>230</v>
      </c>
      <c r="CZ84">
        <v>265</v>
      </c>
      <c r="DA84">
        <v>274</v>
      </c>
      <c r="DB84">
        <v>307</v>
      </c>
      <c r="DC84">
        <v>359</v>
      </c>
      <c r="DD84">
        <v>406</v>
      </c>
      <c r="DE84">
        <v>304</v>
      </c>
      <c r="DF84">
        <v>265</v>
      </c>
      <c r="DG84">
        <v>216</v>
      </c>
      <c r="DH84">
        <v>156</v>
      </c>
      <c r="DI84">
        <v>152</v>
      </c>
      <c r="DJ84">
        <v>157</v>
      </c>
      <c r="DK84">
        <v>193</v>
      </c>
      <c r="DL84">
        <v>228</v>
      </c>
      <c r="DM84">
        <v>267</v>
      </c>
      <c r="DN84">
        <v>302</v>
      </c>
      <c r="DO84">
        <v>298</v>
      </c>
      <c r="DP84">
        <v>248</v>
      </c>
      <c r="DQ84">
        <v>205</v>
      </c>
    </row>
    <row r="85" spans="2:121" x14ac:dyDescent="0.35">
      <c r="B85">
        <v>440</v>
      </c>
      <c r="C85">
        <v>409</v>
      </c>
      <c r="D85">
        <v>307</v>
      </c>
      <c r="E85">
        <v>249</v>
      </c>
      <c r="F85">
        <v>244</v>
      </c>
      <c r="G85">
        <v>279</v>
      </c>
      <c r="H85">
        <v>312</v>
      </c>
      <c r="I85">
        <v>323</v>
      </c>
      <c r="J85">
        <v>294</v>
      </c>
      <c r="K85">
        <v>265</v>
      </c>
      <c r="L85">
        <v>265</v>
      </c>
      <c r="M85">
        <v>313</v>
      </c>
      <c r="N85">
        <v>367</v>
      </c>
      <c r="O85">
        <v>370</v>
      </c>
      <c r="P85">
        <v>302</v>
      </c>
      <c r="Q85">
        <v>231</v>
      </c>
      <c r="R85">
        <v>204</v>
      </c>
      <c r="S85">
        <v>210</v>
      </c>
      <c r="T85">
        <v>146</v>
      </c>
      <c r="U85">
        <v>135</v>
      </c>
      <c r="V85">
        <v>133</v>
      </c>
      <c r="W85">
        <v>143</v>
      </c>
      <c r="X85">
        <v>206</v>
      </c>
      <c r="Y85">
        <v>289</v>
      </c>
      <c r="Z85">
        <v>317</v>
      </c>
      <c r="AA85">
        <v>285</v>
      </c>
      <c r="AB85">
        <v>214</v>
      </c>
      <c r="AC85">
        <v>204</v>
      </c>
      <c r="AD85">
        <v>153</v>
      </c>
      <c r="AE85">
        <v>121</v>
      </c>
      <c r="AF85">
        <v>81</v>
      </c>
      <c r="AG85">
        <v>60</v>
      </c>
      <c r="AH85">
        <v>54</v>
      </c>
      <c r="AI85">
        <v>48</v>
      </c>
      <c r="AJ85">
        <v>43</v>
      </c>
      <c r="AK85">
        <v>38</v>
      </c>
      <c r="AL85">
        <v>36</v>
      </c>
      <c r="AM85">
        <v>34</v>
      </c>
      <c r="AN85">
        <v>37</v>
      </c>
      <c r="AO85">
        <v>32</v>
      </c>
      <c r="AP85">
        <v>30</v>
      </c>
      <c r="AQ85">
        <v>27</v>
      </c>
      <c r="AR85">
        <v>23</v>
      </c>
      <c r="AS85">
        <v>19</v>
      </c>
      <c r="AT85">
        <v>17</v>
      </c>
      <c r="AU85">
        <v>15</v>
      </c>
      <c r="AV85">
        <v>13</v>
      </c>
      <c r="AW85">
        <v>11</v>
      </c>
      <c r="AX85">
        <v>15</v>
      </c>
      <c r="AY85">
        <v>8</v>
      </c>
      <c r="AZ85">
        <v>8</v>
      </c>
      <c r="BA85">
        <v>5</v>
      </c>
      <c r="BB85">
        <v>5</v>
      </c>
      <c r="BC85">
        <v>4</v>
      </c>
      <c r="BD85">
        <v>3</v>
      </c>
      <c r="BE85">
        <v>0</v>
      </c>
      <c r="BF85">
        <v>0</v>
      </c>
      <c r="BG85">
        <v>0</v>
      </c>
      <c r="BH85">
        <v>2</v>
      </c>
      <c r="BI85">
        <v>3</v>
      </c>
      <c r="BJ85">
        <v>3</v>
      </c>
      <c r="BK85">
        <v>7</v>
      </c>
      <c r="BL85">
        <v>9</v>
      </c>
      <c r="BM85">
        <v>40</v>
      </c>
      <c r="BN85">
        <v>107</v>
      </c>
      <c r="BO85">
        <v>126</v>
      </c>
      <c r="BP85">
        <v>176</v>
      </c>
      <c r="BQ85">
        <v>344</v>
      </c>
      <c r="BR85">
        <v>240</v>
      </c>
      <c r="BS85">
        <v>379</v>
      </c>
      <c r="BT85">
        <v>372</v>
      </c>
      <c r="BU85">
        <v>219</v>
      </c>
      <c r="BV85">
        <v>154</v>
      </c>
      <c r="BW85">
        <v>192</v>
      </c>
      <c r="BX85">
        <v>188</v>
      </c>
      <c r="BY85">
        <v>179</v>
      </c>
      <c r="BZ85">
        <v>250</v>
      </c>
      <c r="CA85">
        <v>143</v>
      </c>
      <c r="CB85">
        <v>233</v>
      </c>
      <c r="CC85">
        <v>219</v>
      </c>
      <c r="CD85">
        <v>124</v>
      </c>
      <c r="CE85">
        <v>157</v>
      </c>
      <c r="CF85">
        <v>84</v>
      </c>
      <c r="CG85">
        <v>88</v>
      </c>
      <c r="CH85">
        <v>11</v>
      </c>
      <c r="CI85">
        <v>26</v>
      </c>
      <c r="CJ85">
        <v>54</v>
      </c>
      <c r="CK85">
        <v>24</v>
      </c>
      <c r="CL85">
        <v>18</v>
      </c>
      <c r="CM85">
        <v>3</v>
      </c>
      <c r="CN85">
        <v>8</v>
      </c>
      <c r="CO85">
        <v>13</v>
      </c>
      <c r="CP85">
        <v>13</v>
      </c>
      <c r="CQ85">
        <v>47</v>
      </c>
      <c r="CR85">
        <v>2</v>
      </c>
      <c r="CS85">
        <v>136</v>
      </c>
      <c r="CT85">
        <v>12</v>
      </c>
      <c r="CU85">
        <v>46</v>
      </c>
      <c r="CV85">
        <v>91</v>
      </c>
      <c r="CW85">
        <v>260</v>
      </c>
      <c r="CX85">
        <v>416</v>
      </c>
      <c r="CY85">
        <v>431</v>
      </c>
      <c r="CZ85">
        <v>341</v>
      </c>
      <c r="DA85">
        <v>111</v>
      </c>
      <c r="DB85">
        <v>49</v>
      </c>
      <c r="DC85">
        <v>50</v>
      </c>
      <c r="DD85">
        <v>125</v>
      </c>
      <c r="DE85">
        <v>213</v>
      </c>
      <c r="DF85">
        <v>343</v>
      </c>
      <c r="DG85">
        <v>392</v>
      </c>
      <c r="DH85">
        <v>453</v>
      </c>
      <c r="DI85">
        <v>315</v>
      </c>
      <c r="DJ85">
        <v>354</v>
      </c>
      <c r="DK85">
        <v>189</v>
      </c>
      <c r="DL85">
        <v>186</v>
      </c>
      <c r="DM85">
        <v>137</v>
      </c>
      <c r="DN85">
        <v>281</v>
      </c>
      <c r="DO85">
        <v>383</v>
      </c>
      <c r="DP85">
        <v>425</v>
      </c>
      <c r="DQ85">
        <v>420</v>
      </c>
    </row>
    <row r="86" spans="2:121" x14ac:dyDescent="0.35">
      <c r="B86">
        <v>438</v>
      </c>
      <c r="C86">
        <v>597</v>
      </c>
      <c r="D86">
        <v>424</v>
      </c>
      <c r="E86">
        <v>197</v>
      </c>
      <c r="F86">
        <v>257</v>
      </c>
      <c r="G86">
        <v>450</v>
      </c>
      <c r="H86">
        <v>347</v>
      </c>
      <c r="I86">
        <v>363</v>
      </c>
      <c r="J86">
        <v>344</v>
      </c>
      <c r="K86">
        <v>154</v>
      </c>
      <c r="L86">
        <v>329</v>
      </c>
      <c r="M86">
        <v>457</v>
      </c>
      <c r="N86">
        <v>297</v>
      </c>
      <c r="O86">
        <v>336</v>
      </c>
      <c r="P86">
        <v>310</v>
      </c>
      <c r="Q86">
        <v>172</v>
      </c>
      <c r="R86">
        <v>94</v>
      </c>
      <c r="S86">
        <v>159</v>
      </c>
      <c r="T86">
        <v>197</v>
      </c>
      <c r="U86">
        <v>127</v>
      </c>
      <c r="V86">
        <v>143</v>
      </c>
      <c r="W86">
        <v>140</v>
      </c>
      <c r="X86">
        <v>94</v>
      </c>
      <c r="Y86">
        <v>158</v>
      </c>
      <c r="Z86">
        <v>51</v>
      </c>
      <c r="AA86">
        <v>65</v>
      </c>
      <c r="AB86">
        <v>30</v>
      </c>
      <c r="AC86">
        <v>12</v>
      </c>
      <c r="AD86">
        <v>17</v>
      </c>
      <c r="AE86">
        <v>0</v>
      </c>
      <c r="AF86">
        <v>6</v>
      </c>
      <c r="AG86">
        <v>0</v>
      </c>
      <c r="AH86">
        <v>0</v>
      </c>
      <c r="AI86">
        <v>1</v>
      </c>
      <c r="AJ86">
        <v>72</v>
      </c>
      <c r="AK86">
        <v>34</v>
      </c>
      <c r="AL86">
        <v>1</v>
      </c>
      <c r="AM86">
        <v>1</v>
      </c>
      <c r="AN86">
        <v>20</v>
      </c>
      <c r="AO86">
        <v>112</v>
      </c>
      <c r="AP86">
        <v>135</v>
      </c>
      <c r="AQ86">
        <v>171</v>
      </c>
      <c r="AR86">
        <v>165</v>
      </c>
      <c r="AS86">
        <v>214</v>
      </c>
      <c r="AT86">
        <v>107</v>
      </c>
      <c r="AU86">
        <v>105</v>
      </c>
      <c r="AV86">
        <v>132</v>
      </c>
      <c r="AW86">
        <v>37</v>
      </c>
      <c r="AX86">
        <v>49</v>
      </c>
      <c r="AY86">
        <v>152</v>
      </c>
      <c r="AZ86">
        <v>235</v>
      </c>
      <c r="BA86">
        <v>354</v>
      </c>
      <c r="BB86">
        <v>351</v>
      </c>
      <c r="BC86">
        <v>168</v>
      </c>
      <c r="BD86">
        <v>54</v>
      </c>
      <c r="BE86">
        <v>90</v>
      </c>
      <c r="BF86">
        <v>292</v>
      </c>
      <c r="BG86">
        <v>310</v>
      </c>
      <c r="BH86">
        <v>338</v>
      </c>
      <c r="BI86">
        <v>373</v>
      </c>
      <c r="BJ86">
        <v>324</v>
      </c>
      <c r="BK86">
        <v>219</v>
      </c>
      <c r="BL86">
        <v>255</v>
      </c>
      <c r="BM86">
        <v>215</v>
      </c>
      <c r="BN86">
        <v>96</v>
      </c>
      <c r="BO86">
        <v>94</v>
      </c>
      <c r="BP86">
        <v>180</v>
      </c>
      <c r="BQ86">
        <v>170</v>
      </c>
      <c r="BR86">
        <v>343</v>
      </c>
      <c r="BS86">
        <v>492</v>
      </c>
      <c r="BT86">
        <v>276</v>
      </c>
      <c r="BU86">
        <v>243</v>
      </c>
      <c r="BV86">
        <v>446</v>
      </c>
      <c r="BW86">
        <v>444</v>
      </c>
      <c r="BX86">
        <v>484</v>
      </c>
      <c r="BY86">
        <v>641</v>
      </c>
      <c r="BZ86">
        <v>517</v>
      </c>
      <c r="CA86">
        <v>267</v>
      </c>
      <c r="CB86">
        <v>231</v>
      </c>
      <c r="CC86">
        <v>372</v>
      </c>
      <c r="CD86">
        <v>380</v>
      </c>
      <c r="CE86">
        <v>485</v>
      </c>
      <c r="CF86">
        <v>526</v>
      </c>
      <c r="CG86">
        <v>458</v>
      </c>
      <c r="CH86">
        <v>523</v>
      </c>
      <c r="CI86">
        <v>608</v>
      </c>
      <c r="CJ86">
        <v>657</v>
      </c>
      <c r="CK86">
        <v>736</v>
      </c>
      <c r="CL86">
        <v>656</v>
      </c>
      <c r="CM86">
        <v>557</v>
      </c>
      <c r="CN86">
        <v>636</v>
      </c>
      <c r="CO86">
        <v>740</v>
      </c>
      <c r="CP86">
        <v>836</v>
      </c>
      <c r="CQ86">
        <v>789</v>
      </c>
      <c r="CR86">
        <v>747</v>
      </c>
      <c r="CS86">
        <v>685</v>
      </c>
      <c r="CT86">
        <v>672</v>
      </c>
      <c r="CU86">
        <v>657</v>
      </c>
      <c r="CV86">
        <v>555</v>
      </c>
      <c r="CW86">
        <v>448</v>
      </c>
      <c r="CX86">
        <v>371</v>
      </c>
      <c r="CY86">
        <v>242</v>
      </c>
      <c r="CZ86">
        <v>163</v>
      </c>
      <c r="DA86">
        <v>164</v>
      </c>
      <c r="DB86">
        <v>157</v>
      </c>
      <c r="DC86">
        <v>185</v>
      </c>
      <c r="DD86">
        <v>227</v>
      </c>
      <c r="DE86">
        <v>201</v>
      </c>
      <c r="DF86">
        <v>182</v>
      </c>
      <c r="DG86">
        <v>180</v>
      </c>
      <c r="DH86">
        <v>169</v>
      </c>
      <c r="DI86">
        <v>238</v>
      </c>
      <c r="DJ86">
        <v>244</v>
      </c>
      <c r="DK86">
        <v>210</v>
      </c>
      <c r="DL86">
        <v>158</v>
      </c>
      <c r="DM86">
        <v>170</v>
      </c>
      <c r="DN86">
        <v>164</v>
      </c>
      <c r="DO86">
        <v>116</v>
      </c>
      <c r="DP86">
        <v>139</v>
      </c>
      <c r="DQ86">
        <v>129</v>
      </c>
    </row>
    <row r="87" spans="2:121" x14ac:dyDescent="0.35">
      <c r="B87">
        <v>4</v>
      </c>
      <c r="C87">
        <v>18</v>
      </c>
      <c r="D87">
        <v>49</v>
      </c>
      <c r="E87">
        <v>169</v>
      </c>
      <c r="F87">
        <v>131</v>
      </c>
      <c r="G87">
        <v>26</v>
      </c>
      <c r="H87">
        <v>77</v>
      </c>
      <c r="I87">
        <v>163</v>
      </c>
      <c r="J87">
        <v>87</v>
      </c>
      <c r="K87">
        <v>12</v>
      </c>
      <c r="L87">
        <v>64</v>
      </c>
      <c r="M87">
        <v>122</v>
      </c>
      <c r="N87">
        <v>434</v>
      </c>
      <c r="O87">
        <v>417</v>
      </c>
      <c r="P87">
        <v>259</v>
      </c>
      <c r="Q87">
        <v>300</v>
      </c>
      <c r="R87">
        <v>1</v>
      </c>
      <c r="S87">
        <v>9</v>
      </c>
      <c r="T87">
        <v>116</v>
      </c>
      <c r="U87">
        <v>389</v>
      </c>
      <c r="V87">
        <v>299</v>
      </c>
      <c r="W87">
        <v>91</v>
      </c>
      <c r="X87">
        <v>34</v>
      </c>
      <c r="Y87">
        <v>82</v>
      </c>
      <c r="Z87">
        <v>138</v>
      </c>
      <c r="AA87">
        <v>208</v>
      </c>
      <c r="AB87">
        <v>361</v>
      </c>
      <c r="AC87">
        <v>179</v>
      </c>
      <c r="AD87">
        <v>43</v>
      </c>
      <c r="AE87">
        <v>70</v>
      </c>
      <c r="AF87">
        <v>208</v>
      </c>
      <c r="AG87">
        <v>261</v>
      </c>
      <c r="AH87">
        <v>328</v>
      </c>
      <c r="AI87">
        <v>297</v>
      </c>
      <c r="AJ87">
        <v>197</v>
      </c>
      <c r="AK87">
        <v>121</v>
      </c>
      <c r="AL87">
        <v>208</v>
      </c>
      <c r="AM87">
        <v>178</v>
      </c>
      <c r="AN87">
        <v>122</v>
      </c>
      <c r="AO87">
        <v>89</v>
      </c>
      <c r="AP87">
        <v>164</v>
      </c>
      <c r="AQ87">
        <v>172</v>
      </c>
      <c r="AR87">
        <v>378</v>
      </c>
      <c r="AS87">
        <v>383</v>
      </c>
      <c r="AT87">
        <v>252</v>
      </c>
      <c r="AU87">
        <v>151</v>
      </c>
      <c r="AV87">
        <v>221</v>
      </c>
      <c r="AW87">
        <v>271</v>
      </c>
      <c r="AX87">
        <v>276</v>
      </c>
      <c r="AY87">
        <v>449</v>
      </c>
      <c r="AZ87">
        <v>536</v>
      </c>
      <c r="BA87">
        <v>267</v>
      </c>
      <c r="BB87">
        <v>215</v>
      </c>
      <c r="BC87">
        <v>273</v>
      </c>
      <c r="BD87">
        <v>314</v>
      </c>
      <c r="BE87">
        <v>443</v>
      </c>
      <c r="BF87">
        <v>436</v>
      </c>
      <c r="BG87">
        <v>306</v>
      </c>
      <c r="BH87">
        <v>448</v>
      </c>
      <c r="BI87">
        <v>520</v>
      </c>
      <c r="BJ87">
        <v>452</v>
      </c>
      <c r="BK87">
        <v>609</v>
      </c>
      <c r="BL87">
        <v>443</v>
      </c>
      <c r="BM87">
        <v>321</v>
      </c>
      <c r="BN87">
        <v>369</v>
      </c>
      <c r="BO87">
        <v>606</v>
      </c>
      <c r="BP87">
        <v>843</v>
      </c>
      <c r="BQ87">
        <v>773</v>
      </c>
      <c r="BR87">
        <v>736</v>
      </c>
      <c r="BS87">
        <v>687</v>
      </c>
      <c r="BT87">
        <v>664</v>
      </c>
      <c r="BU87">
        <v>582</v>
      </c>
      <c r="BV87">
        <v>478</v>
      </c>
      <c r="BW87">
        <v>353</v>
      </c>
      <c r="BX87">
        <v>227</v>
      </c>
      <c r="BY87">
        <v>170</v>
      </c>
      <c r="BZ87">
        <v>161</v>
      </c>
      <c r="CA87">
        <v>149</v>
      </c>
      <c r="CB87">
        <v>148</v>
      </c>
      <c r="CC87">
        <v>186</v>
      </c>
      <c r="CD87">
        <v>298</v>
      </c>
      <c r="CE87">
        <v>262</v>
      </c>
      <c r="CF87">
        <v>206</v>
      </c>
      <c r="CG87">
        <v>179</v>
      </c>
      <c r="CH87">
        <v>158</v>
      </c>
      <c r="CI87">
        <v>168</v>
      </c>
      <c r="CJ87">
        <v>193</v>
      </c>
      <c r="CK87">
        <v>194</v>
      </c>
      <c r="CL87">
        <v>155</v>
      </c>
      <c r="CM87">
        <v>128</v>
      </c>
      <c r="CN87">
        <v>126</v>
      </c>
      <c r="CO87">
        <v>101</v>
      </c>
      <c r="CP87">
        <v>77</v>
      </c>
      <c r="CQ87">
        <v>100</v>
      </c>
      <c r="CR87">
        <v>108</v>
      </c>
      <c r="CS87">
        <v>72</v>
      </c>
      <c r="CT87">
        <v>31</v>
      </c>
      <c r="CU87">
        <v>3</v>
      </c>
      <c r="CV87">
        <v>2</v>
      </c>
      <c r="CW87">
        <v>2</v>
      </c>
      <c r="CX87">
        <v>1</v>
      </c>
      <c r="CY87">
        <v>0</v>
      </c>
      <c r="CZ87">
        <v>0</v>
      </c>
      <c r="DA87">
        <v>0</v>
      </c>
      <c r="DB87">
        <v>20</v>
      </c>
      <c r="DC87">
        <v>25</v>
      </c>
      <c r="DD87">
        <v>52</v>
      </c>
      <c r="DE87">
        <v>65</v>
      </c>
      <c r="DF87">
        <v>46</v>
      </c>
      <c r="DG87">
        <v>38</v>
      </c>
      <c r="DH87">
        <v>12</v>
      </c>
      <c r="DI87">
        <v>16</v>
      </c>
      <c r="DJ87">
        <v>25</v>
      </c>
      <c r="DK87">
        <v>3</v>
      </c>
      <c r="DL87">
        <v>3</v>
      </c>
      <c r="DM87">
        <v>4</v>
      </c>
      <c r="DN87">
        <v>0</v>
      </c>
      <c r="DO87">
        <v>0</v>
      </c>
      <c r="DP87">
        <v>2</v>
      </c>
      <c r="DQ87">
        <v>6</v>
      </c>
    </row>
    <row r="88" spans="2:121" x14ac:dyDescent="0.35">
      <c r="B88">
        <v>6</v>
      </c>
      <c r="C88">
        <v>0</v>
      </c>
      <c r="D88">
        <v>5</v>
      </c>
      <c r="E88">
        <v>18</v>
      </c>
      <c r="F88">
        <v>81</v>
      </c>
      <c r="G88">
        <v>224</v>
      </c>
      <c r="H88">
        <v>194</v>
      </c>
      <c r="I88">
        <v>30</v>
      </c>
      <c r="J88">
        <v>18</v>
      </c>
      <c r="K88">
        <v>87</v>
      </c>
      <c r="L88">
        <v>67</v>
      </c>
      <c r="M88">
        <v>254</v>
      </c>
      <c r="N88">
        <v>372</v>
      </c>
      <c r="O88">
        <v>124</v>
      </c>
      <c r="P88">
        <v>151</v>
      </c>
      <c r="Q88">
        <v>142</v>
      </c>
      <c r="R88">
        <v>435</v>
      </c>
      <c r="S88">
        <v>292</v>
      </c>
      <c r="T88">
        <v>164</v>
      </c>
      <c r="U88">
        <v>137</v>
      </c>
      <c r="V88">
        <v>288</v>
      </c>
      <c r="W88">
        <v>393</v>
      </c>
      <c r="X88">
        <v>262</v>
      </c>
      <c r="Y88">
        <v>163</v>
      </c>
      <c r="Z88">
        <v>156</v>
      </c>
      <c r="AA88">
        <v>39</v>
      </c>
      <c r="AB88">
        <v>93</v>
      </c>
      <c r="AC88">
        <v>201</v>
      </c>
      <c r="AD88">
        <v>318</v>
      </c>
      <c r="AE88">
        <v>270</v>
      </c>
      <c r="AF88">
        <v>421</v>
      </c>
      <c r="AG88">
        <v>244</v>
      </c>
      <c r="AH88">
        <v>66</v>
      </c>
      <c r="AI88">
        <v>75</v>
      </c>
      <c r="AJ88">
        <v>167</v>
      </c>
      <c r="AK88">
        <v>275</v>
      </c>
      <c r="AL88">
        <v>348</v>
      </c>
      <c r="AM88">
        <v>195</v>
      </c>
      <c r="AN88">
        <v>66</v>
      </c>
      <c r="AO88">
        <v>28</v>
      </c>
      <c r="AP88">
        <v>66</v>
      </c>
      <c r="AQ88">
        <v>111</v>
      </c>
      <c r="AR88">
        <v>190</v>
      </c>
      <c r="AS88">
        <v>189</v>
      </c>
      <c r="AT88">
        <v>111</v>
      </c>
      <c r="AU88">
        <v>125</v>
      </c>
      <c r="AV88">
        <v>210</v>
      </c>
      <c r="AW88">
        <v>145</v>
      </c>
      <c r="AX88">
        <v>110</v>
      </c>
      <c r="AY88">
        <v>84</v>
      </c>
      <c r="AZ88">
        <v>89</v>
      </c>
      <c r="BA88">
        <v>161</v>
      </c>
      <c r="BB88">
        <v>252</v>
      </c>
      <c r="BC88">
        <v>293</v>
      </c>
      <c r="BD88">
        <v>297</v>
      </c>
      <c r="BE88">
        <v>159</v>
      </c>
      <c r="BF88">
        <v>106</v>
      </c>
      <c r="BG88">
        <v>179</v>
      </c>
      <c r="BH88">
        <v>180</v>
      </c>
      <c r="BI88">
        <v>254</v>
      </c>
      <c r="BJ88">
        <v>442</v>
      </c>
      <c r="BK88">
        <v>290</v>
      </c>
      <c r="BL88">
        <v>165</v>
      </c>
      <c r="BM88">
        <v>168</v>
      </c>
      <c r="BN88">
        <v>218</v>
      </c>
      <c r="BO88">
        <v>437</v>
      </c>
      <c r="BP88">
        <v>436</v>
      </c>
      <c r="BQ88">
        <v>262</v>
      </c>
      <c r="BR88">
        <v>457</v>
      </c>
      <c r="BS88">
        <v>483</v>
      </c>
      <c r="BT88">
        <v>311</v>
      </c>
      <c r="BU88">
        <v>498</v>
      </c>
      <c r="BV88">
        <v>424</v>
      </c>
      <c r="BW88">
        <v>258</v>
      </c>
      <c r="BX88">
        <v>285</v>
      </c>
      <c r="BY88">
        <v>479</v>
      </c>
      <c r="BZ88">
        <v>749</v>
      </c>
      <c r="CA88">
        <v>643</v>
      </c>
      <c r="CB88">
        <v>599</v>
      </c>
      <c r="CC88">
        <v>682</v>
      </c>
      <c r="CD88">
        <v>712</v>
      </c>
      <c r="CE88">
        <v>596</v>
      </c>
      <c r="CF88">
        <v>451</v>
      </c>
      <c r="CG88">
        <v>393</v>
      </c>
      <c r="CH88">
        <v>410</v>
      </c>
      <c r="CI88">
        <v>372</v>
      </c>
      <c r="CJ88">
        <v>302</v>
      </c>
      <c r="CK88">
        <v>237</v>
      </c>
      <c r="CL88">
        <v>162</v>
      </c>
      <c r="CM88">
        <v>165</v>
      </c>
      <c r="CN88">
        <v>228</v>
      </c>
      <c r="CO88">
        <v>238</v>
      </c>
      <c r="CP88">
        <v>188</v>
      </c>
      <c r="CQ88">
        <v>175</v>
      </c>
      <c r="CR88">
        <v>155</v>
      </c>
      <c r="CS88">
        <v>120</v>
      </c>
      <c r="CT88">
        <v>133</v>
      </c>
      <c r="CU88">
        <v>125</v>
      </c>
      <c r="CV88">
        <v>129</v>
      </c>
      <c r="CW88">
        <v>142</v>
      </c>
      <c r="CX88">
        <v>126</v>
      </c>
      <c r="CY88">
        <v>92</v>
      </c>
      <c r="CZ88">
        <v>64</v>
      </c>
      <c r="DA88">
        <v>73</v>
      </c>
      <c r="DB88">
        <v>107</v>
      </c>
      <c r="DC88">
        <v>96</v>
      </c>
      <c r="DD88">
        <v>4</v>
      </c>
      <c r="DE88">
        <v>4</v>
      </c>
      <c r="DF88">
        <v>0</v>
      </c>
      <c r="DG88">
        <v>0</v>
      </c>
      <c r="DH88">
        <v>0</v>
      </c>
      <c r="DI88">
        <v>1</v>
      </c>
      <c r="DJ88">
        <v>0</v>
      </c>
      <c r="DK88">
        <v>2</v>
      </c>
      <c r="DL88">
        <v>26</v>
      </c>
      <c r="DM88">
        <v>50</v>
      </c>
      <c r="DN88">
        <v>77</v>
      </c>
      <c r="DO88">
        <v>71</v>
      </c>
      <c r="DP88">
        <v>63</v>
      </c>
      <c r="DQ88">
        <v>38</v>
      </c>
    </row>
    <row r="89" spans="2:121" x14ac:dyDescent="0.35">
      <c r="B89">
        <v>750</v>
      </c>
      <c r="C89">
        <v>728</v>
      </c>
      <c r="D89">
        <v>654</v>
      </c>
      <c r="E89">
        <v>693</v>
      </c>
      <c r="F89">
        <v>586</v>
      </c>
      <c r="G89">
        <v>642</v>
      </c>
      <c r="H89">
        <v>747</v>
      </c>
      <c r="I89">
        <v>733</v>
      </c>
      <c r="J89">
        <v>711</v>
      </c>
      <c r="K89">
        <v>788</v>
      </c>
      <c r="L89">
        <v>704</v>
      </c>
      <c r="M89">
        <v>740</v>
      </c>
      <c r="N89">
        <v>677</v>
      </c>
      <c r="O89">
        <v>618</v>
      </c>
      <c r="P89">
        <v>653</v>
      </c>
      <c r="Q89">
        <v>606</v>
      </c>
      <c r="R89">
        <v>681</v>
      </c>
      <c r="S89">
        <v>617</v>
      </c>
      <c r="T89">
        <v>624</v>
      </c>
      <c r="U89">
        <v>462</v>
      </c>
      <c r="V89">
        <v>607</v>
      </c>
      <c r="W89">
        <v>598</v>
      </c>
      <c r="X89">
        <v>395</v>
      </c>
      <c r="Y89">
        <v>526</v>
      </c>
      <c r="Z89">
        <v>521</v>
      </c>
      <c r="AA89">
        <v>242</v>
      </c>
      <c r="AB89">
        <v>389</v>
      </c>
      <c r="AC89">
        <v>429</v>
      </c>
      <c r="AD89">
        <v>247</v>
      </c>
      <c r="AE89">
        <v>325</v>
      </c>
      <c r="AF89">
        <v>319</v>
      </c>
      <c r="AG89">
        <v>289</v>
      </c>
      <c r="AH89">
        <v>129</v>
      </c>
      <c r="AI89">
        <v>111</v>
      </c>
      <c r="AJ89">
        <v>0</v>
      </c>
      <c r="AK89">
        <v>13</v>
      </c>
      <c r="AL89">
        <v>0</v>
      </c>
      <c r="AM89">
        <v>4</v>
      </c>
      <c r="AN89">
        <v>1</v>
      </c>
      <c r="AO89">
        <v>3</v>
      </c>
      <c r="AP89">
        <v>1</v>
      </c>
      <c r="AQ89">
        <v>4</v>
      </c>
      <c r="AR89">
        <v>4</v>
      </c>
      <c r="AS89">
        <v>20</v>
      </c>
      <c r="AT89">
        <v>22</v>
      </c>
      <c r="AU89">
        <v>24</v>
      </c>
      <c r="AV89">
        <v>46</v>
      </c>
      <c r="AW89">
        <v>137</v>
      </c>
      <c r="AX89">
        <v>34</v>
      </c>
      <c r="AY89">
        <v>118</v>
      </c>
      <c r="AZ89">
        <v>88</v>
      </c>
      <c r="BA89">
        <v>46</v>
      </c>
      <c r="BB89">
        <v>103</v>
      </c>
      <c r="BC89">
        <v>33</v>
      </c>
      <c r="BD89">
        <v>186</v>
      </c>
      <c r="BE89">
        <v>291</v>
      </c>
      <c r="BF89">
        <v>210</v>
      </c>
      <c r="BG89">
        <v>161</v>
      </c>
      <c r="BH89">
        <v>278</v>
      </c>
      <c r="BI89">
        <v>333</v>
      </c>
      <c r="BJ89">
        <v>560</v>
      </c>
      <c r="BK89">
        <v>699</v>
      </c>
      <c r="BL89">
        <v>592</v>
      </c>
      <c r="BM89">
        <v>620</v>
      </c>
      <c r="BN89">
        <v>501</v>
      </c>
      <c r="BO89">
        <v>670</v>
      </c>
      <c r="BP89">
        <v>610</v>
      </c>
      <c r="BQ89">
        <v>510</v>
      </c>
      <c r="BR89">
        <v>515</v>
      </c>
      <c r="BS89">
        <v>517</v>
      </c>
      <c r="BT89">
        <v>438</v>
      </c>
      <c r="BU89">
        <v>119</v>
      </c>
      <c r="BV89">
        <v>139</v>
      </c>
      <c r="BW89">
        <v>43</v>
      </c>
      <c r="BX89">
        <v>1</v>
      </c>
      <c r="BY89">
        <v>53</v>
      </c>
      <c r="BZ89">
        <v>27</v>
      </c>
      <c r="CA89">
        <v>39</v>
      </c>
      <c r="CB89">
        <v>48</v>
      </c>
      <c r="CC89">
        <v>286</v>
      </c>
      <c r="CD89">
        <v>261</v>
      </c>
      <c r="CE89">
        <v>175</v>
      </c>
      <c r="CF89">
        <v>309</v>
      </c>
      <c r="CG89">
        <v>183</v>
      </c>
      <c r="CH89">
        <v>25</v>
      </c>
      <c r="CI89">
        <v>59</v>
      </c>
      <c r="CJ89">
        <v>208</v>
      </c>
      <c r="CK89">
        <v>282</v>
      </c>
      <c r="CL89">
        <v>236</v>
      </c>
      <c r="CM89">
        <v>300</v>
      </c>
      <c r="CN89">
        <v>184</v>
      </c>
      <c r="CO89">
        <v>25</v>
      </c>
      <c r="CP89">
        <v>124</v>
      </c>
      <c r="CQ89">
        <v>337</v>
      </c>
      <c r="CR89">
        <v>304</v>
      </c>
      <c r="CS89">
        <v>186</v>
      </c>
      <c r="CT89">
        <v>129</v>
      </c>
      <c r="CU89">
        <v>367</v>
      </c>
      <c r="CV89">
        <v>387</v>
      </c>
      <c r="CW89">
        <v>413</v>
      </c>
      <c r="CX89">
        <v>309</v>
      </c>
      <c r="CY89">
        <v>218</v>
      </c>
      <c r="CZ89">
        <v>102</v>
      </c>
      <c r="DA89">
        <v>215</v>
      </c>
      <c r="DB89">
        <v>204</v>
      </c>
      <c r="DC89">
        <v>313</v>
      </c>
      <c r="DD89">
        <v>313</v>
      </c>
      <c r="DE89">
        <v>182</v>
      </c>
      <c r="DF89">
        <v>132</v>
      </c>
      <c r="DG89">
        <v>130</v>
      </c>
      <c r="DH89">
        <v>135</v>
      </c>
      <c r="DI89">
        <v>227</v>
      </c>
      <c r="DJ89">
        <v>357</v>
      </c>
      <c r="DK89">
        <v>233</v>
      </c>
      <c r="DL89">
        <v>191</v>
      </c>
      <c r="DM89">
        <v>143</v>
      </c>
      <c r="DN89">
        <v>305</v>
      </c>
      <c r="DO89">
        <v>515</v>
      </c>
      <c r="DP89">
        <v>417</v>
      </c>
      <c r="DQ89">
        <v>254</v>
      </c>
    </row>
    <row r="90" spans="2:121" x14ac:dyDescent="0.35">
      <c r="B90">
        <v>63</v>
      </c>
      <c r="C90">
        <v>130</v>
      </c>
      <c r="D90">
        <v>135</v>
      </c>
      <c r="E90">
        <v>90</v>
      </c>
      <c r="F90">
        <v>130</v>
      </c>
      <c r="G90">
        <v>189</v>
      </c>
      <c r="H90">
        <v>153</v>
      </c>
      <c r="I90">
        <v>112</v>
      </c>
      <c r="J90">
        <v>141</v>
      </c>
      <c r="K90">
        <v>141</v>
      </c>
      <c r="L90">
        <v>129</v>
      </c>
      <c r="M90">
        <v>61</v>
      </c>
      <c r="N90">
        <v>90</v>
      </c>
      <c r="O90">
        <v>76</v>
      </c>
      <c r="P90">
        <v>38</v>
      </c>
      <c r="Q90">
        <v>34</v>
      </c>
      <c r="R90">
        <v>90</v>
      </c>
      <c r="S90">
        <v>142</v>
      </c>
      <c r="T90">
        <v>55</v>
      </c>
      <c r="U90">
        <v>67</v>
      </c>
      <c r="V90">
        <v>39</v>
      </c>
      <c r="W90">
        <v>7</v>
      </c>
      <c r="X90">
        <v>3</v>
      </c>
      <c r="Y90">
        <v>83</v>
      </c>
      <c r="Z90">
        <v>25</v>
      </c>
      <c r="AA90">
        <v>16</v>
      </c>
      <c r="AB90">
        <v>62</v>
      </c>
      <c r="AC90">
        <v>93</v>
      </c>
      <c r="AD90">
        <v>181</v>
      </c>
      <c r="AE90">
        <v>210</v>
      </c>
      <c r="AF90">
        <v>364</v>
      </c>
      <c r="AG90">
        <v>481</v>
      </c>
      <c r="AH90">
        <v>534</v>
      </c>
      <c r="AI90">
        <v>549</v>
      </c>
      <c r="AJ90">
        <v>428</v>
      </c>
      <c r="AK90">
        <v>368</v>
      </c>
      <c r="AL90">
        <v>290</v>
      </c>
      <c r="AM90">
        <v>379</v>
      </c>
      <c r="AN90">
        <v>414</v>
      </c>
      <c r="AO90">
        <v>310</v>
      </c>
      <c r="AP90">
        <v>351</v>
      </c>
      <c r="AQ90">
        <v>547</v>
      </c>
      <c r="AR90">
        <v>821</v>
      </c>
      <c r="AS90">
        <v>810</v>
      </c>
      <c r="AT90">
        <v>632</v>
      </c>
      <c r="AU90">
        <v>352</v>
      </c>
      <c r="AV90">
        <v>299</v>
      </c>
      <c r="AW90">
        <v>505</v>
      </c>
      <c r="AX90">
        <v>536</v>
      </c>
      <c r="AY90">
        <v>562</v>
      </c>
      <c r="AZ90">
        <v>679</v>
      </c>
      <c r="BA90">
        <v>716</v>
      </c>
      <c r="BB90">
        <v>729</v>
      </c>
      <c r="BC90">
        <v>863</v>
      </c>
      <c r="BD90">
        <v>892</v>
      </c>
      <c r="BE90">
        <v>898</v>
      </c>
      <c r="BF90">
        <v>972</v>
      </c>
      <c r="BG90">
        <v>874</v>
      </c>
      <c r="BH90">
        <v>827</v>
      </c>
      <c r="BI90">
        <v>756</v>
      </c>
      <c r="BJ90">
        <v>947</v>
      </c>
      <c r="BK90">
        <v>773</v>
      </c>
      <c r="BL90">
        <v>530</v>
      </c>
      <c r="BM90">
        <v>576</v>
      </c>
      <c r="BN90">
        <v>537</v>
      </c>
      <c r="BO90">
        <v>702</v>
      </c>
      <c r="BP90">
        <v>876</v>
      </c>
      <c r="BQ90">
        <v>697</v>
      </c>
      <c r="BR90">
        <v>644</v>
      </c>
      <c r="BS90">
        <v>836</v>
      </c>
      <c r="BT90">
        <v>851</v>
      </c>
      <c r="BU90">
        <v>702</v>
      </c>
      <c r="BV90">
        <v>715</v>
      </c>
      <c r="BW90">
        <v>897</v>
      </c>
      <c r="BX90">
        <v>880</v>
      </c>
      <c r="BY90">
        <v>876</v>
      </c>
      <c r="BZ90">
        <v>908</v>
      </c>
      <c r="CA90">
        <v>853</v>
      </c>
      <c r="CB90">
        <v>836</v>
      </c>
      <c r="CC90">
        <v>791</v>
      </c>
      <c r="CD90">
        <v>836</v>
      </c>
      <c r="CE90">
        <v>801</v>
      </c>
      <c r="CF90">
        <v>729</v>
      </c>
      <c r="CG90">
        <v>752</v>
      </c>
      <c r="CH90">
        <v>684</v>
      </c>
      <c r="CI90">
        <v>541</v>
      </c>
      <c r="CJ90">
        <v>631</v>
      </c>
      <c r="CK90">
        <v>661</v>
      </c>
      <c r="CL90">
        <v>590</v>
      </c>
      <c r="CM90">
        <v>587</v>
      </c>
      <c r="CN90">
        <v>481</v>
      </c>
      <c r="CO90">
        <v>464</v>
      </c>
      <c r="CP90">
        <v>479</v>
      </c>
      <c r="CQ90">
        <v>358</v>
      </c>
      <c r="CR90">
        <v>98</v>
      </c>
      <c r="CS90">
        <v>165</v>
      </c>
      <c r="CT90">
        <v>18</v>
      </c>
      <c r="CU90">
        <v>38</v>
      </c>
      <c r="CV90">
        <v>153</v>
      </c>
      <c r="CW90">
        <v>222</v>
      </c>
      <c r="CX90">
        <v>81</v>
      </c>
      <c r="CY90">
        <v>159</v>
      </c>
      <c r="CZ90">
        <v>223</v>
      </c>
      <c r="DA90">
        <v>222</v>
      </c>
      <c r="DB90">
        <v>195</v>
      </c>
      <c r="DC90">
        <v>157</v>
      </c>
      <c r="DD90">
        <v>217</v>
      </c>
      <c r="DE90">
        <v>164</v>
      </c>
      <c r="DF90">
        <v>23</v>
      </c>
      <c r="DG90">
        <v>83</v>
      </c>
      <c r="DH90">
        <v>213</v>
      </c>
      <c r="DI90">
        <v>315</v>
      </c>
      <c r="DJ90">
        <v>309</v>
      </c>
      <c r="DK90">
        <v>253</v>
      </c>
      <c r="DL90">
        <v>344</v>
      </c>
      <c r="DM90">
        <v>222</v>
      </c>
      <c r="DN90">
        <v>413</v>
      </c>
      <c r="DO90">
        <v>371</v>
      </c>
      <c r="DP90">
        <v>307</v>
      </c>
      <c r="DQ90">
        <v>358</v>
      </c>
    </row>
    <row r="91" spans="2:121" x14ac:dyDescent="0.35">
      <c r="B91">
        <v>177</v>
      </c>
      <c r="C91">
        <v>156</v>
      </c>
      <c r="D91">
        <v>170</v>
      </c>
      <c r="E91">
        <v>146</v>
      </c>
      <c r="F91">
        <v>150</v>
      </c>
      <c r="G91">
        <v>151</v>
      </c>
      <c r="H91">
        <v>137</v>
      </c>
      <c r="I91">
        <v>127</v>
      </c>
      <c r="J91">
        <v>122</v>
      </c>
      <c r="K91">
        <v>118</v>
      </c>
      <c r="L91">
        <v>105</v>
      </c>
      <c r="M91">
        <v>94</v>
      </c>
      <c r="N91">
        <v>85</v>
      </c>
      <c r="O91">
        <v>76</v>
      </c>
      <c r="P91">
        <v>72</v>
      </c>
      <c r="Q91">
        <v>75</v>
      </c>
      <c r="R91">
        <v>100</v>
      </c>
      <c r="S91">
        <v>84</v>
      </c>
      <c r="T91">
        <v>73</v>
      </c>
      <c r="U91">
        <v>72</v>
      </c>
      <c r="V91">
        <v>68</v>
      </c>
      <c r="W91">
        <v>63</v>
      </c>
      <c r="X91">
        <v>62</v>
      </c>
      <c r="Y91">
        <v>55</v>
      </c>
      <c r="Z91">
        <v>50</v>
      </c>
      <c r="AA91">
        <v>49</v>
      </c>
      <c r="AB91">
        <v>45</v>
      </c>
      <c r="AC91">
        <v>39</v>
      </c>
      <c r="AD91">
        <v>36</v>
      </c>
      <c r="AE91">
        <v>34</v>
      </c>
      <c r="AF91">
        <v>30</v>
      </c>
      <c r="AG91">
        <v>27</v>
      </c>
      <c r="AH91">
        <v>20</v>
      </c>
      <c r="AI91">
        <v>20</v>
      </c>
      <c r="AJ91">
        <v>21</v>
      </c>
      <c r="AK91">
        <v>19</v>
      </c>
      <c r="AL91">
        <v>17</v>
      </c>
      <c r="AM91">
        <v>17</v>
      </c>
      <c r="AN91">
        <v>16</v>
      </c>
      <c r="AO91">
        <v>14</v>
      </c>
      <c r="AP91">
        <v>14</v>
      </c>
      <c r="AQ91">
        <v>14</v>
      </c>
      <c r="AR91">
        <v>13</v>
      </c>
      <c r="AS91">
        <v>9</v>
      </c>
      <c r="AT91">
        <v>9</v>
      </c>
      <c r="AU91">
        <v>7</v>
      </c>
      <c r="AV91">
        <v>5</v>
      </c>
      <c r="AW91">
        <v>7</v>
      </c>
      <c r="AX91">
        <v>4</v>
      </c>
      <c r="AY91">
        <v>3</v>
      </c>
      <c r="AZ91">
        <v>5</v>
      </c>
      <c r="BA91">
        <v>2</v>
      </c>
      <c r="BB91">
        <v>9</v>
      </c>
      <c r="BC91">
        <v>5</v>
      </c>
      <c r="BD91">
        <v>2</v>
      </c>
      <c r="BE91">
        <v>21</v>
      </c>
      <c r="BF91">
        <v>1</v>
      </c>
      <c r="BG91">
        <v>14</v>
      </c>
      <c r="BH91">
        <v>108</v>
      </c>
      <c r="BI91">
        <v>107</v>
      </c>
      <c r="BJ91">
        <v>193</v>
      </c>
      <c r="BK91">
        <v>333</v>
      </c>
      <c r="BL91">
        <v>308</v>
      </c>
      <c r="BM91">
        <v>155</v>
      </c>
      <c r="BN91">
        <v>92</v>
      </c>
      <c r="BO91">
        <v>188</v>
      </c>
      <c r="BP91">
        <v>102</v>
      </c>
      <c r="BQ91">
        <v>159</v>
      </c>
      <c r="BR91">
        <v>255</v>
      </c>
      <c r="BS91">
        <v>257</v>
      </c>
      <c r="BT91">
        <v>150</v>
      </c>
      <c r="BU91">
        <v>95</v>
      </c>
      <c r="BV91">
        <v>199</v>
      </c>
      <c r="BW91">
        <v>63</v>
      </c>
      <c r="BX91">
        <v>79</v>
      </c>
      <c r="BY91">
        <v>76</v>
      </c>
      <c r="BZ91">
        <v>121</v>
      </c>
      <c r="CA91">
        <v>125</v>
      </c>
      <c r="CB91">
        <v>108</v>
      </c>
      <c r="CC91">
        <v>191</v>
      </c>
      <c r="CD91">
        <v>235</v>
      </c>
      <c r="CE91">
        <v>184</v>
      </c>
      <c r="CF91">
        <v>184</v>
      </c>
      <c r="CG91">
        <v>125</v>
      </c>
      <c r="CH91">
        <v>130</v>
      </c>
      <c r="CI91">
        <v>176</v>
      </c>
      <c r="CJ91">
        <v>140</v>
      </c>
      <c r="CK91">
        <v>82</v>
      </c>
      <c r="CL91">
        <v>66</v>
      </c>
      <c r="CM91">
        <v>52</v>
      </c>
      <c r="CN91">
        <v>130</v>
      </c>
      <c r="CO91">
        <v>187</v>
      </c>
      <c r="CP91">
        <v>137</v>
      </c>
      <c r="CQ91">
        <v>57</v>
      </c>
      <c r="CR91">
        <v>44</v>
      </c>
      <c r="CS91">
        <v>27</v>
      </c>
      <c r="CT91">
        <v>24</v>
      </c>
      <c r="CU91">
        <v>39</v>
      </c>
      <c r="CV91">
        <v>138</v>
      </c>
      <c r="CW91">
        <v>96</v>
      </c>
      <c r="CX91">
        <v>138</v>
      </c>
      <c r="CY91">
        <v>235</v>
      </c>
      <c r="CZ91">
        <v>349</v>
      </c>
      <c r="DA91">
        <v>417</v>
      </c>
      <c r="DB91">
        <v>501</v>
      </c>
      <c r="DC91">
        <v>581</v>
      </c>
      <c r="DD91">
        <v>600</v>
      </c>
      <c r="DE91">
        <v>508</v>
      </c>
      <c r="DF91">
        <v>474</v>
      </c>
      <c r="DG91">
        <v>354</v>
      </c>
      <c r="DH91">
        <v>345</v>
      </c>
      <c r="DI91">
        <v>434</v>
      </c>
      <c r="DJ91">
        <v>560</v>
      </c>
      <c r="DK91">
        <v>634</v>
      </c>
      <c r="DL91">
        <v>565</v>
      </c>
      <c r="DM91">
        <v>533</v>
      </c>
      <c r="DN91">
        <v>560</v>
      </c>
      <c r="DO91">
        <v>703</v>
      </c>
      <c r="DP91">
        <v>911</v>
      </c>
      <c r="DQ91">
        <v>755</v>
      </c>
    </row>
    <row r="92" spans="2:121" x14ac:dyDescent="0.35">
      <c r="B92">
        <v>400</v>
      </c>
      <c r="C92">
        <v>336</v>
      </c>
      <c r="D92">
        <v>441</v>
      </c>
      <c r="E92">
        <v>408</v>
      </c>
      <c r="F92">
        <v>367</v>
      </c>
      <c r="G92">
        <v>496</v>
      </c>
      <c r="H92">
        <v>520</v>
      </c>
      <c r="I92">
        <v>495</v>
      </c>
      <c r="J92">
        <v>478</v>
      </c>
      <c r="K92">
        <v>446</v>
      </c>
      <c r="L92">
        <v>370</v>
      </c>
      <c r="M92">
        <v>409</v>
      </c>
      <c r="N92">
        <v>420</v>
      </c>
      <c r="O92">
        <v>332</v>
      </c>
      <c r="P92">
        <v>384</v>
      </c>
      <c r="Q92">
        <v>375</v>
      </c>
      <c r="R92">
        <v>369</v>
      </c>
      <c r="S92">
        <v>324</v>
      </c>
      <c r="T92">
        <v>267</v>
      </c>
      <c r="U92">
        <v>216</v>
      </c>
      <c r="V92">
        <v>176</v>
      </c>
      <c r="W92">
        <v>178</v>
      </c>
      <c r="X92">
        <v>210</v>
      </c>
      <c r="Y92">
        <v>161</v>
      </c>
      <c r="Z92">
        <v>136</v>
      </c>
      <c r="AA92">
        <v>158</v>
      </c>
      <c r="AB92">
        <v>161</v>
      </c>
      <c r="AC92">
        <v>129</v>
      </c>
      <c r="AD92">
        <v>139</v>
      </c>
      <c r="AE92">
        <v>130</v>
      </c>
      <c r="AF92">
        <v>129</v>
      </c>
      <c r="AG92">
        <v>148</v>
      </c>
      <c r="AH92">
        <v>106</v>
      </c>
      <c r="AI92">
        <v>87</v>
      </c>
      <c r="AJ92">
        <v>85</v>
      </c>
      <c r="AK92">
        <v>87</v>
      </c>
      <c r="AL92">
        <v>99</v>
      </c>
      <c r="AM92">
        <v>97</v>
      </c>
      <c r="AN92">
        <v>94</v>
      </c>
      <c r="AO92">
        <v>98</v>
      </c>
      <c r="AP92">
        <v>106</v>
      </c>
      <c r="AQ92">
        <v>109</v>
      </c>
      <c r="AR92">
        <v>100</v>
      </c>
      <c r="AS92">
        <v>93</v>
      </c>
      <c r="AT92">
        <v>91</v>
      </c>
      <c r="AU92">
        <v>102</v>
      </c>
      <c r="AV92">
        <v>109</v>
      </c>
      <c r="AW92">
        <v>89</v>
      </c>
      <c r="AX92">
        <v>97</v>
      </c>
      <c r="AY92">
        <v>92</v>
      </c>
      <c r="AZ92">
        <v>106</v>
      </c>
      <c r="BA92">
        <v>110</v>
      </c>
      <c r="BB92">
        <v>104</v>
      </c>
      <c r="BC92">
        <v>113</v>
      </c>
      <c r="BD92">
        <v>123</v>
      </c>
      <c r="BE92">
        <v>107</v>
      </c>
      <c r="BF92">
        <v>111</v>
      </c>
      <c r="BG92">
        <v>141</v>
      </c>
      <c r="BH92">
        <v>142</v>
      </c>
      <c r="BI92">
        <v>137</v>
      </c>
      <c r="BJ92">
        <v>123</v>
      </c>
      <c r="BK92">
        <v>122</v>
      </c>
      <c r="BL92">
        <v>150</v>
      </c>
      <c r="BM92">
        <v>203</v>
      </c>
      <c r="BN92">
        <v>220</v>
      </c>
      <c r="BO92">
        <v>223</v>
      </c>
      <c r="BP92">
        <v>215</v>
      </c>
      <c r="BQ92">
        <v>212</v>
      </c>
      <c r="BR92">
        <v>218</v>
      </c>
      <c r="BS92">
        <v>206</v>
      </c>
      <c r="BT92">
        <v>218</v>
      </c>
      <c r="BU92">
        <v>221</v>
      </c>
      <c r="BV92">
        <v>203</v>
      </c>
      <c r="BW92">
        <v>174</v>
      </c>
      <c r="BX92">
        <v>152</v>
      </c>
      <c r="BY92">
        <v>167</v>
      </c>
      <c r="BZ92">
        <v>166</v>
      </c>
      <c r="CA92">
        <v>165</v>
      </c>
      <c r="CB92">
        <v>146</v>
      </c>
      <c r="CC92">
        <v>170</v>
      </c>
      <c r="CD92">
        <v>136</v>
      </c>
      <c r="CE92">
        <v>140</v>
      </c>
      <c r="CF92">
        <v>136</v>
      </c>
      <c r="CG92">
        <v>123</v>
      </c>
      <c r="CH92">
        <v>112</v>
      </c>
      <c r="CI92">
        <v>102</v>
      </c>
      <c r="CJ92">
        <v>99</v>
      </c>
      <c r="CK92">
        <v>95</v>
      </c>
      <c r="CL92">
        <v>87</v>
      </c>
      <c r="CM92">
        <v>79</v>
      </c>
      <c r="CN92">
        <v>71</v>
      </c>
      <c r="CO92">
        <v>67</v>
      </c>
      <c r="CP92">
        <v>70</v>
      </c>
      <c r="CQ92">
        <v>82</v>
      </c>
      <c r="CR92">
        <v>76</v>
      </c>
      <c r="CS92">
        <v>72</v>
      </c>
      <c r="CT92">
        <v>67</v>
      </c>
      <c r="CU92">
        <v>65</v>
      </c>
      <c r="CV92">
        <v>60</v>
      </c>
      <c r="CW92">
        <v>57</v>
      </c>
      <c r="CX92">
        <v>52</v>
      </c>
      <c r="CY92">
        <v>48</v>
      </c>
      <c r="CZ92">
        <v>44</v>
      </c>
      <c r="DA92">
        <v>39</v>
      </c>
      <c r="DB92">
        <v>35</v>
      </c>
      <c r="DC92">
        <v>33</v>
      </c>
      <c r="DD92">
        <v>30</v>
      </c>
      <c r="DE92">
        <v>29</v>
      </c>
      <c r="DF92">
        <v>24</v>
      </c>
      <c r="DG92">
        <v>23</v>
      </c>
      <c r="DH92">
        <v>23</v>
      </c>
      <c r="DI92">
        <v>20</v>
      </c>
      <c r="DJ92">
        <v>19</v>
      </c>
      <c r="DK92">
        <v>18</v>
      </c>
      <c r="DL92">
        <v>18</v>
      </c>
      <c r="DM92">
        <v>19</v>
      </c>
      <c r="DN92">
        <v>19</v>
      </c>
      <c r="DO92">
        <v>16</v>
      </c>
      <c r="DP92">
        <v>13</v>
      </c>
      <c r="DQ92">
        <v>12</v>
      </c>
    </row>
    <row r="93" spans="2:121" x14ac:dyDescent="0.35">
      <c r="B93">
        <v>876</v>
      </c>
      <c r="C93">
        <v>765</v>
      </c>
      <c r="D93">
        <v>637</v>
      </c>
      <c r="E93">
        <v>760</v>
      </c>
      <c r="F93">
        <v>622</v>
      </c>
      <c r="G93">
        <v>550</v>
      </c>
      <c r="H93">
        <v>527</v>
      </c>
      <c r="I93">
        <v>538</v>
      </c>
      <c r="J93">
        <v>544</v>
      </c>
      <c r="K93">
        <v>628</v>
      </c>
      <c r="L93">
        <v>713</v>
      </c>
      <c r="M93">
        <v>655</v>
      </c>
      <c r="N93">
        <v>595</v>
      </c>
      <c r="O93">
        <v>644</v>
      </c>
      <c r="P93">
        <v>527</v>
      </c>
      <c r="Q93">
        <v>599</v>
      </c>
      <c r="R93">
        <v>703</v>
      </c>
      <c r="S93">
        <v>700</v>
      </c>
      <c r="T93">
        <v>760</v>
      </c>
      <c r="U93">
        <v>864</v>
      </c>
      <c r="V93">
        <v>849</v>
      </c>
      <c r="W93">
        <v>731</v>
      </c>
      <c r="X93">
        <v>570</v>
      </c>
      <c r="Y93">
        <v>614</v>
      </c>
      <c r="Z93">
        <v>588</v>
      </c>
      <c r="AA93">
        <v>579</v>
      </c>
      <c r="AB93">
        <v>561</v>
      </c>
      <c r="AC93">
        <v>482</v>
      </c>
      <c r="AD93">
        <v>460</v>
      </c>
      <c r="AE93">
        <v>478</v>
      </c>
      <c r="AF93">
        <v>507</v>
      </c>
      <c r="AG93">
        <v>545</v>
      </c>
      <c r="AH93">
        <v>589</v>
      </c>
      <c r="AI93">
        <v>640</v>
      </c>
      <c r="AJ93">
        <v>698</v>
      </c>
      <c r="AK93">
        <v>816</v>
      </c>
      <c r="AL93">
        <v>873</v>
      </c>
      <c r="AM93">
        <v>899</v>
      </c>
      <c r="AN93">
        <v>926</v>
      </c>
      <c r="AO93">
        <v>903</v>
      </c>
      <c r="AP93">
        <v>752</v>
      </c>
      <c r="AQ93">
        <v>660</v>
      </c>
      <c r="AR93">
        <v>506</v>
      </c>
      <c r="AS93">
        <v>471</v>
      </c>
      <c r="AT93">
        <v>431</v>
      </c>
      <c r="AU93">
        <v>422</v>
      </c>
      <c r="AV93">
        <v>428</v>
      </c>
      <c r="AW93">
        <v>410</v>
      </c>
      <c r="AX93">
        <v>390</v>
      </c>
      <c r="AY93">
        <v>324</v>
      </c>
      <c r="AZ93">
        <v>278</v>
      </c>
      <c r="BA93">
        <v>442</v>
      </c>
      <c r="BB93">
        <v>445</v>
      </c>
      <c r="BC93">
        <v>377</v>
      </c>
      <c r="BD93">
        <v>572</v>
      </c>
      <c r="BE93">
        <v>488</v>
      </c>
      <c r="BF93">
        <v>567</v>
      </c>
      <c r="BG93">
        <v>450</v>
      </c>
      <c r="BH93">
        <v>530</v>
      </c>
      <c r="BI93">
        <v>606</v>
      </c>
      <c r="BJ93">
        <v>680</v>
      </c>
      <c r="BK93">
        <v>664</v>
      </c>
      <c r="BL93">
        <v>545</v>
      </c>
      <c r="BM93">
        <v>571</v>
      </c>
      <c r="BN93">
        <v>528</v>
      </c>
      <c r="BO93">
        <v>502</v>
      </c>
      <c r="BP93">
        <v>537</v>
      </c>
      <c r="BQ93">
        <v>577</v>
      </c>
      <c r="BR93">
        <v>467</v>
      </c>
      <c r="BS93">
        <v>384</v>
      </c>
      <c r="BT93">
        <v>359</v>
      </c>
      <c r="BU93">
        <v>346</v>
      </c>
      <c r="BV93">
        <v>369</v>
      </c>
      <c r="BW93">
        <v>420</v>
      </c>
      <c r="BX93">
        <v>467</v>
      </c>
      <c r="BY93">
        <v>517</v>
      </c>
      <c r="BZ93">
        <v>497</v>
      </c>
      <c r="CA93">
        <v>424</v>
      </c>
      <c r="CB93">
        <v>390</v>
      </c>
      <c r="CC93">
        <v>453</v>
      </c>
      <c r="CD93">
        <v>383</v>
      </c>
      <c r="CE93">
        <v>410</v>
      </c>
      <c r="CF93">
        <v>463</v>
      </c>
      <c r="CG93">
        <v>442</v>
      </c>
      <c r="CH93">
        <v>429</v>
      </c>
      <c r="CI93">
        <v>407</v>
      </c>
      <c r="CJ93">
        <v>392</v>
      </c>
      <c r="CK93">
        <v>390</v>
      </c>
      <c r="CL93">
        <v>415</v>
      </c>
      <c r="CM93">
        <v>385</v>
      </c>
      <c r="CN93">
        <v>420</v>
      </c>
      <c r="CO93">
        <v>474</v>
      </c>
      <c r="CP93">
        <v>432</v>
      </c>
      <c r="CQ93">
        <v>429</v>
      </c>
      <c r="CR93">
        <v>411</v>
      </c>
      <c r="CS93">
        <v>308</v>
      </c>
      <c r="CT93">
        <v>262</v>
      </c>
      <c r="CU93">
        <v>250</v>
      </c>
      <c r="CV93">
        <v>245</v>
      </c>
      <c r="CW93">
        <v>166</v>
      </c>
      <c r="CX93">
        <v>152</v>
      </c>
      <c r="CY93">
        <v>145</v>
      </c>
      <c r="CZ93">
        <v>233</v>
      </c>
      <c r="DA93">
        <v>238</v>
      </c>
      <c r="DB93">
        <v>192</v>
      </c>
      <c r="DC93">
        <v>253</v>
      </c>
      <c r="DD93">
        <v>204</v>
      </c>
      <c r="DE93">
        <v>174</v>
      </c>
      <c r="DF93">
        <v>141</v>
      </c>
      <c r="DG93">
        <v>113</v>
      </c>
      <c r="DH93">
        <v>98</v>
      </c>
      <c r="DI93">
        <v>93</v>
      </c>
      <c r="DJ93">
        <v>101</v>
      </c>
      <c r="DK93">
        <v>119</v>
      </c>
      <c r="DL93">
        <v>114</v>
      </c>
      <c r="DM93">
        <v>110</v>
      </c>
      <c r="DN93">
        <v>107</v>
      </c>
      <c r="DO93">
        <v>124</v>
      </c>
      <c r="DP93">
        <v>119</v>
      </c>
      <c r="DQ93">
        <v>103</v>
      </c>
    </row>
    <row r="94" spans="2:121" x14ac:dyDescent="0.35">
      <c r="B94">
        <v>429</v>
      </c>
      <c r="C94">
        <v>423</v>
      </c>
      <c r="D94">
        <v>390</v>
      </c>
      <c r="E94">
        <v>364</v>
      </c>
      <c r="F94">
        <v>399</v>
      </c>
      <c r="G94">
        <v>404</v>
      </c>
      <c r="H94">
        <v>426</v>
      </c>
      <c r="I94">
        <v>465</v>
      </c>
      <c r="J94">
        <v>513</v>
      </c>
      <c r="K94">
        <v>591</v>
      </c>
      <c r="L94">
        <v>615</v>
      </c>
      <c r="M94">
        <v>658</v>
      </c>
      <c r="N94">
        <v>738</v>
      </c>
      <c r="O94">
        <v>766</v>
      </c>
      <c r="P94">
        <v>793</v>
      </c>
      <c r="Q94">
        <v>849</v>
      </c>
      <c r="R94">
        <v>842</v>
      </c>
      <c r="S94">
        <v>880</v>
      </c>
      <c r="T94">
        <v>794</v>
      </c>
      <c r="U94">
        <v>791</v>
      </c>
      <c r="V94">
        <v>755</v>
      </c>
      <c r="W94">
        <v>741</v>
      </c>
      <c r="X94">
        <v>675</v>
      </c>
      <c r="Y94">
        <v>647</v>
      </c>
      <c r="Z94">
        <v>617</v>
      </c>
      <c r="AA94">
        <v>625</v>
      </c>
      <c r="AB94">
        <v>616</v>
      </c>
      <c r="AC94">
        <v>594</v>
      </c>
      <c r="AD94">
        <v>589</v>
      </c>
      <c r="AE94">
        <v>594</v>
      </c>
      <c r="AF94">
        <v>559</v>
      </c>
      <c r="AG94">
        <v>539</v>
      </c>
      <c r="AH94">
        <v>530</v>
      </c>
      <c r="AI94">
        <v>521</v>
      </c>
      <c r="AJ94">
        <v>538</v>
      </c>
      <c r="AK94">
        <v>522</v>
      </c>
      <c r="AL94">
        <v>490</v>
      </c>
      <c r="AM94">
        <v>510</v>
      </c>
      <c r="AN94">
        <v>490</v>
      </c>
      <c r="AO94">
        <v>494</v>
      </c>
      <c r="AP94">
        <v>510</v>
      </c>
      <c r="AQ94">
        <v>524</v>
      </c>
      <c r="AR94">
        <v>525</v>
      </c>
      <c r="AS94">
        <v>530</v>
      </c>
      <c r="AT94">
        <v>611</v>
      </c>
      <c r="AU94">
        <v>546</v>
      </c>
      <c r="AV94">
        <v>565</v>
      </c>
      <c r="AW94">
        <v>582</v>
      </c>
      <c r="AX94">
        <v>598</v>
      </c>
      <c r="AY94">
        <v>737</v>
      </c>
      <c r="AZ94">
        <v>755</v>
      </c>
      <c r="BA94">
        <v>645</v>
      </c>
      <c r="BB94">
        <v>625</v>
      </c>
      <c r="BC94">
        <v>637</v>
      </c>
      <c r="BD94">
        <v>733</v>
      </c>
      <c r="BE94">
        <v>740</v>
      </c>
      <c r="BF94">
        <v>736</v>
      </c>
      <c r="BG94">
        <v>717</v>
      </c>
      <c r="BH94">
        <v>732</v>
      </c>
      <c r="BI94">
        <v>667</v>
      </c>
      <c r="BJ94">
        <v>724</v>
      </c>
      <c r="BK94">
        <v>750</v>
      </c>
      <c r="BL94">
        <v>730</v>
      </c>
      <c r="BM94">
        <v>723</v>
      </c>
      <c r="BN94">
        <v>741</v>
      </c>
      <c r="BO94">
        <v>831</v>
      </c>
      <c r="BP94">
        <v>909</v>
      </c>
      <c r="BQ94">
        <v>841</v>
      </c>
      <c r="BR94">
        <v>934</v>
      </c>
      <c r="BS94">
        <v>915</v>
      </c>
      <c r="BT94">
        <v>824</v>
      </c>
      <c r="BU94">
        <v>705</v>
      </c>
      <c r="BV94">
        <v>618</v>
      </c>
      <c r="BW94">
        <v>662</v>
      </c>
      <c r="BX94">
        <v>783</v>
      </c>
      <c r="BY94">
        <v>919</v>
      </c>
      <c r="BZ94">
        <v>779</v>
      </c>
      <c r="CA94">
        <v>679</v>
      </c>
      <c r="CB94">
        <v>647</v>
      </c>
      <c r="CC94">
        <v>613</v>
      </c>
      <c r="CD94">
        <v>570</v>
      </c>
      <c r="CE94">
        <v>651</v>
      </c>
      <c r="CF94">
        <v>580</v>
      </c>
      <c r="CG94">
        <v>475</v>
      </c>
      <c r="CH94">
        <v>582</v>
      </c>
      <c r="CI94">
        <v>658</v>
      </c>
      <c r="CJ94">
        <v>714</v>
      </c>
      <c r="CK94">
        <v>619</v>
      </c>
      <c r="CL94">
        <v>472</v>
      </c>
      <c r="CM94">
        <v>496</v>
      </c>
      <c r="CN94">
        <v>527</v>
      </c>
      <c r="CO94">
        <v>613</v>
      </c>
      <c r="CP94">
        <v>610</v>
      </c>
      <c r="CQ94">
        <v>673</v>
      </c>
      <c r="CR94">
        <v>695</v>
      </c>
      <c r="CS94">
        <v>684</v>
      </c>
      <c r="CT94">
        <v>678</v>
      </c>
      <c r="CU94">
        <v>516</v>
      </c>
      <c r="CV94">
        <v>463</v>
      </c>
      <c r="CW94">
        <v>479</v>
      </c>
      <c r="CX94">
        <v>475</v>
      </c>
      <c r="CY94">
        <v>454</v>
      </c>
      <c r="CZ94">
        <v>446</v>
      </c>
      <c r="DA94">
        <v>467</v>
      </c>
      <c r="DB94">
        <v>505</v>
      </c>
      <c r="DC94">
        <v>548</v>
      </c>
      <c r="DD94">
        <v>635</v>
      </c>
      <c r="DE94">
        <v>747</v>
      </c>
      <c r="DF94">
        <v>773</v>
      </c>
      <c r="DG94">
        <v>760</v>
      </c>
      <c r="DH94">
        <v>805</v>
      </c>
      <c r="DI94">
        <v>927</v>
      </c>
      <c r="DJ94">
        <v>961</v>
      </c>
      <c r="DK94">
        <v>968</v>
      </c>
      <c r="DL94">
        <v>884</v>
      </c>
      <c r="DM94">
        <v>752</v>
      </c>
      <c r="DN94">
        <v>624</v>
      </c>
      <c r="DO94">
        <v>537</v>
      </c>
      <c r="DP94">
        <v>566</v>
      </c>
      <c r="DQ94">
        <v>604</v>
      </c>
    </row>
    <row r="95" spans="2:121" x14ac:dyDescent="0.35">
      <c r="B95">
        <v>45</v>
      </c>
      <c r="C95">
        <v>48</v>
      </c>
      <c r="D95">
        <v>54</v>
      </c>
      <c r="E95">
        <v>61</v>
      </c>
      <c r="F95">
        <v>65</v>
      </c>
      <c r="G95">
        <v>69</v>
      </c>
      <c r="H95">
        <v>73</v>
      </c>
      <c r="I95">
        <v>78</v>
      </c>
      <c r="J95">
        <v>76</v>
      </c>
      <c r="K95">
        <v>70</v>
      </c>
      <c r="L95">
        <v>73</v>
      </c>
      <c r="M95">
        <v>67</v>
      </c>
      <c r="N95">
        <v>65</v>
      </c>
      <c r="O95">
        <v>72</v>
      </c>
      <c r="P95">
        <v>68</v>
      </c>
      <c r="Q95">
        <v>66</v>
      </c>
      <c r="R95">
        <v>68</v>
      </c>
      <c r="S95">
        <v>83</v>
      </c>
      <c r="T95">
        <v>88</v>
      </c>
      <c r="U95">
        <v>83</v>
      </c>
      <c r="V95">
        <v>75</v>
      </c>
      <c r="W95">
        <v>82</v>
      </c>
      <c r="X95">
        <v>92</v>
      </c>
      <c r="Y95">
        <v>87</v>
      </c>
      <c r="Z95">
        <v>81</v>
      </c>
      <c r="AA95">
        <v>73</v>
      </c>
      <c r="AB95">
        <v>73</v>
      </c>
      <c r="AC95">
        <v>79</v>
      </c>
      <c r="AD95">
        <v>85</v>
      </c>
      <c r="AE95">
        <v>112</v>
      </c>
      <c r="AF95">
        <v>113</v>
      </c>
      <c r="AG95">
        <v>120</v>
      </c>
      <c r="AH95">
        <v>137</v>
      </c>
      <c r="AI95">
        <v>123</v>
      </c>
      <c r="AJ95">
        <v>115</v>
      </c>
      <c r="AK95">
        <v>121</v>
      </c>
      <c r="AL95">
        <v>117</v>
      </c>
      <c r="AM95">
        <v>116</v>
      </c>
      <c r="AN95">
        <v>114</v>
      </c>
      <c r="AO95">
        <v>120</v>
      </c>
      <c r="AP95">
        <v>132</v>
      </c>
      <c r="AQ95">
        <v>138</v>
      </c>
      <c r="AR95">
        <v>152</v>
      </c>
      <c r="AS95">
        <v>166</v>
      </c>
      <c r="AT95">
        <v>182</v>
      </c>
      <c r="AU95">
        <v>193</v>
      </c>
      <c r="AV95">
        <v>190</v>
      </c>
      <c r="AW95">
        <v>162</v>
      </c>
      <c r="AX95">
        <v>161</v>
      </c>
      <c r="AY95">
        <v>187</v>
      </c>
      <c r="AZ95">
        <v>226</v>
      </c>
      <c r="BA95">
        <v>273</v>
      </c>
      <c r="BB95">
        <v>328</v>
      </c>
      <c r="BC95">
        <v>212</v>
      </c>
      <c r="BD95">
        <v>215</v>
      </c>
      <c r="BE95">
        <v>194</v>
      </c>
      <c r="BF95">
        <v>192</v>
      </c>
      <c r="BG95">
        <v>196</v>
      </c>
      <c r="BH95">
        <v>201</v>
      </c>
      <c r="BI95">
        <v>209</v>
      </c>
      <c r="BJ95">
        <v>251</v>
      </c>
      <c r="BK95">
        <v>244</v>
      </c>
      <c r="BL95">
        <v>224</v>
      </c>
      <c r="BM95">
        <v>229</v>
      </c>
      <c r="BN95">
        <v>253</v>
      </c>
      <c r="BO95">
        <v>290</v>
      </c>
      <c r="BP95">
        <v>298</v>
      </c>
      <c r="BQ95">
        <v>309</v>
      </c>
      <c r="BR95">
        <v>317</v>
      </c>
      <c r="BS95">
        <v>323</v>
      </c>
      <c r="BT95">
        <v>320</v>
      </c>
      <c r="BU95">
        <v>340</v>
      </c>
      <c r="BV95">
        <v>359</v>
      </c>
      <c r="BW95">
        <v>373</v>
      </c>
      <c r="BX95">
        <v>383</v>
      </c>
      <c r="BY95">
        <v>355</v>
      </c>
      <c r="BZ95">
        <v>361</v>
      </c>
      <c r="CA95">
        <v>342</v>
      </c>
      <c r="CB95">
        <v>361</v>
      </c>
      <c r="CC95">
        <v>392</v>
      </c>
      <c r="CD95">
        <v>439</v>
      </c>
      <c r="CE95">
        <v>419</v>
      </c>
      <c r="CF95">
        <v>387</v>
      </c>
      <c r="CG95">
        <v>379</v>
      </c>
      <c r="CH95">
        <v>422</v>
      </c>
      <c r="CI95">
        <v>425</v>
      </c>
      <c r="CJ95">
        <v>465</v>
      </c>
      <c r="CK95">
        <v>554</v>
      </c>
      <c r="CL95">
        <v>671</v>
      </c>
      <c r="CM95">
        <v>652</v>
      </c>
      <c r="CN95">
        <v>754</v>
      </c>
      <c r="CO95">
        <v>754</v>
      </c>
      <c r="CP95">
        <v>822</v>
      </c>
      <c r="CQ95">
        <v>903</v>
      </c>
      <c r="CR95">
        <v>888</v>
      </c>
      <c r="CS95">
        <v>916</v>
      </c>
      <c r="CT95">
        <v>931</v>
      </c>
      <c r="CU95">
        <v>850</v>
      </c>
      <c r="CV95">
        <v>739</v>
      </c>
      <c r="CW95">
        <v>733</v>
      </c>
      <c r="CX95">
        <v>769</v>
      </c>
      <c r="CY95">
        <v>694</v>
      </c>
      <c r="CZ95">
        <v>673</v>
      </c>
      <c r="DA95">
        <v>633</v>
      </c>
      <c r="DB95">
        <v>635</v>
      </c>
      <c r="DC95">
        <v>615</v>
      </c>
      <c r="DD95">
        <v>590</v>
      </c>
      <c r="DE95">
        <v>582</v>
      </c>
      <c r="DF95">
        <v>569</v>
      </c>
      <c r="DG95">
        <v>567</v>
      </c>
      <c r="DH95">
        <v>544</v>
      </c>
      <c r="DI95">
        <v>544</v>
      </c>
      <c r="DJ95">
        <v>544</v>
      </c>
      <c r="DK95">
        <v>531</v>
      </c>
      <c r="DL95">
        <v>517</v>
      </c>
      <c r="DM95">
        <v>518</v>
      </c>
      <c r="DN95">
        <v>495</v>
      </c>
      <c r="DO95">
        <v>513</v>
      </c>
      <c r="DP95">
        <v>520</v>
      </c>
      <c r="DQ95">
        <v>511</v>
      </c>
    </row>
    <row r="96" spans="2:121" x14ac:dyDescent="0.35">
      <c r="B96">
        <v>116</v>
      </c>
      <c r="C96">
        <v>126</v>
      </c>
      <c r="D96">
        <v>132</v>
      </c>
      <c r="E96">
        <v>123</v>
      </c>
      <c r="F96">
        <v>118</v>
      </c>
      <c r="G96">
        <v>109</v>
      </c>
      <c r="H96">
        <v>106</v>
      </c>
      <c r="I96">
        <v>102</v>
      </c>
      <c r="J96">
        <v>108</v>
      </c>
      <c r="K96">
        <v>107</v>
      </c>
      <c r="L96">
        <v>100</v>
      </c>
      <c r="M96">
        <v>98</v>
      </c>
      <c r="N96">
        <v>104</v>
      </c>
      <c r="O96">
        <v>99</v>
      </c>
      <c r="P96">
        <v>93</v>
      </c>
      <c r="Q96">
        <v>92</v>
      </c>
      <c r="R96">
        <v>94</v>
      </c>
      <c r="S96">
        <v>91</v>
      </c>
      <c r="T96">
        <v>97</v>
      </c>
      <c r="U96">
        <v>103</v>
      </c>
      <c r="V96">
        <v>107</v>
      </c>
      <c r="W96">
        <v>113</v>
      </c>
      <c r="X96">
        <v>109</v>
      </c>
      <c r="Y96">
        <v>106</v>
      </c>
      <c r="Z96">
        <v>102</v>
      </c>
      <c r="AA96">
        <v>95</v>
      </c>
      <c r="AB96">
        <v>94</v>
      </c>
      <c r="AC96">
        <v>99</v>
      </c>
      <c r="AD96">
        <v>105</v>
      </c>
      <c r="AE96">
        <v>115</v>
      </c>
      <c r="AF96">
        <v>117</v>
      </c>
      <c r="AG96">
        <v>116</v>
      </c>
      <c r="AH96">
        <v>104</v>
      </c>
      <c r="AI96">
        <v>91</v>
      </c>
      <c r="AJ96">
        <v>83</v>
      </c>
      <c r="AK96">
        <v>74</v>
      </c>
      <c r="AL96">
        <v>70</v>
      </c>
      <c r="AM96">
        <v>70</v>
      </c>
      <c r="AN96">
        <v>73</v>
      </c>
      <c r="AO96">
        <v>76</v>
      </c>
      <c r="AP96">
        <v>78</v>
      </c>
      <c r="AQ96">
        <v>69</v>
      </c>
      <c r="AR96">
        <v>65</v>
      </c>
      <c r="AS96">
        <v>68</v>
      </c>
      <c r="AT96">
        <v>73</v>
      </c>
      <c r="AU96">
        <v>76</v>
      </c>
      <c r="AV96">
        <v>78</v>
      </c>
      <c r="AW96">
        <v>74</v>
      </c>
      <c r="AX96">
        <v>68</v>
      </c>
      <c r="AY96">
        <v>69</v>
      </c>
      <c r="AZ96">
        <v>63</v>
      </c>
      <c r="BA96">
        <v>62</v>
      </c>
      <c r="BB96">
        <v>58</v>
      </c>
      <c r="BC96">
        <v>60</v>
      </c>
      <c r="BD96">
        <v>63</v>
      </c>
      <c r="BE96">
        <v>62</v>
      </c>
      <c r="BF96">
        <v>69</v>
      </c>
      <c r="BG96">
        <v>79</v>
      </c>
      <c r="BH96">
        <v>76</v>
      </c>
      <c r="BI96">
        <v>70</v>
      </c>
      <c r="BJ96">
        <v>57</v>
      </c>
      <c r="BK96">
        <v>45</v>
      </c>
      <c r="BL96">
        <v>42</v>
      </c>
      <c r="BM96">
        <v>37</v>
      </c>
      <c r="BN96">
        <v>31</v>
      </c>
      <c r="BO96">
        <v>26</v>
      </c>
      <c r="BP96">
        <v>22</v>
      </c>
      <c r="BQ96">
        <v>25</v>
      </c>
      <c r="BR96">
        <v>19</v>
      </c>
      <c r="BS96">
        <v>10</v>
      </c>
      <c r="BT96">
        <v>2</v>
      </c>
      <c r="BU96">
        <v>5</v>
      </c>
      <c r="BV96">
        <v>3</v>
      </c>
      <c r="BW96">
        <v>1</v>
      </c>
      <c r="BX96">
        <v>4</v>
      </c>
      <c r="BY96">
        <v>4</v>
      </c>
      <c r="BZ96">
        <v>10</v>
      </c>
      <c r="CA96">
        <v>13</v>
      </c>
      <c r="CB96">
        <v>16</v>
      </c>
      <c r="CC96">
        <v>12</v>
      </c>
      <c r="CD96">
        <v>9</v>
      </c>
      <c r="CE96">
        <v>10</v>
      </c>
      <c r="CF96">
        <v>13</v>
      </c>
      <c r="CG96">
        <v>17</v>
      </c>
      <c r="CH96">
        <v>18</v>
      </c>
      <c r="CI96">
        <v>18</v>
      </c>
      <c r="CJ96">
        <v>20</v>
      </c>
      <c r="CK96">
        <v>19</v>
      </c>
      <c r="CL96">
        <v>21</v>
      </c>
      <c r="CM96">
        <v>22</v>
      </c>
      <c r="CN96">
        <v>25</v>
      </c>
      <c r="CO96">
        <v>26</v>
      </c>
      <c r="CP96">
        <v>34</v>
      </c>
      <c r="CQ96">
        <v>42</v>
      </c>
      <c r="CR96">
        <v>54</v>
      </c>
      <c r="CS96">
        <v>55</v>
      </c>
      <c r="CT96">
        <v>55</v>
      </c>
      <c r="CU96">
        <v>55</v>
      </c>
      <c r="CV96">
        <v>55</v>
      </c>
      <c r="CW96">
        <v>61</v>
      </c>
      <c r="CX96">
        <v>62</v>
      </c>
      <c r="CY96">
        <v>66</v>
      </c>
      <c r="CZ96">
        <v>84</v>
      </c>
      <c r="DA96">
        <v>83</v>
      </c>
      <c r="DB96">
        <v>79</v>
      </c>
      <c r="DC96">
        <v>81</v>
      </c>
      <c r="DD96">
        <v>74</v>
      </c>
      <c r="DE96">
        <v>68</v>
      </c>
      <c r="DF96">
        <v>68</v>
      </c>
      <c r="DG96">
        <v>72</v>
      </c>
      <c r="DH96">
        <v>68</v>
      </c>
      <c r="DI96">
        <v>69</v>
      </c>
      <c r="DJ96">
        <v>80</v>
      </c>
      <c r="DK96">
        <v>87</v>
      </c>
      <c r="DL96">
        <v>88</v>
      </c>
      <c r="DM96">
        <v>80</v>
      </c>
      <c r="DN96">
        <v>79</v>
      </c>
      <c r="DO96">
        <v>97</v>
      </c>
      <c r="DP96">
        <v>105</v>
      </c>
      <c r="DQ96">
        <v>74</v>
      </c>
    </row>
    <row r="97" spans="2:121" x14ac:dyDescent="0.35">
      <c r="B97">
        <v>170</v>
      </c>
      <c r="C97">
        <v>175</v>
      </c>
      <c r="D97">
        <v>179</v>
      </c>
      <c r="E97">
        <v>181</v>
      </c>
      <c r="F97">
        <v>188</v>
      </c>
      <c r="G97">
        <v>194</v>
      </c>
      <c r="H97">
        <v>198</v>
      </c>
      <c r="I97">
        <v>204</v>
      </c>
      <c r="J97">
        <v>211</v>
      </c>
      <c r="K97">
        <v>216</v>
      </c>
      <c r="L97">
        <v>221</v>
      </c>
      <c r="M97">
        <v>227</v>
      </c>
      <c r="N97">
        <v>232</v>
      </c>
      <c r="O97">
        <v>247</v>
      </c>
      <c r="P97">
        <v>320</v>
      </c>
      <c r="Q97">
        <v>400</v>
      </c>
      <c r="R97">
        <v>479</v>
      </c>
      <c r="S97">
        <v>560</v>
      </c>
      <c r="T97">
        <v>497</v>
      </c>
      <c r="U97">
        <v>422</v>
      </c>
      <c r="V97">
        <v>407</v>
      </c>
      <c r="W97">
        <v>465</v>
      </c>
      <c r="X97">
        <v>539</v>
      </c>
      <c r="Y97">
        <v>624</v>
      </c>
      <c r="Z97">
        <v>808</v>
      </c>
      <c r="AA97">
        <v>911</v>
      </c>
      <c r="AB97">
        <v>1089</v>
      </c>
      <c r="AC97">
        <v>1174</v>
      </c>
      <c r="AD97">
        <v>1095</v>
      </c>
      <c r="AE97">
        <v>1182</v>
      </c>
      <c r="AF97">
        <v>1549</v>
      </c>
      <c r="AG97">
        <v>1762</v>
      </c>
      <c r="AH97">
        <v>1930</v>
      </c>
      <c r="AI97">
        <v>1904</v>
      </c>
      <c r="AJ97">
        <v>1895</v>
      </c>
      <c r="AK97">
        <v>1836</v>
      </c>
      <c r="AL97">
        <v>1771</v>
      </c>
      <c r="AM97">
        <v>1682</v>
      </c>
      <c r="AN97">
        <v>1751</v>
      </c>
      <c r="AO97">
        <v>1724</v>
      </c>
      <c r="AP97">
        <v>1724</v>
      </c>
      <c r="AQ97">
        <v>1587</v>
      </c>
      <c r="AR97">
        <v>1452</v>
      </c>
      <c r="AS97">
        <v>1310</v>
      </c>
      <c r="AT97">
        <v>927</v>
      </c>
      <c r="AU97">
        <v>692</v>
      </c>
      <c r="AV97">
        <v>557</v>
      </c>
      <c r="AW97">
        <v>635</v>
      </c>
      <c r="AX97">
        <v>874</v>
      </c>
      <c r="AY97">
        <v>1027</v>
      </c>
      <c r="AZ97">
        <v>1380</v>
      </c>
      <c r="BA97">
        <v>1352</v>
      </c>
      <c r="BB97">
        <v>1412</v>
      </c>
      <c r="BC97">
        <v>1529</v>
      </c>
      <c r="BD97">
        <v>1228</v>
      </c>
      <c r="BE97">
        <v>1103</v>
      </c>
      <c r="BF97">
        <v>870</v>
      </c>
      <c r="BG97">
        <v>743</v>
      </c>
      <c r="BH97">
        <v>731</v>
      </c>
      <c r="BI97">
        <v>873</v>
      </c>
      <c r="BJ97">
        <v>789</v>
      </c>
      <c r="BK97">
        <v>566</v>
      </c>
      <c r="BL97">
        <v>540</v>
      </c>
      <c r="BM97">
        <v>514</v>
      </c>
      <c r="BN97">
        <v>468</v>
      </c>
      <c r="BO97">
        <v>481</v>
      </c>
      <c r="BP97">
        <v>353</v>
      </c>
      <c r="BQ97">
        <v>301</v>
      </c>
      <c r="BR97">
        <v>292</v>
      </c>
      <c r="BS97">
        <v>260</v>
      </c>
      <c r="BT97">
        <v>319</v>
      </c>
      <c r="BU97">
        <v>667</v>
      </c>
      <c r="BV97">
        <v>574</v>
      </c>
      <c r="BW97">
        <v>388</v>
      </c>
      <c r="BX97">
        <v>237</v>
      </c>
      <c r="BY97">
        <v>192</v>
      </c>
      <c r="BZ97">
        <v>177</v>
      </c>
      <c r="CA97">
        <v>223</v>
      </c>
      <c r="CB97">
        <v>274</v>
      </c>
      <c r="CC97">
        <v>173</v>
      </c>
      <c r="CD97">
        <v>143</v>
      </c>
      <c r="CE97">
        <v>144</v>
      </c>
      <c r="CF97">
        <v>137</v>
      </c>
      <c r="CG97">
        <v>148</v>
      </c>
      <c r="CH97">
        <v>137</v>
      </c>
      <c r="CI97">
        <v>135</v>
      </c>
      <c r="CJ97">
        <v>138</v>
      </c>
      <c r="CK97">
        <v>141</v>
      </c>
      <c r="CL97">
        <v>138</v>
      </c>
      <c r="CM97">
        <v>137</v>
      </c>
      <c r="CN97">
        <v>140</v>
      </c>
      <c r="CO97">
        <v>136</v>
      </c>
      <c r="CP97">
        <v>133</v>
      </c>
      <c r="CQ97">
        <v>134</v>
      </c>
      <c r="CR97">
        <v>129</v>
      </c>
      <c r="CS97">
        <v>134</v>
      </c>
      <c r="CT97">
        <v>139</v>
      </c>
      <c r="CU97">
        <v>132</v>
      </c>
      <c r="CV97">
        <v>123</v>
      </c>
      <c r="CW97">
        <v>127</v>
      </c>
      <c r="CX97">
        <v>132</v>
      </c>
      <c r="CY97">
        <v>126</v>
      </c>
      <c r="CZ97">
        <v>126</v>
      </c>
      <c r="DA97">
        <v>125</v>
      </c>
      <c r="DB97">
        <v>132</v>
      </c>
      <c r="DC97">
        <v>134</v>
      </c>
      <c r="DD97">
        <v>126</v>
      </c>
      <c r="DE97">
        <v>115</v>
      </c>
      <c r="DF97">
        <v>111</v>
      </c>
      <c r="DG97">
        <v>108</v>
      </c>
      <c r="DH97">
        <v>108</v>
      </c>
      <c r="DI97">
        <v>115</v>
      </c>
      <c r="DJ97">
        <v>113</v>
      </c>
      <c r="DK97">
        <v>103</v>
      </c>
      <c r="DL97">
        <v>101</v>
      </c>
      <c r="DM97">
        <v>103</v>
      </c>
      <c r="DN97">
        <v>97</v>
      </c>
      <c r="DO97">
        <v>96</v>
      </c>
      <c r="DP97">
        <v>97</v>
      </c>
      <c r="DQ97">
        <v>99</v>
      </c>
    </row>
    <row r="98" spans="2:121" x14ac:dyDescent="0.35">
      <c r="B98">
        <v>62</v>
      </c>
      <c r="C98">
        <v>62</v>
      </c>
      <c r="D98">
        <v>73</v>
      </c>
      <c r="E98">
        <v>86</v>
      </c>
      <c r="F98">
        <v>91</v>
      </c>
      <c r="G98">
        <v>136</v>
      </c>
      <c r="H98">
        <v>151</v>
      </c>
      <c r="I98">
        <v>193</v>
      </c>
      <c r="J98">
        <v>222</v>
      </c>
      <c r="K98">
        <v>261</v>
      </c>
      <c r="L98">
        <v>307</v>
      </c>
      <c r="M98">
        <v>281</v>
      </c>
      <c r="N98">
        <v>384</v>
      </c>
      <c r="O98">
        <v>351</v>
      </c>
      <c r="P98">
        <v>468</v>
      </c>
      <c r="Q98">
        <v>418</v>
      </c>
      <c r="R98">
        <v>431</v>
      </c>
      <c r="S98">
        <v>520</v>
      </c>
      <c r="T98">
        <v>612</v>
      </c>
      <c r="U98">
        <v>737</v>
      </c>
      <c r="V98">
        <v>718</v>
      </c>
      <c r="W98">
        <v>795</v>
      </c>
      <c r="X98">
        <v>1082</v>
      </c>
      <c r="Y98">
        <v>1201</v>
      </c>
      <c r="Z98">
        <v>1225</v>
      </c>
      <c r="AA98">
        <v>1149</v>
      </c>
      <c r="AB98">
        <v>1326</v>
      </c>
      <c r="AC98">
        <v>1468</v>
      </c>
      <c r="AD98">
        <v>1371</v>
      </c>
      <c r="AE98">
        <v>1408</v>
      </c>
      <c r="AF98">
        <v>1683</v>
      </c>
      <c r="AG98">
        <v>1732</v>
      </c>
      <c r="AH98">
        <v>1731</v>
      </c>
      <c r="AI98">
        <v>2141</v>
      </c>
      <c r="AJ98">
        <v>2153</v>
      </c>
      <c r="AK98">
        <v>1711</v>
      </c>
      <c r="AL98">
        <v>1710</v>
      </c>
      <c r="AM98">
        <v>2015</v>
      </c>
      <c r="AN98">
        <v>2307</v>
      </c>
      <c r="AO98">
        <v>2074</v>
      </c>
      <c r="AP98">
        <v>1844</v>
      </c>
      <c r="AQ98">
        <v>2138</v>
      </c>
      <c r="AR98">
        <v>2411</v>
      </c>
      <c r="AS98">
        <v>2666</v>
      </c>
      <c r="AT98">
        <v>2289</v>
      </c>
      <c r="AU98">
        <v>2411</v>
      </c>
      <c r="AV98">
        <v>2299</v>
      </c>
      <c r="AW98">
        <v>2199</v>
      </c>
      <c r="AX98">
        <v>2194</v>
      </c>
      <c r="AY98">
        <v>2022</v>
      </c>
      <c r="AZ98">
        <v>2008</v>
      </c>
      <c r="BA98">
        <v>2242</v>
      </c>
      <c r="BB98">
        <v>2402</v>
      </c>
      <c r="BC98">
        <v>2127</v>
      </c>
      <c r="BD98">
        <v>2232</v>
      </c>
      <c r="BE98">
        <v>2455</v>
      </c>
      <c r="BF98">
        <v>2205</v>
      </c>
      <c r="BG98">
        <v>2406</v>
      </c>
      <c r="BH98">
        <v>2466</v>
      </c>
      <c r="BI98">
        <v>2625</v>
      </c>
      <c r="BJ98">
        <v>2751</v>
      </c>
      <c r="BK98">
        <v>2994</v>
      </c>
      <c r="BL98">
        <v>2940</v>
      </c>
      <c r="BM98">
        <v>3000</v>
      </c>
      <c r="BN98">
        <v>2965</v>
      </c>
      <c r="BO98">
        <v>2668</v>
      </c>
      <c r="BP98">
        <v>2636</v>
      </c>
      <c r="BQ98">
        <v>2663</v>
      </c>
      <c r="BR98">
        <v>2579</v>
      </c>
      <c r="BS98">
        <v>2599</v>
      </c>
      <c r="BT98">
        <v>2737</v>
      </c>
      <c r="BU98">
        <v>2892</v>
      </c>
      <c r="BV98">
        <v>3078</v>
      </c>
      <c r="BW98">
        <v>2951</v>
      </c>
      <c r="BX98">
        <v>2877</v>
      </c>
      <c r="BY98">
        <v>2877</v>
      </c>
      <c r="BZ98">
        <v>2684</v>
      </c>
      <c r="CA98">
        <v>2399</v>
      </c>
      <c r="CB98">
        <v>1995</v>
      </c>
      <c r="CC98">
        <v>1736</v>
      </c>
      <c r="CD98">
        <v>1505</v>
      </c>
      <c r="CE98">
        <v>1624</v>
      </c>
      <c r="CF98">
        <v>1614</v>
      </c>
      <c r="CG98">
        <v>1644</v>
      </c>
      <c r="CH98">
        <v>1514</v>
      </c>
      <c r="CI98">
        <v>1432</v>
      </c>
      <c r="CJ98">
        <v>1196</v>
      </c>
      <c r="CK98">
        <v>1109</v>
      </c>
      <c r="CL98">
        <v>870</v>
      </c>
      <c r="CM98">
        <v>799</v>
      </c>
      <c r="CN98">
        <v>1016</v>
      </c>
      <c r="CO98">
        <v>1141</v>
      </c>
      <c r="CP98">
        <v>1323</v>
      </c>
      <c r="CQ98">
        <v>1402</v>
      </c>
      <c r="CR98">
        <v>1224</v>
      </c>
      <c r="CS98">
        <v>1045</v>
      </c>
      <c r="CT98">
        <v>912</v>
      </c>
      <c r="CU98">
        <v>838</v>
      </c>
      <c r="CV98">
        <v>793</v>
      </c>
      <c r="CW98">
        <v>759</v>
      </c>
      <c r="CX98">
        <v>671</v>
      </c>
      <c r="CY98">
        <v>612</v>
      </c>
      <c r="CZ98">
        <v>552</v>
      </c>
      <c r="DA98">
        <v>489</v>
      </c>
      <c r="DB98">
        <v>430</v>
      </c>
      <c r="DC98">
        <v>389</v>
      </c>
      <c r="DD98">
        <v>355</v>
      </c>
      <c r="DE98">
        <v>332</v>
      </c>
      <c r="DF98">
        <v>306</v>
      </c>
      <c r="DG98">
        <v>280</v>
      </c>
      <c r="DH98">
        <v>262</v>
      </c>
      <c r="DI98">
        <v>242</v>
      </c>
      <c r="DJ98">
        <v>232</v>
      </c>
      <c r="DK98">
        <v>242</v>
      </c>
      <c r="DL98">
        <v>253</v>
      </c>
      <c r="DM98">
        <v>255</v>
      </c>
      <c r="DN98">
        <v>365</v>
      </c>
      <c r="DO98">
        <v>452</v>
      </c>
      <c r="DP98">
        <v>525</v>
      </c>
      <c r="DQ98">
        <v>320</v>
      </c>
    </row>
    <row r="99" spans="2:121" x14ac:dyDescent="0.35">
      <c r="B99">
        <v>47</v>
      </c>
      <c r="C99">
        <v>45</v>
      </c>
      <c r="D99">
        <v>42</v>
      </c>
      <c r="E99">
        <v>44</v>
      </c>
      <c r="F99">
        <v>41</v>
      </c>
      <c r="G99">
        <v>44</v>
      </c>
      <c r="H99">
        <v>46</v>
      </c>
      <c r="I99">
        <v>46</v>
      </c>
      <c r="J99">
        <v>51</v>
      </c>
      <c r="K99">
        <v>47</v>
      </c>
      <c r="L99">
        <v>37</v>
      </c>
      <c r="M99">
        <v>43</v>
      </c>
      <c r="N99">
        <v>35</v>
      </c>
      <c r="O99">
        <v>37</v>
      </c>
      <c r="P99">
        <v>35</v>
      </c>
      <c r="Q99">
        <v>36</v>
      </c>
      <c r="R99">
        <v>43</v>
      </c>
      <c r="S99">
        <v>34</v>
      </c>
      <c r="T99">
        <v>29</v>
      </c>
      <c r="U99">
        <v>17</v>
      </c>
      <c r="V99">
        <v>24</v>
      </c>
      <c r="W99">
        <v>27</v>
      </c>
      <c r="X99">
        <v>28</v>
      </c>
      <c r="Y99">
        <v>27</v>
      </c>
      <c r="Z99">
        <v>22</v>
      </c>
      <c r="AA99">
        <v>23</v>
      </c>
      <c r="AB99">
        <v>21</v>
      </c>
      <c r="AC99">
        <v>22</v>
      </c>
      <c r="AD99">
        <v>2</v>
      </c>
      <c r="AE99">
        <v>2</v>
      </c>
      <c r="AF99">
        <v>5</v>
      </c>
      <c r="AG99">
        <v>0</v>
      </c>
      <c r="AH99">
        <v>16</v>
      </c>
      <c r="AI99">
        <v>16</v>
      </c>
      <c r="AJ99">
        <v>23</v>
      </c>
      <c r="AK99">
        <v>29</v>
      </c>
      <c r="AL99">
        <v>36</v>
      </c>
      <c r="AM99">
        <v>47</v>
      </c>
      <c r="AN99">
        <v>54</v>
      </c>
      <c r="AO99">
        <v>60</v>
      </c>
      <c r="AP99">
        <v>70</v>
      </c>
      <c r="AQ99">
        <v>73</v>
      </c>
      <c r="AR99">
        <v>62</v>
      </c>
      <c r="AS99">
        <v>52</v>
      </c>
      <c r="AT99">
        <v>48</v>
      </c>
      <c r="AU99">
        <v>49</v>
      </c>
      <c r="AV99">
        <v>58</v>
      </c>
      <c r="AW99">
        <v>51</v>
      </c>
      <c r="AX99">
        <v>42</v>
      </c>
      <c r="AY99">
        <v>40</v>
      </c>
      <c r="AZ99">
        <v>42</v>
      </c>
      <c r="BA99">
        <v>40</v>
      </c>
      <c r="BB99">
        <v>40</v>
      </c>
      <c r="BC99">
        <v>43</v>
      </c>
      <c r="BD99">
        <v>74</v>
      </c>
      <c r="BE99">
        <v>123</v>
      </c>
      <c r="BF99">
        <v>102</v>
      </c>
      <c r="BG99">
        <v>64</v>
      </c>
      <c r="BH99">
        <v>142</v>
      </c>
      <c r="BI99">
        <v>119</v>
      </c>
      <c r="BJ99">
        <v>71</v>
      </c>
      <c r="BK99">
        <v>70</v>
      </c>
      <c r="BL99">
        <v>47</v>
      </c>
      <c r="BM99">
        <v>61</v>
      </c>
      <c r="BN99">
        <v>88</v>
      </c>
      <c r="BO99">
        <v>45</v>
      </c>
      <c r="BP99">
        <v>69</v>
      </c>
      <c r="BQ99">
        <v>61</v>
      </c>
      <c r="BR99">
        <v>52</v>
      </c>
      <c r="BS99">
        <v>39</v>
      </c>
      <c r="BT99">
        <v>52</v>
      </c>
      <c r="BU99">
        <v>22</v>
      </c>
      <c r="BV99">
        <v>15</v>
      </c>
      <c r="BW99">
        <v>19</v>
      </c>
      <c r="BX99">
        <v>18</v>
      </c>
      <c r="BY99">
        <v>9</v>
      </c>
      <c r="BZ99">
        <v>5</v>
      </c>
      <c r="CA99">
        <v>8</v>
      </c>
      <c r="CB99">
        <v>8</v>
      </c>
      <c r="CC99">
        <v>6</v>
      </c>
      <c r="CD99">
        <v>3</v>
      </c>
      <c r="CE99">
        <v>5</v>
      </c>
      <c r="CF99">
        <v>10</v>
      </c>
      <c r="CG99">
        <v>20</v>
      </c>
      <c r="CH99">
        <v>35</v>
      </c>
      <c r="CI99">
        <v>67</v>
      </c>
      <c r="CJ99">
        <v>95</v>
      </c>
      <c r="CK99">
        <v>147</v>
      </c>
      <c r="CL99">
        <v>165</v>
      </c>
      <c r="CM99">
        <v>145</v>
      </c>
      <c r="CN99">
        <v>133</v>
      </c>
      <c r="CO99">
        <v>127</v>
      </c>
      <c r="CP99">
        <v>136</v>
      </c>
      <c r="CQ99">
        <v>122</v>
      </c>
      <c r="CR99">
        <v>107</v>
      </c>
      <c r="CS99">
        <v>107</v>
      </c>
      <c r="CT99">
        <v>105</v>
      </c>
      <c r="CU99">
        <v>100</v>
      </c>
      <c r="CV99">
        <v>88</v>
      </c>
      <c r="CW99">
        <v>77</v>
      </c>
      <c r="CX99">
        <v>69</v>
      </c>
      <c r="CY99">
        <v>64</v>
      </c>
      <c r="CZ99">
        <v>63</v>
      </c>
      <c r="DA99">
        <v>58</v>
      </c>
      <c r="DB99">
        <v>53</v>
      </c>
      <c r="DC99">
        <v>46</v>
      </c>
      <c r="DD99">
        <v>41</v>
      </c>
      <c r="DE99">
        <v>36</v>
      </c>
      <c r="DF99">
        <v>32</v>
      </c>
      <c r="DG99">
        <v>26</v>
      </c>
      <c r="DH99">
        <v>23</v>
      </c>
      <c r="DI99">
        <v>19</v>
      </c>
      <c r="DJ99">
        <v>15</v>
      </c>
      <c r="DK99">
        <v>12</v>
      </c>
      <c r="DL99">
        <v>11</v>
      </c>
      <c r="DM99">
        <v>7</v>
      </c>
      <c r="DN99">
        <v>5</v>
      </c>
      <c r="DO99">
        <v>5</v>
      </c>
      <c r="DP99">
        <v>6</v>
      </c>
      <c r="DQ99">
        <v>6</v>
      </c>
    </row>
    <row r="100" spans="2:121" x14ac:dyDescent="0.35">
      <c r="B100">
        <v>14</v>
      </c>
      <c r="C100">
        <v>19</v>
      </c>
      <c r="D100">
        <v>20</v>
      </c>
      <c r="E100">
        <v>20</v>
      </c>
      <c r="F100">
        <v>36</v>
      </c>
      <c r="G100">
        <v>69</v>
      </c>
      <c r="H100">
        <v>76</v>
      </c>
      <c r="I100">
        <v>87</v>
      </c>
      <c r="J100">
        <v>72</v>
      </c>
      <c r="K100">
        <v>68</v>
      </c>
      <c r="L100">
        <v>74</v>
      </c>
      <c r="M100">
        <v>161</v>
      </c>
      <c r="N100">
        <v>120</v>
      </c>
      <c r="O100">
        <v>154</v>
      </c>
      <c r="P100">
        <v>111</v>
      </c>
      <c r="Q100">
        <v>121</v>
      </c>
      <c r="R100">
        <v>255</v>
      </c>
      <c r="S100">
        <v>331</v>
      </c>
      <c r="T100">
        <v>203</v>
      </c>
      <c r="U100">
        <v>136</v>
      </c>
      <c r="V100">
        <v>175</v>
      </c>
      <c r="W100">
        <v>226</v>
      </c>
      <c r="X100">
        <v>273</v>
      </c>
      <c r="Y100">
        <v>382</v>
      </c>
      <c r="Z100">
        <v>265</v>
      </c>
      <c r="AA100">
        <v>237</v>
      </c>
      <c r="AB100">
        <v>291</v>
      </c>
      <c r="AC100">
        <v>308</v>
      </c>
      <c r="AD100">
        <v>244</v>
      </c>
      <c r="AE100">
        <v>110</v>
      </c>
      <c r="AF100">
        <v>113</v>
      </c>
      <c r="AG100">
        <v>202</v>
      </c>
      <c r="AH100">
        <v>103</v>
      </c>
      <c r="AI100">
        <v>79</v>
      </c>
      <c r="AJ100">
        <v>141</v>
      </c>
      <c r="AK100">
        <v>129</v>
      </c>
      <c r="AL100">
        <v>160</v>
      </c>
      <c r="AM100">
        <v>44</v>
      </c>
      <c r="AN100">
        <v>48</v>
      </c>
      <c r="AO100">
        <v>108</v>
      </c>
      <c r="AP100">
        <v>169</v>
      </c>
      <c r="AQ100">
        <v>135</v>
      </c>
      <c r="AR100">
        <v>111</v>
      </c>
      <c r="AS100">
        <v>84</v>
      </c>
      <c r="AT100">
        <v>179</v>
      </c>
      <c r="AU100">
        <v>187</v>
      </c>
      <c r="AV100">
        <v>124</v>
      </c>
      <c r="AW100">
        <v>136</v>
      </c>
      <c r="AX100">
        <v>76</v>
      </c>
      <c r="AY100">
        <v>127</v>
      </c>
      <c r="AZ100">
        <v>119</v>
      </c>
      <c r="BA100">
        <v>125</v>
      </c>
      <c r="BB100">
        <v>88</v>
      </c>
      <c r="BC100">
        <v>74</v>
      </c>
      <c r="BD100">
        <v>120</v>
      </c>
      <c r="BE100">
        <v>194</v>
      </c>
      <c r="BF100">
        <v>155</v>
      </c>
      <c r="BG100">
        <v>174</v>
      </c>
      <c r="BH100">
        <v>196</v>
      </c>
      <c r="BI100">
        <v>160</v>
      </c>
      <c r="BJ100">
        <v>135</v>
      </c>
      <c r="BK100">
        <v>136</v>
      </c>
      <c r="BL100">
        <v>118</v>
      </c>
      <c r="BM100">
        <v>158</v>
      </c>
      <c r="BN100">
        <v>226</v>
      </c>
      <c r="BO100">
        <v>257</v>
      </c>
      <c r="BP100">
        <v>284</v>
      </c>
      <c r="BQ100">
        <v>320</v>
      </c>
      <c r="BR100">
        <v>212</v>
      </c>
      <c r="BS100">
        <v>211</v>
      </c>
      <c r="BT100">
        <v>259</v>
      </c>
      <c r="BU100">
        <v>198</v>
      </c>
      <c r="BV100">
        <v>123</v>
      </c>
      <c r="BW100">
        <v>100</v>
      </c>
      <c r="BX100">
        <v>112</v>
      </c>
      <c r="BY100">
        <v>91</v>
      </c>
      <c r="BZ100">
        <v>70</v>
      </c>
      <c r="CA100">
        <v>161</v>
      </c>
      <c r="CB100">
        <v>230</v>
      </c>
      <c r="CC100">
        <v>366</v>
      </c>
      <c r="CD100">
        <v>459</v>
      </c>
      <c r="CE100">
        <v>598</v>
      </c>
      <c r="CF100">
        <v>556</v>
      </c>
      <c r="CG100">
        <v>569</v>
      </c>
      <c r="CH100">
        <v>606</v>
      </c>
      <c r="CI100">
        <v>756</v>
      </c>
      <c r="CJ100">
        <v>771</v>
      </c>
      <c r="CK100">
        <v>771</v>
      </c>
      <c r="CL100">
        <v>664</v>
      </c>
      <c r="CM100">
        <v>653</v>
      </c>
      <c r="CN100">
        <v>603</v>
      </c>
      <c r="CO100">
        <v>622</v>
      </c>
      <c r="CP100">
        <v>407</v>
      </c>
      <c r="CQ100">
        <v>350</v>
      </c>
      <c r="CR100">
        <v>278</v>
      </c>
      <c r="CS100">
        <v>391</v>
      </c>
      <c r="CT100">
        <v>439</v>
      </c>
      <c r="CU100">
        <v>432</v>
      </c>
      <c r="CV100">
        <v>392</v>
      </c>
      <c r="CW100">
        <v>390</v>
      </c>
      <c r="CX100">
        <v>276</v>
      </c>
      <c r="CY100">
        <v>316</v>
      </c>
      <c r="CZ100">
        <v>310</v>
      </c>
      <c r="DA100">
        <v>243</v>
      </c>
      <c r="DB100">
        <v>237</v>
      </c>
      <c r="DC100">
        <v>202</v>
      </c>
      <c r="DD100">
        <v>162</v>
      </c>
      <c r="DE100">
        <v>148</v>
      </c>
      <c r="DF100">
        <v>124</v>
      </c>
      <c r="DG100">
        <v>107</v>
      </c>
      <c r="DH100">
        <v>124</v>
      </c>
      <c r="DI100">
        <v>94</v>
      </c>
      <c r="DJ100">
        <v>77</v>
      </c>
      <c r="DK100">
        <v>97</v>
      </c>
      <c r="DL100">
        <v>87</v>
      </c>
      <c r="DM100">
        <v>48</v>
      </c>
      <c r="DN100">
        <v>45</v>
      </c>
      <c r="DO100">
        <v>63</v>
      </c>
      <c r="DP100">
        <v>76</v>
      </c>
      <c r="DQ100">
        <v>129</v>
      </c>
    </row>
    <row r="101" spans="2:121" x14ac:dyDescent="0.35">
      <c r="B101">
        <v>430</v>
      </c>
      <c r="C101">
        <v>411</v>
      </c>
      <c r="D101">
        <v>396</v>
      </c>
      <c r="E101">
        <v>383</v>
      </c>
      <c r="F101">
        <v>355</v>
      </c>
      <c r="G101">
        <v>311</v>
      </c>
      <c r="H101">
        <v>299</v>
      </c>
      <c r="I101">
        <v>266</v>
      </c>
      <c r="J101">
        <v>220</v>
      </c>
      <c r="K101">
        <v>255</v>
      </c>
      <c r="L101">
        <v>272</v>
      </c>
      <c r="M101">
        <v>228</v>
      </c>
      <c r="N101">
        <v>203</v>
      </c>
      <c r="O101">
        <v>218</v>
      </c>
      <c r="P101">
        <v>217</v>
      </c>
      <c r="Q101">
        <v>187</v>
      </c>
      <c r="R101">
        <v>164</v>
      </c>
      <c r="S101">
        <v>122</v>
      </c>
      <c r="T101">
        <v>111</v>
      </c>
      <c r="U101">
        <v>103</v>
      </c>
      <c r="V101">
        <v>95</v>
      </c>
      <c r="W101">
        <v>89</v>
      </c>
      <c r="X101">
        <v>87</v>
      </c>
      <c r="Y101">
        <v>84</v>
      </c>
      <c r="Z101">
        <v>84</v>
      </c>
      <c r="AA101">
        <v>82</v>
      </c>
      <c r="AB101">
        <v>80</v>
      </c>
      <c r="AC101">
        <v>81</v>
      </c>
      <c r="AD101">
        <v>80</v>
      </c>
      <c r="AE101">
        <v>75</v>
      </c>
      <c r="AF101">
        <v>73</v>
      </c>
      <c r="AG101">
        <v>71</v>
      </c>
      <c r="AH101">
        <v>70</v>
      </c>
      <c r="AI101">
        <v>68</v>
      </c>
      <c r="AJ101">
        <v>68</v>
      </c>
      <c r="AK101">
        <v>71</v>
      </c>
      <c r="AL101">
        <v>63</v>
      </c>
      <c r="AM101">
        <v>58</v>
      </c>
      <c r="AN101">
        <v>59</v>
      </c>
      <c r="AO101">
        <v>62</v>
      </c>
      <c r="AP101">
        <v>55</v>
      </c>
      <c r="AQ101">
        <v>53</v>
      </c>
      <c r="AR101">
        <v>51</v>
      </c>
      <c r="AS101">
        <v>49</v>
      </c>
      <c r="AT101">
        <v>47</v>
      </c>
      <c r="AU101">
        <v>47</v>
      </c>
      <c r="AV101">
        <v>46</v>
      </c>
      <c r="AW101">
        <v>45</v>
      </c>
      <c r="AX101">
        <v>44</v>
      </c>
      <c r="AY101">
        <v>42</v>
      </c>
      <c r="AZ101">
        <v>40</v>
      </c>
      <c r="BA101">
        <v>39</v>
      </c>
      <c r="BB101">
        <v>37</v>
      </c>
      <c r="BC101">
        <v>35</v>
      </c>
      <c r="BD101">
        <v>33</v>
      </c>
      <c r="BE101">
        <v>33</v>
      </c>
      <c r="BF101">
        <v>31</v>
      </c>
      <c r="BG101">
        <v>31</v>
      </c>
      <c r="BH101">
        <v>29</v>
      </c>
      <c r="BI101">
        <v>27</v>
      </c>
      <c r="BJ101">
        <v>26</v>
      </c>
      <c r="BK101">
        <v>26</v>
      </c>
      <c r="BL101">
        <v>24</v>
      </c>
      <c r="BM101">
        <v>22</v>
      </c>
      <c r="BN101">
        <v>21</v>
      </c>
      <c r="BO101">
        <v>20</v>
      </c>
      <c r="BP101">
        <v>20</v>
      </c>
      <c r="BQ101">
        <v>19</v>
      </c>
      <c r="BR101">
        <v>18</v>
      </c>
      <c r="BS101">
        <v>19</v>
      </c>
      <c r="BT101">
        <v>20</v>
      </c>
      <c r="BU101">
        <v>15</v>
      </c>
      <c r="BV101">
        <v>15</v>
      </c>
      <c r="BW101">
        <v>14</v>
      </c>
      <c r="BX101">
        <v>13</v>
      </c>
      <c r="BY101">
        <v>11</v>
      </c>
      <c r="BZ101">
        <v>10</v>
      </c>
      <c r="CA101">
        <v>11</v>
      </c>
      <c r="CB101">
        <v>10</v>
      </c>
      <c r="CC101">
        <v>10</v>
      </c>
      <c r="CD101">
        <v>9</v>
      </c>
      <c r="CE101">
        <v>7</v>
      </c>
      <c r="CF101">
        <v>7</v>
      </c>
      <c r="CG101">
        <v>6</v>
      </c>
      <c r="CH101">
        <v>7</v>
      </c>
      <c r="CI101">
        <v>4</v>
      </c>
      <c r="CJ101">
        <v>3</v>
      </c>
      <c r="CK101">
        <v>4</v>
      </c>
      <c r="CL101">
        <v>10</v>
      </c>
      <c r="CM101">
        <v>20</v>
      </c>
      <c r="CN101">
        <v>42</v>
      </c>
      <c r="CO101">
        <v>68</v>
      </c>
      <c r="CP101">
        <v>71</v>
      </c>
      <c r="CQ101">
        <v>63</v>
      </c>
      <c r="CR101">
        <v>46</v>
      </c>
      <c r="CS101">
        <v>33</v>
      </c>
      <c r="CT101">
        <v>20</v>
      </c>
      <c r="CU101">
        <v>1</v>
      </c>
      <c r="CV101">
        <v>1</v>
      </c>
      <c r="CW101">
        <v>3</v>
      </c>
      <c r="CX101">
        <v>14</v>
      </c>
      <c r="CY101">
        <v>32</v>
      </c>
      <c r="CZ101">
        <v>43</v>
      </c>
      <c r="DA101">
        <v>33</v>
      </c>
      <c r="DB101">
        <v>67</v>
      </c>
      <c r="DC101">
        <v>143</v>
      </c>
      <c r="DD101">
        <v>190</v>
      </c>
      <c r="DE101">
        <v>161</v>
      </c>
      <c r="DF101">
        <v>214</v>
      </c>
      <c r="DG101">
        <v>155</v>
      </c>
      <c r="DH101">
        <v>226</v>
      </c>
      <c r="DI101">
        <v>199</v>
      </c>
      <c r="DJ101">
        <v>226</v>
      </c>
      <c r="DK101">
        <v>151</v>
      </c>
      <c r="DL101">
        <v>333</v>
      </c>
      <c r="DM101">
        <v>299</v>
      </c>
      <c r="DN101">
        <v>381</v>
      </c>
      <c r="DO101">
        <v>311</v>
      </c>
      <c r="DP101">
        <v>193</v>
      </c>
      <c r="DQ101">
        <v>392</v>
      </c>
    </row>
    <row r="102" spans="2:121" x14ac:dyDescent="0.35">
      <c r="B102">
        <v>134</v>
      </c>
      <c r="C102">
        <v>124</v>
      </c>
      <c r="D102">
        <v>102</v>
      </c>
      <c r="E102">
        <v>109</v>
      </c>
      <c r="F102">
        <v>118</v>
      </c>
      <c r="G102">
        <v>137</v>
      </c>
      <c r="H102">
        <v>150</v>
      </c>
      <c r="I102">
        <v>168</v>
      </c>
      <c r="J102">
        <v>166</v>
      </c>
      <c r="K102">
        <v>200</v>
      </c>
      <c r="L102">
        <v>199</v>
      </c>
      <c r="M102">
        <v>193</v>
      </c>
      <c r="N102">
        <v>176</v>
      </c>
      <c r="O102">
        <v>182</v>
      </c>
      <c r="P102">
        <v>206</v>
      </c>
      <c r="Q102">
        <v>238</v>
      </c>
      <c r="R102">
        <v>250</v>
      </c>
      <c r="S102">
        <v>282</v>
      </c>
      <c r="T102">
        <v>425</v>
      </c>
      <c r="U102">
        <v>495</v>
      </c>
      <c r="V102">
        <v>525</v>
      </c>
      <c r="W102">
        <v>622</v>
      </c>
      <c r="X102">
        <v>739</v>
      </c>
      <c r="Y102">
        <v>614</v>
      </c>
      <c r="Z102">
        <v>461</v>
      </c>
      <c r="AA102">
        <v>349</v>
      </c>
      <c r="AB102">
        <v>294</v>
      </c>
      <c r="AC102">
        <v>322</v>
      </c>
      <c r="AD102">
        <v>329</v>
      </c>
      <c r="AE102">
        <v>341</v>
      </c>
      <c r="AF102">
        <v>325</v>
      </c>
      <c r="AG102">
        <v>313</v>
      </c>
      <c r="AH102">
        <v>321</v>
      </c>
      <c r="AI102">
        <v>315</v>
      </c>
      <c r="AJ102">
        <v>334</v>
      </c>
      <c r="AK102">
        <v>358</v>
      </c>
      <c r="AL102">
        <v>313</v>
      </c>
      <c r="AM102">
        <v>292</v>
      </c>
      <c r="AN102">
        <v>302</v>
      </c>
      <c r="AO102">
        <v>362</v>
      </c>
      <c r="AP102">
        <v>437</v>
      </c>
      <c r="AQ102">
        <v>454</v>
      </c>
      <c r="AR102">
        <v>427</v>
      </c>
      <c r="AS102">
        <v>428</v>
      </c>
      <c r="AT102">
        <v>412</v>
      </c>
      <c r="AU102">
        <v>436</v>
      </c>
      <c r="AV102">
        <v>453</v>
      </c>
      <c r="AW102">
        <v>500</v>
      </c>
      <c r="AX102">
        <v>528</v>
      </c>
      <c r="AY102">
        <v>532</v>
      </c>
      <c r="AZ102">
        <v>627</v>
      </c>
      <c r="BA102">
        <v>624</v>
      </c>
      <c r="BB102">
        <v>548</v>
      </c>
      <c r="BC102">
        <v>461</v>
      </c>
      <c r="BD102">
        <v>467</v>
      </c>
      <c r="BE102">
        <v>509</v>
      </c>
      <c r="BF102">
        <v>673</v>
      </c>
      <c r="BG102">
        <v>711</v>
      </c>
      <c r="BH102">
        <v>588</v>
      </c>
      <c r="BI102">
        <v>561</v>
      </c>
      <c r="BJ102">
        <v>588</v>
      </c>
      <c r="BK102">
        <v>603</v>
      </c>
      <c r="BL102">
        <v>610</v>
      </c>
      <c r="BM102">
        <v>622</v>
      </c>
      <c r="BN102">
        <v>587</v>
      </c>
      <c r="BO102">
        <v>614</v>
      </c>
      <c r="BP102">
        <v>605</v>
      </c>
      <c r="BQ102">
        <v>617</v>
      </c>
      <c r="BR102">
        <v>630</v>
      </c>
      <c r="BS102">
        <v>622</v>
      </c>
      <c r="BT102">
        <v>603</v>
      </c>
      <c r="BU102">
        <v>608</v>
      </c>
      <c r="BV102">
        <v>627</v>
      </c>
      <c r="BW102">
        <v>645</v>
      </c>
      <c r="BX102">
        <v>654</v>
      </c>
      <c r="BY102">
        <v>631</v>
      </c>
      <c r="BZ102">
        <v>610</v>
      </c>
      <c r="CA102">
        <v>618</v>
      </c>
      <c r="CB102">
        <v>653</v>
      </c>
      <c r="CC102">
        <v>633</v>
      </c>
      <c r="CD102">
        <v>598</v>
      </c>
      <c r="CE102">
        <v>607</v>
      </c>
      <c r="CF102">
        <v>661</v>
      </c>
      <c r="CG102">
        <v>708</v>
      </c>
      <c r="CH102">
        <v>835</v>
      </c>
      <c r="CI102">
        <v>795</v>
      </c>
      <c r="CJ102">
        <v>827</v>
      </c>
      <c r="CK102">
        <v>855</v>
      </c>
      <c r="CL102">
        <v>765</v>
      </c>
      <c r="CM102">
        <v>663</v>
      </c>
      <c r="CN102">
        <v>635</v>
      </c>
      <c r="CO102">
        <v>648</v>
      </c>
      <c r="CP102">
        <v>756</v>
      </c>
      <c r="CQ102">
        <v>867</v>
      </c>
      <c r="CR102">
        <v>932</v>
      </c>
      <c r="CS102">
        <v>956</v>
      </c>
      <c r="CT102">
        <v>897</v>
      </c>
      <c r="CU102">
        <v>828</v>
      </c>
      <c r="CV102">
        <v>736</v>
      </c>
      <c r="CW102">
        <v>690</v>
      </c>
      <c r="CX102">
        <v>697</v>
      </c>
      <c r="CY102">
        <v>668</v>
      </c>
      <c r="CZ102">
        <v>641</v>
      </c>
      <c r="DA102">
        <v>624</v>
      </c>
      <c r="DB102">
        <v>650</v>
      </c>
      <c r="DC102">
        <v>610</v>
      </c>
      <c r="DD102">
        <v>562</v>
      </c>
      <c r="DE102">
        <v>561</v>
      </c>
      <c r="DF102">
        <v>585</v>
      </c>
      <c r="DG102">
        <v>650</v>
      </c>
      <c r="DH102">
        <v>729</v>
      </c>
      <c r="DI102">
        <v>626</v>
      </c>
      <c r="DJ102">
        <v>629</v>
      </c>
      <c r="DK102">
        <v>621</v>
      </c>
      <c r="DL102">
        <v>526</v>
      </c>
      <c r="DM102">
        <v>596</v>
      </c>
      <c r="DN102">
        <v>679</v>
      </c>
      <c r="DO102">
        <v>568</v>
      </c>
      <c r="DP102">
        <v>501</v>
      </c>
      <c r="DQ102">
        <v>442</v>
      </c>
    </row>
    <row r="103" spans="2:121" x14ac:dyDescent="0.35">
      <c r="B103">
        <v>195</v>
      </c>
      <c r="C103">
        <v>194</v>
      </c>
      <c r="D103">
        <v>182</v>
      </c>
      <c r="E103">
        <v>179</v>
      </c>
      <c r="F103">
        <v>164</v>
      </c>
      <c r="G103">
        <v>161</v>
      </c>
      <c r="H103">
        <v>156</v>
      </c>
      <c r="I103">
        <v>155</v>
      </c>
      <c r="J103">
        <v>152</v>
      </c>
      <c r="K103">
        <v>153</v>
      </c>
      <c r="L103">
        <v>153</v>
      </c>
      <c r="M103">
        <v>154</v>
      </c>
      <c r="N103">
        <v>153</v>
      </c>
      <c r="O103">
        <v>153</v>
      </c>
      <c r="P103">
        <v>153</v>
      </c>
      <c r="Q103">
        <v>159</v>
      </c>
      <c r="R103">
        <v>164</v>
      </c>
      <c r="S103">
        <v>171</v>
      </c>
      <c r="T103">
        <v>177</v>
      </c>
      <c r="U103">
        <v>184</v>
      </c>
      <c r="V103">
        <v>191</v>
      </c>
      <c r="W103">
        <v>199</v>
      </c>
      <c r="X103">
        <v>206</v>
      </c>
      <c r="Y103">
        <v>213</v>
      </c>
      <c r="Z103">
        <v>221</v>
      </c>
      <c r="AA103">
        <v>234</v>
      </c>
      <c r="AB103">
        <v>251</v>
      </c>
      <c r="AC103">
        <v>268</v>
      </c>
      <c r="AD103">
        <v>294</v>
      </c>
      <c r="AE103">
        <v>327</v>
      </c>
      <c r="AF103">
        <v>375</v>
      </c>
      <c r="AG103">
        <v>413</v>
      </c>
      <c r="AH103">
        <v>455</v>
      </c>
      <c r="AI103">
        <v>564</v>
      </c>
      <c r="AJ103">
        <v>709</v>
      </c>
      <c r="AK103">
        <v>849</v>
      </c>
      <c r="AL103">
        <v>769</v>
      </c>
      <c r="AM103">
        <v>961</v>
      </c>
      <c r="AN103">
        <v>1187</v>
      </c>
      <c r="AO103">
        <v>1133</v>
      </c>
      <c r="AP103">
        <v>1271</v>
      </c>
      <c r="AQ103">
        <v>1283</v>
      </c>
      <c r="AR103">
        <v>1216</v>
      </c>
      <c r="AS103">
        <v>1620</v>
      </c>
      <c r="AT103">
        <v>1775</v>
      </c>
      <c r="AU103">
        <v>1953</v>
      </c>
      <c r="AV103">
        <v>2027</v>
      </c>
      <c r="AW103">
        <v>2111</v>
      </c>
      <c r="AX103">
        <v>2107</v>
      </c>
      <c r="AY103">
        <v>2333</v>
      </c>
      <c r="AZ103">
        <v>2146</v>
      </c>
      <c r="BA103">
        <v>1765</v>
      </c>
      <c r="BB103">
        <v>1581</v>
      </c>
      <c r="BC103">
        <v>1545</v>
      </c>
      <c r="BD103">
        <v>1241</v>
      </c>
      <c r="BE103">
        <v>1001</v>
      </c>
      <c r="BF103">
        <v>895</v>
      </c>
      <c r="BG103">
        <v>1095</v>
      </c>
      <c r="BH103">
        <v>1186</v>
      </c>
      <c r="BI103">
        <v>1090</v>
      </c>
      <c r="BJ103">
        <v>928</v>
      </c>
      <c r="BK103">
        <v>654</v>
      </c>
      <c r="BL103">
        <v>762</v>
      </c>
      <c r="BM103">
        <v>811</v>
      </c>
      <c r="BN103">
        <v>715</v>
      </c>
      <c r="BO103">
        <v>740</v>
      </c>
      <c r="BP103">
        <v>783</v>
      </c>
      <c r="BQ103">
        <v>1009</v>
      </c>
      <c r="BR103">
        <v>1175</v>
      </c>
      <c r="BS103">
        <v>1229</v>
      </c>
      <c r="BT103">
        <v>1035</v>
      </c>
      <c r="BU103">
        <v>1040</v>
      </c>
      <c r="BV103">
        <v>860</v>
      </c>
      <c r="BW103">
        <v>826</v>
      </c>
      <c r="BX103">
        <v>696</v>
      </c>
      <c r="BY103">
        <v>622</v>
      </c>
      <c r="BZ103">
        <v>461</v>
      </c>
      <c r="CA103">
        <v>459</v>
      </c>
      <c r="CB103">
        <v>576</v>
      </c>
      <c r="CC103">
        <v>553</v>
      </c>
      <c r="CD103">
        <v>667</v>
      </c>
      <c r="CE103">
        <v>890</v>
      </c>
      <c r="CF103">
        <v>719</v>
      </c>
      <c r="CG103">
        <v>777</v>
      </c>
      <c r="CH103">
        <v>787</v>
      </c>
      <c r="CI103">
        <v>618</v>
      </c>
      <c r="CJ103">
        <v>762</v>
      </c>
      <c r="CK103">
        <v>823</v>
      </c>
      <c r="CL103">
        <v>789</v>
      </c>
      <c r="CM103">
        <v>695</v>
      </c>
      <c r="CN103">
        <v>473</v>
      </c>
      <c r="CO103">
        <v>291</v>
      </c>
      <c r="CP103">
        <v>168</v>
      </c>
      <c r="CQ103">
        <v>215</v>
      </c>
      <c r="CR103">
        <v>233</v>
      </c>
      <c r="CS103">
        <v>355</v>
      </c>
      <c r="CT103">
        <v>283</v>
      </c>
      <c r="CU103">
        <v>166</v>
      </c>
      <c r="CV103">
        <v>129</v>
      </c>
      <c r="CW103">
        <v>108</v>
      </c>
      <c r="CX103">
        <v>97</v>
      </c>
      <c r="CY103">
        <v>99</v>
      </c>
      <c r="CZ103">
        <v>98</v>
      </c>
      <c r="DA103">
        <v>100</v>
      </c>
      <c r="DB103">
        <v>107</v>
      </c>
      <c r="DC103">
        <v>117</v>
      </c>
      <c r="DD103">
        <v>110</v>
      </c>
      <c r="DE103">
        <v>108</v>
      </c>
      <c r="DF103">
        <v>108</v>
      </c>
      <c r="DG103">
        <v>106</v>
      </c>
      <c r="DH103">
        <v>115</v>
      </c>
      <c r="DI103">
        <v>118</v>
      </c>
      <c r="DJ103">
        <v>113</v>
      </c>
      <c r="DK103">
        <v>106</v>
      </c>
      <c r="DL103">
        <v>104</v>
      </c>
      <c r="DM103">
        <v>109</v>
      </c>
      <c r="DN103">
        <v>110</v>
      </c>
      <c r="DO103">
        <v>103</v>
      </c>
      <c r="DP103">
        <v>101</v>
      </c>
      <c r="DQ103">
        <v>106</v>
      </c>
    </row>
    <row r="104" spans="2:121" x14ac:dyDescent="0.35">
      <c r="B104">
        <v>60</v>
      </c>
      <c r="C104">
        <v>72</v>
      </c>
      <c r="D104">
        <v>71</v>
      </c>
      <c r="E104">
        <v>61</v>
      </c>
      <c r="F104">
        <v>72</v>
      </c>
      <c r="G104">
        <v>81</v>
      </c>
      <c r="H104">
        <v>112</v>
      </c>
      <c r="I104">
        <v>153</v>
      </c>
      <c r="J104">
        <v>201</v>
      </c>
      <c r="K104">
        <v>176</v>
      </c>
      <c r="L104">
        <v>160</v>
      </c>
      <c r="M104">
        <v>97</v>
      </c>
      <c r="N104">
        <v>89</v>
      </c>
      <c r="O104">
        <v>109</v>
      </c>
      <c r="P104">
        <v>148</v>
      </c>
      <c r="Q104">
        <v>188</v>
      </c>
      <c r="R104">
        <v>194</v>
      </c>
      <c r="S104">
        <v>300</v>
      </c>
      <c r="T104">
        <v>200</v>
      </c>
      <c r="U104">
        <v>201</v>
      </c>
      <c r="V104">
        <v>181</v>
      </c>
      <c r="W104">
        <v>202</v>
      </c>
      <c r="X104">
        <v>264</v>
      </c>
      <c r="Y104">
        <v>182</v>
      </c>
      <c r="Z104">
        <v>114</v>
      </c>
      <c r="AA104">
        <v>83</v>
      </c>
      <c r="AB104">
        <v>85</v>
      </c>
      <c r="AC104">
        <v>89</v>
      </c>
      <c r="AD104">
        <v>56</v>
      </c>
      <c r="AE104">
        <v>65</v>
      </c>
      <c r="AF104">
        <v>35</v>
      </c>
      <c r="AG104">
        <v>11</v>
      </c>
      <c r="AH104">
        <v>5</v>
      </c>
      <c r="AI104">
        <v>4</v>
      </c>
      <c r="AJ104">
        <v>6</v>
      </c>
      <c r="AK104">
        <v>5</v>
      </c>
      <c r="AL104">
        <v>6</v>
      </c>
      <c r="AM104">
        <v>9</v>
      </c>
      <c r="AN104">
        <v>29</v>
      </c>
      <c r="AO104">
        <v>48</v>
      </c>
      <c r="AP104">
        <v>65</v>
      </c>
      <c r="AQ104">
        <v>86</v>
      </c>
      <c r="AR104">
        <v>123</v>
      </c>
      <c r="AS104">
        <v>176</v>
      </c>
      <c r="AT104">
        <v>180</v>
      </c>
      <c r="AU104">
        <v>158</v>
      </c>
      <c r="AV104">
        <v>133</v>
      </c>
      <c r="AW104">
        <v>116</v>
      </c>
      <c r="AX104">
        <v>102</v>
      </c>
      <c r="AY104">
        <v>92</v>
      </c>
      <c r="AZ104">
        <v>82</v>
      </c>
      <c r="BA104">
        <v>81</v>
      </c>
      <c r="BB104">
        <v>74</v>
      </c>
      <c r="BC104">
        <v>60</v>
      </c>
      <c r="BD104">
        <v>52</v>
      </c>
      <c r="BE104">
        <v>47</v>
      </c>
      <c r="BF104">
        <v>43</v>
      </c>
      <c r="BG104">
        <v>42</v>
      </c>
      <c r="BH104">
        <v>38</v>
      </c>
      <c r="BI104">
        <v>35</v>
      </c>
      <c r="BJ104">
        <v>31</v>
      </c>
      <c r="BK104">
        <v>26</v>
      </c>
      <c r="BL104">
        <v>22</v>
      </c>
      <c r="BM104">
        <v>17</v>
      </c>
      <c r="BN104">
        <v>13</v>
      </c>
      <c r="BO104">
        <v>9</v>
      </c>
      <c r="BP104">
        <v>6</v>
      </c>
      <c r="BQ104">
        <v>5</v>
      </c>
      <c r="BR104">
        <v>5</v>
      </c>
      <c r="BS104">
        <v>7</v>
      </c>
      <c r="BT104">
        <v>6</v>
      </c>
      <c r="BU104">
        <v>7</v>
      </c>
      <c r="BV104">
        <v>6</v>
      </c>
      <c r="BW104">
        <v>6</v>
      </c>
      <c r="BX104">
        <v>5</v>
      </c>
      <c r="BY104">
        <v>4</v>
      </c>
      <c r="BZ104">
        <v>5</v>
      </c>
      <c r="CA104">
        <v>4</v>
      </c>
      <c r="CB104">
        <v>5</v>
      </c>
      <c r="CC104">
        <v>4</v>
      </c>
      <c r="CD104">
        <v>4</v>
      </c>
      <c r="CE104">
        <v>5</v>
      </c>
      <c r="CF104">
        <v>3</v>
      </c>
      <c r="CG104">
        <v>4</v>
      </c>
      <c r="CH104">
        <v>5</v>
      </c>
      <c r="CI104">
        <v>5</v>
      </c>
      <c r="CJ104">
        <v>5</v>
      </c>
      <c r="CK104">
        <v>5</v>
      </c>
      <c r="CL104">
        <v>6</v>
      </c>
      <c r="CM104">
        <v>5</v>
      </c>
      <c r="CN104">
        <v>5</v>
      </c>
      <c r="CO104">
        <v>5</v>
      </c>
      <c r="CP104">
        <v>5</v>
      </c>
      <c r="CQ104">
        <v>4</v>
      </c>
      <c r="CR104">
        <v>4</v>
      </c>
      <c r="CS104">
        <v>5</v>
      </c>
      <c r="CT104">
        <v>3</v>
      </c>
      <c r="CU104">
        <v>3</v>
      </c>
      <c r="CV104">
        <v>3</v>
      </c>
      <c r="CW104">
        <v>3</v>
      </c>
      <c r="CX104">
        <v>3</v>
      </c>
      <c r="CY104">
        <v>4</v>
      </c>
      <c r="CZ104">
        <v>4</v>
      </c>
      <c r="DA104">
        <v>5</v>
      </c>
      <c r="DB104">
        <v>7</v>
      </c>
      <c r="DC104">
        <v>7</v>
      </c>
      <c r="DD104">
        <v>7</v>
      </c>
      <c r="DE104">
        <v>7</v>
      </c>
      <c r="DF104">
        <v>9</v>
      </c>
      <c r="DG104">
        <v>11</v>
      </c>
      <c r="DH104">
        <v>11</v>
      </c>
      <c r="DI104">
        <v>14</v>
      </c>
      <c r="DJ104">
        <v>16</v>
      </c>
      <c r="DK104">
        <v>16</v>
      </c>
      <c r="DL104">
        <v>17</v>
      </c>
      <c r="DM104">
        <v>17</v>
      </c>
      <c r="DN104">
        <v>18</v>
      </c>
      <c r="DO104">
        <v>19</v>
      </c>
      <c r="DP104">
        <v>20</v>
      </c>
      <c r="DQ104">
        <v>18</v>
      </c>
    </row>
    <row r="105" spans="2:121" x14ac:dyDescent="0.35">
      <c r="B105">
        <v>425</v>
      </c>
      <c r="C105">
        <v>417</v>
      </c>
      <c r="D105">
        <v>407</v>
      </c>
      <c r="E105">
        <v>262</v>
      </c>
      <c r="F105">
        <v>301</v>
      </c>
      <c r="G105">
        <v>281</v>
      </c>
      <c r="H105">
        <v>251</v>
      </c>
      <c r="I105">
        <v>323</v>
      </c>
      <c r="J105">
        <v>345</v>
      </c>
      <c r="K105">
        <v>204</v>
      </c>
      <c r="L105">
        <v>225</v>
      </c>
      <c r="M105">
        <v>204</v>
      </c>
      <c r="N105">
        <v>193</v>
      </c>
      <c r="O105">
        <v>170</v>
      </c>
      <c r="P105">
        <v>147</v>
      </c>
      <c r="Q105">
        <v>166</v>
      </c>
      <c r="R105">
        <v>143</v>
      </c>
      <c r="S105">
        <v>164</v>
      </c>
      <c r="T105">
        <v>169</v>
      </c>
      <c r="U105">
        <v>153</v>
      </c>
      <c r="V105">
        <v>151</v>
      </c>
      <c r="W105">
        <v>186</v>
      </c>
      <c r="X105">
        <v>203</v>
      </c>
      <c r="Y105">
        <v>197</v>
      </c>
      <c r="Z105">
        <v>157</v>
      </c>
      <c r="AA105">
        <v>188</v>
      </c>
      <c r="AB105">
        <v>161</v>
      </c>
      <c r="AC105">
        <v>171</v>
      </c>
      <c r="AD105">
        <v>98</v>
      </c>
      <c r="AE105">
        <v>86</v>
      </c>
      <c r="AF105">
        <v>87</v>
      </c>
      <c r="AG105">
        <v>82</v>
      </c>
      <c r="AH105">
        <v>91</v>
      </c>
      <c r="AI105">
        <v>70</v>
      </c>
      <c r="AJ105">
        <v>62</v>
      </c>
      <c r="AK105">
        <v>80</v>
      </c>
      <c r="AL105">
        <v>69</v>
      </c>
      <c r="AM105">
        <v>72</v>
      </c>
      <c r="AN105">
        <v>106</v>
      </c>
      <c r="AO105">
        <v>99</v>
      </c>
      <c r="AP105">
        <v>99</v>
      </c>
      <c r="AQ105">
        <v>114</v>
      </c>
      <c r="AR105">
        <v>129</v>
      </c>
      <c r="AS105">
        <v>174</v>
      </c>
      <c r="AT105">
        <v>216</v>
      </c>
      <c r="AU105">
        <v>213</v>
      </c>
      <c r="AV105">
        <v>261</v>
      </c>
      <c r="AW105">
        <v>189</v>
      </c>
      <c r="AX105">
        <v>169</v>
      </c>
      <c r="AY105">
        <v>218</v>
      </c>
      <c r="AZ105">
        <v>232</v>
      </c>
      <c r="BA105">
        <v>221</v>
      </c>
      <c r="BB105">
        <v>268</v>
      </c>
      <c r="BC105">
        <v>293</v>
      </c>
      <c r="BD105">
        <v>305</v>
      </c>
      <c r="BE105">
        <v>323</v>
      </c>
      <c r="BF105">
        <v>363</v>
      </c>
      <c r="BG105">
        <v>467</v>
      </c>
      <c r="BH105">
        <v>371</v>
      </c>
      <c r="BI105">
        <v>416</v>
      </c>
      <c r="BJ105">
        <v>489</v>
      </c>
      <c r="BK105">
        <v>411</v>
      </c>
      <c r="BL105">
        <v>267</v>
      </c>
      <c r="BM105">
        <v>433</v>
      </c>
      <c r="BN105">
        <v>469</v>
      </c>
      <c r="BO105">
        <v>406</v>
      </c>
      <c r="BP105">
        <v>283</v>
      </c>
      <c r="BQ105">
        <v>181</v>
      </c>
      <c r="BR105">
        <v>150</v>
      </c>
      <c r="BS105">
        <v>121</v>
      </c>
      <c r="BT105">
        <v>109</v>
      </c>
      <c r="BU105">
        <v>109</v>
      </c>
      <c r="BV105">
        <v>94</v>
      </c>
      <c r="BW105">
        <v>140</v>
      </c>
      <c r="BX105">
        <v>196</v>
      </c>
      <c r="BY105">
        <v>110</v>
      </c>
      <c r="BZ105">
        <v>207</v>
      </c>
      <c r="CA105">
        <v>351</v>
      </c>
      <c r="CB105">
        <v>229</v>
      </c>
      <c r="CC105">
        <v>282</v>
      </c>
      <c r="CD105">
        <v>417</v>
      </c>
      <c r="CE105">
        <v>365</v>
      </c>
      <c r="CF105">
        <v>222</v>
      </c>
      <c r="CG105">
        <v>129</v>
      </c>
      <c r="CH105">
        <v>127</v>
      </c>
      <c r="CI105">
        <v>249</v>
      </c>
      <c r="CJ105">
        <v>136</v>
      </c>
      <c r="CK105">
        <v>124</v>
      </c>
      <c r="CL105">
        <v>195</v>
      </c>
      <c r="CM105">
        <v>122</v>
      </c>
      <c r="CN105">
        <v>143</v>
      </c>
      <c r="CO105">
        <v>91</v>
      </c>
      <c r="CP105">
        <v>185</v>
      </c>
      <c r="CQ105">
        <v>219</v>
      </c>
      <c r="CR105">
        <v>159</v>
      </c>
      <c r="CS105">
        <v>166</v>
      </c>
      <c r="CT105">
        <v>191</v>
      </c>
      <c r="CU105">
        <v>168</v>
      </c>
      <c r="CV105">
        <v>216</v>
      </c>
      <c r="CW105">
        <v>156</v>
      </c>
      <c r="CX105">
        <v>189</v>
      </c>
      <c r="CY105">
        <v>147</v>
      </c>
      <c r="CZ105">
        <v>63</v>
      </c>
      <c r="DA105">
        <v>65</v>
      </c>
      <c r="DB105">
        <v>49</v>
      </c>
      <c r="DC105">
        <v>27</v>
      </c>
      <c r="DD105">
        <v>16</v>
      </c>
      <c r="DE105">
        <v>20</v>
      </c>
      <c r="DF105">
        <v>26</v>
      </c>
      <c r="DG105">
        <v>23</v>
      </c>
      <c r="DH105">
        <v>25</v>
      </c>
      <c r="DI105">
        <v>28</v>
      </c>
      <c r="DJ105">
        <v>29</v>
      </c>
      <c r="DK105">
        <v>32</v>
      </c>
      <c r="DL105">
        <v>19</v>
      </c>
      <c r="DM105">
        <v>25</v>
      </c>
      <c r="DN105">
        <v>33</v>
      </c>
      <c r="DO105">
        <v>38</v>
      </c>
      <c r="DP105">
        <v>48</v>
      </c>
      <c r="DQ105">
        <v>42</v>
      </c>
    </row>
    <row r="106" spans="2:121" x14ac:dyDescent="0.35">
      <c r="B106">
        <v>464</v>
      </c>
      <c r="C106">
        <v>398</v>
      </c>
      <c r="D106">
        <v>521</v>
      </c>
      <c r="E106">
        <v>498</v>
      </c>
      <c r="F106">
        <v>381</v>
      </c>
      <c r="G106">
        <v>268</v>
      </c>
      <c r="H106">
        <v>204</v>
      </c>
      <c r="I106">
        <v>145</v>
      </c>
      <c r="J106">
        <v>120</v>
      </c>
      <c r="K106">
        <v>111</v>
      </c>
      <c r="L106">
        <v>109</v>
      </c>
      <c r="M106">
        <v>102</v>
      </c>
      <c r="N106">
        <v>100</v>
      </c>
      <c r="O106">
        <v>98</v>
      </c>
      <c r="P106">
        <v>96</v>
      </c>
      <c r="Q106">
        <v>94</v>
      </c>
      <c r="R106">
        <v>90</v>
      </c>
      <c r="S106">
        <v>90</v>
      </c>
      <c r="T106">
        <v>87</v>
      </c>
      <c r="U106">
        <v>83</v>
      </c>
      <c r="V106">
        <v>81</v>
      </c>
      <c r="W106">
        <v>78</v>
      </c>
      <c r="X106">
        <v>76</v>
      </c>
      <c r="Y106">
        <v>84</v>
      </c>
      <c r="Z106">
        <v>102</v>
      </c>
      <c r="AA106">
        <v>101</v>
      </c>
      <c r="AB106">
        <v>90</v>
      </c>
      <c r="AC106">
        <v>90</v>
      </c>
      <c r="AD106">
        <v>77</v>
      </c>
      <c r="AE106">
        <v>72</v>
      </c>
      <c r="AF106">
        <v>85</v>
      </c>
      <c r="AG106">
        <v>92</v>
      </c>
      <c r="AH106">
        <v>80</v>
      </c>
      <c r="AI106">
        <v>65</v>
      </c>
      <c r="AJ106">
        <v>66</v>
      </c>
      <c r="AK106">
        <v>61</v>
      </c>
      <c r="AL106">
        <v>64</v>
      </c>
      <c r="AM106">
        <v>62</v>
      </c>
      <c r="AN106">
        <v>69</v>
      </c>
      <c r="AO106">
        <v>76</v>
      </c>
      <c r="AP106">
        <v>82</v>
      </c>
      <c r="AQ106">
        <v>76</v>
      </c>
      <c r="AR106">
        <v>68</v>
      </c>
      <c r="AS106">
        <v>57</v>
      </c>
      <c r="AT106">
        <v>50</v>
      </c>
      <c r="AU106">
        <v>45</v>
      </c>
      <c r="AV106">
        <v>40</v>
      </c>
      <c r="AW106">
        <v>35</v>
      </c>
      <c r="AX106">
        <v>31</v>
      </c>
      <c r="AY106">
        <v>28</v>
      </c>
      <c r="AZ106">
        <v>24</v>
      </c>
      <c r="BA106">
        <v>20</v>
      </c>
      <c r="BB106">
        <v>17</v>
      </c>
      <c r="BC106">
        <v>18</v>
      </c>
      <c r="BD106">
        <v>19</v>
      </c>
      <c r="BE106">
        <v>19</v>
      </c>
      <c r="BF106">
        <v>18</v>
      </c>
      <c r="BG106">
        <v>17</v>
      </c>
      <c r="BH106">
        <v>17</v>
      </c>
      <c r="BI106">
        <v>14</v>
      </c>
      <c r="BJ106">
        <v>14</v>
      </c>
      <c r="BK106">
        <v>14</v>
      </c>
      <c r="BL106">
        <v>15</v>
      </c>
      <c r="BM106">
        <v>15</v>
      </c>
      <c r="BN106">
        <v>15</v>
      </c>
      <c r="BO106">
        <v>13</v>
      </c>
      <c r="BP106">
        <v>13</v>
      </c>
      <c r="BQ106">
        <v>11</v>
      </c>
      <c r="BR106">
        <v>12</v>
      </c>
      <c r="BS106">
        <v>11</v>
      </c>
      <c r="BT106">
        <v>11</v>
      </c>
      <c r="BU106">
        <v>11</v>
      </c>
      <c r="BV106">
        <v>10</v>
      </c>
      <c r="BW106">
        <v>9</v>
      </c>
      <c r="BX106">
        <v>6</v>
      </c>
      <c r="BY106">
        <v>5</v>
      </c>
      <c r="BZ106">
        <v>3</v>
      </c>
      <c r="CA106">
        <v>2</v>
      </c>
      <c r="CB106">
        <v>3</v>
      </c>
      <c r="CC106">
        <v>12</v>
      </c>
      <c r="CD106">
        <v>7</v>
      </c>
      <c r="CE106">
        <v>4</v>
      </c>
      <c r="CF106">
        <v>6</v>
      </c>
      <c r="CG106">
        <v>4</v>
      </c>
      <c r="CH106">
        <v>29</v>
      </c>
      <c r="CI106">
        <v>52</v>
      </c>
      <c r="CJ106">
        <v>92</v>
      </c>
      <c r="CK106">
        <v>169</v>
      </c>
      <c r="CL106">
        <v>173</v>
      </c>
      <c r="CM106">
        <v>145</v>
      </c>
      <c r="CN106">
        <v>322</v>
      </c>
      <c r="CO106">
        <v>347</v>
      </c>
      <c r="CP106">
        <v>383</v>
      </c>
      <c r="CQ106">
        <v>352</v>
      </c>
      <c r="CR106">
        <v>148</v>
      </c>
      <c r="CS106">
        <v>267</v>
      </c>
      <c r="CT106">
        <v>379</v>
      </c>
      <c r="CU106">
        <v>415</v>
      </c>
      <c r="CV106">
        <v>531</v>
      </c>
      <c r="CW106">
        <v>399</v>
      </c>
      <c r="CX106">
        <v>563</v>
      </c>
      <c r="CY106">
        <v>602</v>
      </c>
      <c r="CZ106">
        <v>619</v>
      </c>
      <c r="DA106">
        <v>532</v>
      </c>
      <c r="DB106">
        <v>522</v>
      </c>
      <c r="DC106">
        <v>543</v>
      </c>
      <c r="DD106">
        <v>537</v>
      </c>
      <c r="DE106">
        <v>672</v>
      </c>
      <c r="DF106">
        <v>1011</v>
      </c>
      <c r="DG106">
        <v>1180</v>
      </c>
      <c r="DH106">
        <v>1331</v>
      </c>
      <c r="DI106">
        <v>1378</v>
      </c>
      <c r="DJ106">
        <v>1102</v>
      </c>
      <c r="DK106">
        <v>1086</v>
      </c>
      <c r="DL106">
        <v>1221</v>
      </c>
      <c r="DM106">
        <v>1185</v>
      </c>
      <c r="DN106">
        <v>1243</v>
      </c>
      <c r="DO106">
        <v>1253</v>
      </c>
      <c r="DP106">
        <v>993</v>
      </c>
      <c r="DQ106">
        <v>716</v>
      </c>
    </row>
    <row r="107" spans="2:121" x14ac:dyDescent="0.35">
      <c r="B107">
        <v>112</v>
      </c>
      <c r="C107">
        <v>117</v>
      </c>
      <c r="D107">
        <v>117</v>
      </c>
      <c r="E107">
        <v>116</v>
      </c>
      <c r="F107">
        <v>113</v>
      </c>
      <c r="G107">
        <v>117</v>
      </c>
      <c r="H107">
        <v>128</v>
      </c>
      <c r="I107">
        <v>127</v>
      </c>
      <c r="J107">
        <v>114</v>
      </c>
      <c r="K107">
        <v>106</v>
      </c>
      <c r="L107">
        <v>108</v>
      </c>
      <c r="M107">
        <v>115</v>
      </c>
      <c r="N107">
        <v>125</v>
      </c>
      <c r="O107">
        <v>136</v>
      </c>
      <c r="P107">
        <v>148</v>
      </c>
      <c r="Q107">
        <v>174</v>
      </c>
      <c r="R107">
        <v>211</v>
      </c>
      <c r="S107">
        <v>224</v>
      </c>
      <c r="T107">
        <v>221</v>
      </c>
      <c r="U107">
        <v>235</v>
      </c>
      <c r="V107">
        <v>217</v>
      </c>
      <c r="W107">
        <v>211</v>
      </c>
      <c r="X107">
        <v>220</v>
      </c>
      <c r="Y107">
        <v>239</v>
      </c>
      <c r="Z107">
        <v>291</v>
      </c>
      <c r="AA107">
        <v>350</v>
      </c>
      <c r="AB107">
        <v>377</v>
      </c>
      <c r="AC107">
        <v>304</v>
      </c>
      <c r="AD107">
        <v>365</v>
      </c>
      <c r="AE107">
        <v>394</v>
      </c>
      <c r="AF107">
        <v>392</v>
      </c>
      <c r="AG107">
        <v>426</v>
      </c>
      <c r="AH107">
        <v>457</v>
      </c>
      <c r="AI107">
        <v>444</v>
      </c>
      <c r="AJ107">
        <v>478</v>
      </c>
      <c r="AK107">
        <v>418</v>
      </c>
      <c r="AL107">
        <v>352</v>
      </c>
      <c r="AM107">
        <v>374</v>
      </c>
      <c r="AN107">
        <v>429</v>
      </c>
      <c r="AO107">
        <v>474</v>
      </c>
      <c r="AP107">
        <v>458</v>
      </c>
      <c r="AQ107">
        <v>475</v>
      </c>
      <c r="AR107">
        <v>433</v>
      </c>
      <c r="AS107">
        <v>408</v>
      </c>
      <c r="AT107">
        <v>405</v>
      </c>
      <c r="AU107">
        <v>347</v>
      </c>
      <c r="AV107">
        <v>322</v>
      </c>
      <c r="AW107">
        <v>328</v>
      </c>
      <c r="AX107">
        <v>366</v>
      </c>
      <c r="AY107">
        <v>344</v>
      </c>
      <c r="AZ107">
        <v>346</v>
      </c>
      <c r="BA107">
        <v>417</v>
      </c>
      <c r="BB107">
        <v>548</v>
      </c>
      <c r="BC107">
        <v>629</v>
      </c>
      <c r="BD107">
        <v>572</v>
      </c>
      <c r="BE107">
        <v>632</v>
      </c>
      <c r="BF107">
        <v>623</v>
      </c>
      <c r="BG107">
        <v>763</v>
      </c>
      <c r="BH107">
        <v>836</v>
      </c>
      <c r="BI107">
        <v>874</v>
      </c>
      <c r="BJ107">
        <v>882</v>
      </c>
      <c r="BK107">
        <v>774</v>
      </c>
      <c r="BL107">
        <v>629</v>
      </c>
      <c r="BM107">
        <v>563</v>
      </c>
      <c r="BN107">
        <v>538</v>
      </c>
      <c r="BO107">
        <v>493</v>
      </c>
      <c r="BP107">
        <v>503</v>
      </c>
      <c r="BQ107">
        <v>506</v>
      </c>
      <c r="BR107">
        <v>505</v>
      </c>
      <c r="BS107">
        <v>537</v>
      </c>
      <c r="BT107">
        <v>538</v>
      </c>
      <c r="BU107">
        <v>524</v>
      </c>
      <c r="BV107">
        <v>542</v>
      </c>
      <c r="BW107">
        <v>540</v>
      </c>
      <c r="BX107">
        <v>551</v>
      </c>
      <c r="BY107">
        <v>580</v>
      </c>
      <c r="BZ107">
        <v>611</v>
      </c>
      <c r="CA107">
        <v>610</v>
      </c>
      <c r="CB107">
        <v>610</v>
      </c>
      <c r="CC107">
        <v>605</v>
      </c>
      <c r="CD107">
        <v>614</v>
      </c>
      <c r="CE107">
        <v>635</v>
      </c>
      <c r="CF107">
        <v>667</v>
      </c>
      <c r="CG107">
        <v>669</v>
      </c>
      <c r="CH107">
        <v>695</v>
      </c>
      <c r="CI107">
        <v>704</v>
      </c>
      <c r="CJ107">
        <v>773</v>
      </c>
      <c r="CK107">
        <v>818</v>
      </c>
      <c r="CL107">
        <v>732</v>
      </c>
      <c r="CM107">
        <v>774</v>
      </c>
      <c r="CN107">
        <v>915</v>
      </c>
      <c r="CO107">
        <v>973</v>
      </c>
      <c r="CP107">
        <v>859</v>
      </c>
      <c r="CQ107">
        <v>770</v>
      </c>
      <c r="CR107">
        <v>763</v>
      </c>
      <c r="CS107">
        <v>818</v>
      </c>
      <c r="CT107">
        <v>802</v>
      </c>
      <c r="CU107">
        <v>790</v>
      </c>
      <c r="CV107">
        <v>881</v>
      </c>
      <c r="CW107">
        <v>772</v>
      </c>
      <c r="CX107">
        <v>685</v>
      </c>
      <c r="CY107">
        <v>668</v>
      </c>
      <c r="CZ107">
        <v>655</v>
      </c>
      <c r="DA107">
        <v>694</v>
      </c>
      <c r="DB107">
        <v>693</v>
      </c>
      <c r="DC107">
        <v>686</v>
      </c>
      <c r="DD107">
        <v>654</v>
      </c>
      <c r="DE107">
        <v>630</v>
      </c>
      <c r="DF107">
        <v>615</v>
      </c>
      <c r="DG107">
        <v>614</v>
      </c>
      <c r="DH107">
        <v>605</v>
      </c>
      <c r="DI107">
        <v>615</v>
      </c>
      <c r="DJ107">
        <v>673</v>
      </c>
      <c r="DK107">
        <v>754</v>
      </c>
      <c r="DL107">
        <v>781</v>
      </c>
      <c r="DM107">
        <v>729</v>
      </c>
      <c r="DN107">
        <v>722</v>
      </c>
      <c r="DO107">
        <v>722</v>
      </c>
      <c r="DP107">
        <v>766</v>
      </c>
      <c r="DQ107">
        <v>786</v>
      </c>
    </row>
    <row r="108" spans="2:121" x14ac:dyDescent="0.35">
      <c r="B108">
        <v>144</v>
      </c>
      <c r="C108">
        <v>144</v>
      </c>
      <c r="D108">
        <v>142</v>
      </c>
      <c r="E108">
        <v>144</v>
      </c>
      <c r="F108">
        <v>144</v>
      </c>
      <c r="G108">
        <v>148</v>
      </c>
      <c r="H108">
        <v>147</v>
      </c>
      <c r="I108">
        <v>152</v>
      </c>
      <c r="J108">
        <v>162</v>
      </c>
      <c r="K108">
        <v>173</v>
      </c>
      <c r="L108">
        <v>188</v>
      </c>
      <c r="M108">
        <v>204</v>
      </c>
      <c r="N108">
        <v>220</v>
      </c>
      <c r="O108">
        <v>238</v>
      </c>
      <c r="P108">
        <v>262</v>
      </c>
      <c r="Q108">
        <v>256</v>
      </c>
      <c r="R108">
        <v>279</v>
      </c>
      <c r="S108">
        <v>359</v>
      </c>
      <c r="T108">
        <v>365</v>
      </c>
      <c r="U108">
        <v>440</v>
      </c>
      <c r="V108">
        <v>512</v>
      </c>
      <c r="W108">
        <v>674</v>
      </c>
      <c r="X108">
        <v>747</v>
      </c>
      <c r="Y108">
        <v>776</v>
      </c>
      <c r="Z108">
        <v>816</v>
      </c>
      <c r="AA108">
        <v>967</v>
      </c>
      <c r="AB108">
        <v>895</v>
      </c>
      <c r="AC108">
        <v>1133</v>
      </c>
      <c r="AD108">
        <v>1395</v>
      </c>
      <c r="AE108">
        <v>1348</v>
      </c>
      <c r="AF108">
        <v>1112</v>
      </c>
      <c r="AG108">
        <v>1116</v>
      </c>
      <c r="AH108">
        <v>1313</v>
      </c>
      <c r="AI108">
        <v>1595</v>
      </c>
      <c r="AJ108">
        <v>1979</v>
      </c>
      <c r="AK108">
        <v>2157</v>
      </c>
      <c r="AL108">
        <v>2215</v>
      </c>
      <c r="AM108">
        <v>2071</v>
      </c>
      <c r="AN108">
        <v>2104</v>
      </c>
      <c r="AO108">
        <v>1938</v>
      </c>
      <c r="AP108">
        <v>1530</v>
      </c>
      <c r="AQ108">
        <v>1498</v>
      </c>
      <c r="AR108">
        <v>1590</v>
      </c>
      <c r="AS108">
        <v>1262</v>
      </c>
      <c r="AT108">
        <v>1157</v>
      </c>
      <c r="AU108">
        <v>1333</v>
      </c>
      <c r="AV108">
        <v>1314</v>
      </c>
      <c r="AW108">
        <v>1447</v>
      </c>
      <c r="AX108">
        <v>1617</v>
      </c>
      <c r="AY108">
        <v>1545</v>
      </c>
      <c r="AZ108">
        <v>1265</v>
      </c>
      <c r="BA108">
        <v>957</v>
      </c>
      <c r="BB108">
        <v>728</v>
      </c>
      <c r="BC108">
        <v>738</v>
      </c>
      <c r="BD108">
        <v>900</v>
      </c>
      <c r="BE108">
        <v>1075</v>
      </c>
      <c r="BF108">
        <v>1371</v>
      </c>
      <c r="BG108">
        <v>1122</v>
      </c>
      <c r="BH108">
        <v>964</v>
      </c>
      <c r="BI108">
        <v>824</v>
      </c>
      <c r="BJ108">
        <v>705</v>
      </c>
      <c r="BK108">
        <v>738</v>
      </c>
      <c r="BL108">
        <v>804</v>
      </c>
      <c r="BM108">
        <v>685</v>
      </c>
      <c r="BN108">
        <v>541</v>
      </c>
      <c r="BO108">
        <v>521</v>
      </c>
      <c r="BP108">
        <v>567</v>
      </c>
      <c r="BQ108">
        <v>817</v>
      </c>
      <c r="BR108">
        <v>729</v>
      </c>
      <c r="BS108">
        <v>578</v>
      </c>
      <c r="BT108">
        <v>747</v>
      </c>
      <c r="BU108">
        <v>1044</v>
      </c>
      <c r="BV108">
        <v>1139</v>
      </c>
      <c r="BW108">
        <v>1025</v>
      </c>
      <c r="BX108">
        <v>779</v>
      </c>
      <c r="BY108">
        <v>525</v>
      </c>
      <c r="BZ108">
        <v>466</v>
      </c>
      <c r="CA108">
        <v>347</v>
      </c>
      <c r="CB108">
        <v>391</v>
      </c>
      <c r="CC108">
        <v>481</v>
      </c>
      <c r="CD108">
        <v>462</v>
      </c>
      <c r="CE108">
        <v>318</v>
      </c>
      <c r="CF108">
        <v>269</v>
      </c>
      <c r="CG108">
        <v>538</v>
      </c>
      <c r="CH108">
        <v>450</v>
      </c>
      <c r="CI108">
        <v>365</v>
      </c>
      <c r="CJ108">
        <v>304</v>
      </c>
      <c r="CK108">
        <v>289</v>
      </c>
      <c r="CL108">
        <v>365</v>
      </c>
      <c r="CM108">
        <v>301</v>
      </c>
      <c r="CN108">
        <v>177</v>
      </c>
      <c r="CO108">
        <v>132</v>
      </c>
      <c r="CP108">
        <v>117</v>
      </c>
      <c r="CQ108">
        <v>109</v>
      </c>
      <c r="CR108">
        <v>97</v>
      </c>
      <c r="CS108">
        <v>85</v>
      </c>
      <c r="CT108">
        <v>84</v>
      </c>
      <c r="CU108">
        <v>84</v>
      </c>
      <c r="CV108">
        <v>84</v>
      </c>
      <c r="CW108">
        <v>87</v>
      </c>
      <c r="CX108">
        <v>100</v>
      </c>
      <c r="CY108">
        <v>92</v>
      </c>
      <c r="CZ108">
        <v>100</v>
      </c>
      <c r="DA108">
        <v>96</v>
      </c>
      <c r="DB108">
        <v>107</v>
      </c>
      <c r="DC108">
        <v>109</v>
      </c>
      <c r="DD108">
        <v>100</v>
      </c>
      <c r="DE108">
        <v>94</v>
      </c>
      <c r="DF108">
        <v>91</v>
      </c>
      <c r="DG108">
        <v>88</v>
      </c>
      <c r="DH108">
        <v>98</v>
      </c>
      <c r="DI108">
        <v>102</v>
      </c>
      <c r="DJ108">
        <v>100</v>
      </c>
      <c r="DK108">
        <v>100</v>
      </c>
      <c r="DL108">
        <v>101</v>
      </c>
      <c r="DM108">
        <v>109</v>
      </c>
      <c r="DN108">
        <v>119</v>
      </c>
      <c r="DO108">
        <v>120</v>
      </c>
      <c r="DP108">
        <v>120</v>
      </c>
      <c r="DQ108">
        <v>119</v>
      </c>
    </row>
    <row r="109" spans="2:121" x14ac:dyDescent="0.35">
      <c r="B109">
        <v>5</v>
      </c>
      <c r="C109">
        <v>5</v>
      </c>
      <c r="D109">
        <v>15</v>
      </c>
      <c r="E109">
        <v>38</v>
      </c>
      <c r="F109">
        <v>69</v>
      </c>
      <c r="G109">
        <v>106</v>
      </c>
      <c r="H109">
        <v>142</v>
      </c>
      <c r="I109">
        <v>140</v>
      </c>
      <c r="J109">
        <v>129</v>
      </c>
      <c r="K109">
        <v>120</v>
      </c>
      <c r="L109">
        <v>128</v>
      </c>
      <c r="M109">
        <v>121</v>
      </c>
      <c r="N109">
        <v>100</v>
      </c>
      <c r="O109">
        <v>85</v>
      </c>
      <c r="P109">
        <v>75</v>
      </c>
      <c r="Q109">
        <v>72</v>
      </c>
      <c r="R109">
        <v>57</v>
      </c>
      <c r="S109">
        <v>55</v>
      </c>
      <c r="T109">
        <v>43</v>
      </c>
      <c r="U109">
        <v>35</v>
      </c>
      <c r="V109">
        <v>31</v>
      </c>
      <c r="W109">
        <v>28</v>
      </c>
      <c r="X109">
        <v>25</v>
      </c>
      <c r="Y109">
        <v>23</v>
      </c>
      <c r="Z109">
        <v>20</v>
      </c>
      <c r="AA109">
        <v>18</v>
      </c>
      <c r="AB109">
        <v>15</v>
      </c>
      <c r="AC109">
        <v>12</v>
      </c>
      <c r="AD109">
        <v>9</v>
      </c>
      <c r="AE109">
        <v>6</v>
      </c>
      <c r="AF109">
        <v>6</v>
      </c>
      <c r="AG109">
        <v>6</v>
      </c>
      <c r="AH109">
        <v>6</v>
      </c>
      <c r="AI109">
        <v>4</v>
      </c>
      <c r="AJ109">
        <v>7</v>
      </c>
      <c r="AK109">
        <v>8</v>
      </c>
      <c r="AL109">
        <v>6</v>
      </c>
      <c r="AM109">
        <v>5</v>
      </c>
      <c r="AN109">
        <v>6</v>
      </c>
      <c r="AO109">
        <v>5</v>
      </c>
      <c r="AP109">
        <v>4</v>
      </c>
      <c r="AQ109">
        <v>4</v>
      </c>
      <c r="AR109">
        <v>4</v>
      </c>
      <c r="AS109">
        <v>4</v>
      </c>
      <c r="AT109">
        <v>5</v>
      </c>
      <c r="AU109">
        <v>4</v>
      </c>
      <c r="AV109">
        <v>4</v>
      </c>
      <c r="AW109">
        <v>3</v>
      </c>
      <c r="AX109">
        <v>3</v>
      </c>
      <c r="AY109">
        <v>3</v>
      </c>
      <c r="AZ109">
        <v>3</v>
      </c>
      <c r="BA109">
        <v>4</v>
      </c>
      <c r="BB109">
        <v>2</v>
      </c>
      <c r="BC109">
        <v>3</v>
      </c>
      <c r="BD109">
        <v>3</v>
      </c>
      <c r="BE109">
        <v>5</v>
      </c>
      <c r="BF109">
        <v>4</v>
      </c>
      <c r="BG109">
        <v>4</v>
      </c>
      <c r="BH109">
        <v>3</v>
      </c>
      <c r="BI109">
        <v>3</v>
      </c>
      <c r="BJ109">
        <v>3</v>
      </c>
      <c r="BK109">
        <v>3</v>
      </c>
      <c r="BL109">
        <v>3</v>
      </c>
      <c r="BM109">
        <v>2</v>
      </c>
      <c r="BN109">
        <v>2</v>
      </c>
      <c r="BO109">
        <v>4</v>
      </c>
      <c r="BP109">
        <v>7</v>
      </c>
      <c r="BQ109">
        <v>8</v>
      </c>
      <c r="BR109">
        <v>10</v>
      </c>
      <c r="BS109">
        <v>10</v>
      </c>
      <c r="BT109">
        <v>12</v>
      </c>
      <c r="BU109">
        <v>15</v>
      </c>
      <c r="BV109">
        <v>16</v>
      </c>
      <c r="BW109">
        <v>17</v>
      </c>
      <c r="BX109">
        <v>17</v>
      </c>
      <c r="BY109">
        <v>19</v>
      </c>
      <c r="BZ109">
        <v>20</v>
      </c>
      <c r="CA109">
        <v>22</v>
      </c>
      <c r="CB109">
        <v>24</v>
      </c>
      <c r="CC109">
        <v>26</v>
      </c>
      <c r="CD109">
        <v>29</v>
      </c>
      <c r="CE109">
        <v>29</v>
      </c>
      <c r="CF109">
        <v>28</v>
      </c>
      <c r="CG109">
        <v>27</v>
      </c>
      <c r="CH109">
        <v>26</v>
      </c>
      <c r="CI109">
        <v>30</v>
      </c>
      <c r="CJ109">
        <v>32</v>
      </c>
      <c r="CK109">
        <v>32</v>
      </c>
      <c r="CL109">
        <v>37</v>
      </c>
      <c r="CM109">
        <v>37</v>
      </c>
      <c r="CN109">
        <v>36</v>
      </c>
      <c r="CO109">
        <v>42</v>
      </c>
      <c r="CP109">
        <v>39</v>
      </c>
      <c r="CQ109">
        <v>36</v>
      </c>
      <c r="CR109">
        <v>36</v>
      </c>
      <c r="CS109">
        <v>38</v>
      </c>
      <c r="CT109">
        <v>39</v>
      </c>
      <c r="CU109">
        <v>40</v>
      </c>
      <c r="CV109">
        <v>41</v>
      </c>
      <c r="CW109">
        <v>46</v>
      </c>
      <c r="CX109">
        <v>44</v>
      </c>
      <c r="CY109">
        <v>48</v>
      </c>
      <c r="CZ109">
        <v>47</v>
      </c>
      <c r="DA109">
        <v>49</v>
      </c>
      <c r="DB109">
        <v>55</v>
      </c>
      <c r="DC109">
        <v>67</v>
      </c>
      <c r="DD109">
        <v>75</v>
      </c>
      <c r="DE109">
        <v>78</v>
      </c>
      <c r="DF109">
        <v>87</v>
      </c>
      <c r="DG109">
        <v>101</v>
      </c>
      <c r="DH109">
        <v>114</v>
      </c>
      <c r="DI109">
        <v>135</v>
      </c>
      <c r="DJ109">
        <v>184</v>
      </c>
      <c r="DK109">
        <v>254</v>
      </c>
      <c r="DL109">
        <v>236</v>
      </c>
      <c r="DM109">
        <v>194</v>
      </c>
      <c r="DN109">
        <v>221</v>
      </c>
      <c r="DO109">
        <v>311</v>
      </c>
      <c r="DP109">
        <v>540</v>
      </c>
      <c r="DQ109">
        <v>724</v>
      </c>
    </row>
    <row r="110" spans="2:121" x14ac:dyDescent="0.35">
      <c r="B110">
        <v>504</v>
      </c>
      <c r="C110">
        <v>603</v>
      </c>
      <c r="D110">
        <v>808</v>
      </c>
      <c r="E110">
        <v>659</v>
      </c>
      <c r="F110">
        <v>602</v>
      </c>
      <c r="G110">
        <v>731</v>
      </c>
      <c r="H110">
        <v>664</v>
      </c>
      <c r="I110">
        <v>596</v>
      </c>
      <c r="J110">
        <v>596</v>
      </c>
      <c r="K110">
        <v>729</v>
      </c>
      <c r="L110">
        <v>736</v>
      </c>
      <c r="M110">
        <v>672</v>
      </c>
      <c r="N110">
        <v>586</v>
      </c>
      <c r="O110">
        <v>507</v>
      </c>
      <c r="P110">
        <v>561</v>
      </c>
      <c r="Q110">
        <v>482</v>
      </c>
      <c r="R110">
        <v>472</v>
      </c>
      <c r="S110">
        <v>398</v>
      </c>
      <c r="T110">
        <v>365</v>
      </c>
      <c r="U110">
        <v>298</v>
      </c>
      <c r="V110">
        <v>265</v>
      </c>
      <c r="W110">
        <v>241</v>
      </c>
      <c r="X110">
        <v>218</v>
      </c>
      <c r="Y110">
        <v>182</v>
      </c>
      <c r="Z110">
        <v>114</v>
      </c>
      <c r="AA110">
        <v>96</v>
      </c>
      <c r="AB110">
        <v>50</v>
      </c>
      <c r="AC110">
        <v>49</v>
      </c>
      <c r="AD110">
        <v>31</v>
      </c>
      <c r="AE110">
        <v>31</v>
      </c>
      <c r="AF110">
        <v>31</v>
      </c>
      <c r="AG110">
        <v>22</v>
      </c>
      <c r="AH110">
        <v>19</v>
      </c>
      <c r="AI110">
        <v>15</v>
      </c>
      <c r="AJ110">
        <v>6</v>
      </c>
      <c r="AK110">
        <v>5</v>
      </c>
      <c r="AL110">
        <v>5</v>
      </c>
      <c r="AM110">
        <v>4</v>
      </c>
      <c r="AN110">
        <v>9</v>
      </c>
      <c r="AO110">
        <v>9</v>
      </c>
      <c r="AP110">
        <v>8</v>
      </c>
      <c r="AQ110">
        <v>5</v>
      </c>
      <c r="AR110">
        <v>3</v>
      </c>
      <c r="AS110">
        <v>2</v>
      </c>
      <c r="AT110">
        <v>3</v>
      </c>
      <c r="AU110">
        <v>2</v>
      </c>
      <c r="AV110">
        <v>3</v>
      </c>
      <c r="AW110">
        <v>2</v>
      </c>
      <c r="AX110">
        <v>2</v>
      </c>
      <c r="AY110">
        <v>3</v>
      </c>
      <c r="AZ110">
        <v>3</v>
      </c>
      <c r="BA110">
        <v>4</v>
      </c>
      <c r="BB110">
        <v>5</v>
      </c>
      <c r="BC110">
        <v>6</v>
      </c>
      <c r="BD110">
        <v>6</v>
      </c>
      <c r="BE110">
        <v>3</v>
      </c>
      <c r="BF110">
        <v>4</v>
      </c>
      <c r="BG110">
        <v>3</v>
      </c>
      <c r="BH110">
        <v>3</v>
      </c>
      <c r="BI110">
        <v>3</v>
      </c>
      <c r="BJ110">
        <v>4</v>
      </c>
      <c r="BK110">
        <v>4</v>
      </c>
      <c r="BL110">
        <v>3</v>
      </c>
      <c r="BM110">
        <v>4</v>
      </c>
      <c r="BN110">
        <v>5</v>
      </c>
      <c r="BO110">
        <v>10</v>
      </c>
      <c r="BP110">
        <v>11</v>
      </c>
      <c r="BQ110">
        <v>12</v>
      </c>
      <c r="BR110">
        <v>15</v>
      </c>
      <c r="BS110">
        <v>14</v>
      </c>
      <c r="BT110">
        <v>8</v>
      </c>
      <c r="BU110">
        <v>8</v>
      </c>
      <c r="BV110">
        <v>13</v>
      </c>
      <c r="BW110">
        <v>10</v>
      </c>
      <c r="BX110">
        <v>16</v>
      </c>
      <c r="BY110">
        <v>19</v>
      </c>
      <c r="BZ110">
        <v>34</v>
      </c>
      <c r="CA110">
        <v>20</v>
      </c>
      <c r="CB110">
        <v>28</v>
      </c>
      <c r="CC110">
        <v>39</v>
      </c>
      <c r="CD110">
        <v>43</v>
      </c>
      <c r="CE110">
        <v>31</v>
      </c>
      <c r="CF110">
        <v>21</v>
      </c>
      <c r="CG110">
        <v>21</v>
      </c>
      <c r="CH110">
        <v>50</v>
      </c>
      <c r="CI110">
        <v>50</v>
      </c>
      <c r="CJ110">
        <v>30</v>
      </c>
      <c r="CK110">
        <v>16</v>
      </c>
      <c r="CL110">
        <v>13</v>
      </c>
      <c r="CM110">
        <v>10</v>
      </c>
      <c r="CN110">
        <v>19</v>
      </c>
      <c r="CO110">
        <v>38</v>
      </c>
      <c r="CP110">
        <v>45</v>
      </c>
      <c r="CQ110">
        <v>28</v>
      </c>
      <c r="CR110">
        <v>32</v>
      </c>
      <c r="CS110">
        <v>23</v>
      </c>
      <c r="CT110">
        <v>22</v>
      </c>
      <c r="CU110">
        <v>2</v>
      </c>
      <c r="CV110">
        <v>5</v>
      </c>
      <c r="CW110">
        <v>9</v>
      </c>
      <c r="CX110">
        <v>5</v>
      </c>
      <c r="CY110">
        <v>4</v>
      </c>
      <c r="CZ110">
        <v>3</v>
      </c>
      <c r="DA110">
        <v>6</v>
      </c>
      <c r="DB110">
        <v>8</v>
      </c>
      <c r="DC110">
        <v>8</v>
      </c>
      <c r="DD110">
        <v>10</v>
      </c>
      <c r="DE110">
        <v>12</v>
      </c>
      <c r="DF110">
        <v>12</v>
      </c>
      <c r="DG110">
        <v>14</v>
      </c>
      <c r="DH110">
        <v>15</v>
      </c>
      <c r="DI110">
        <v>17</v>
      </c>
      <c r="DJ110">
        <v>20</v>
      </c>
      <c r="DK110">
        <v>26</v>
      </c>
      <c r="DL110">
        <v>30</v>
      </c>
      <c r="DM110">
        <v>23</v>
      </c>
      <c r="DN110">
        <v>26</v>
      </c>
      <c r="DO110">
        <v>35</v>
      </c>
      <c r="DP110">
        <v>42</v>
      </c>
      <c r="DQ110">
        <v>43</v>
      </c>
    </row>
    <row r="111" spans="2:121" x14ac:dyDescent="0.35">
      <c r="B111">
        <v>139</v>
      </c>
      <c r="C111">
        <v>204</v>
      </c>
      <c r="D111">
        <v>262</v>
      </c>
      <c r="E111">
        <v>353</v>
      </c>
      <c r="F111">
        <v>423</v>
      </c>
      <c r="G111">
        <v>379</v>
      </c>
      <c r="H111">
        <v>449</v>
      </c>
      <c r="I111">
        <v>484</v>
      </c>
      <c r="J111">
        <v>213</v>
      </c>
      <c r="K111">
        <v>286</v>
      </c>
      <c r="L111">
        <v>487</v>
      </c>
      <c r="M111">
        <v>614</v>
      </c>
      <c r="N111">
        <v>616</v>
      </c>
      <c r="O111">
        <v>441</v>
      </c>
      <c r="P111">
        <v>339</v>
      </c>
      <c r="Q111">
        <v>387</v>
      </c>
      <c r="R111">
        <v>340</v>
      </c>
      <c r="S111">
        <v>258</v>
      </c>
      <c r="T111">
        <v>281</v>
      </c>
      <c r="U111">
        <v>352</v>
      </c>
      <c r="V111">
        <v>505</v>
      </c>
      <c r="W111">
        <v>725</v>
      </c>
      <c r="X111">
        <v>713</v>
      </c>
      <c r="Y111">
        <v>742</v>
      </c>
      <c r="Z111">
        <v>759</v>
      </c>
      <c r="AA111">
        <v>702</v>
      </c>
      <c r="AB111">
        <v>566</v>
      </c>
      <c r="AC111">
        <v>381</v>
      </c>
      <c r="AD111">
        <v>348</v>
      </c>
      <c r="AE111">
        <v>457</v>
      </c>
      <c r="AF111">
        <v>540</v>
      </c>
      <c r="AG111">
        <v>794</v>
      </c>
      <c r="AH111">
        <v>831</v>
      </c>
      <c r="AI111">
        <v>802</v>
      </c>
      <c r="AJ111">
        <v>762</v>
      </c>
      <c r="AK111">
        <v>703</v>
      </c>
      <c r="AL111">
        <v>640</v>
      </c>
      <c r="AM111">
        <v>558</v>
      </c>
      <c r="AN111">
        <v>557</v>
      </c>
      <c r="AO111">
        <v>606</v>
      </c>
      <c r="AP111">
        <v>769</v>
      </c>
      <c r="AQ111">
        <v>934</v>
      </c>
      <c r="AR111">
        <v>1075</v>
      </c>
      <c r="AS111">
        <v>1192</v>
      </c>
      <c r="AT111">
        <v>1232</v>
      </c>
      <c r="AU111">
        <v>1296</v>
      </c>
      <c r="AV111">
        <v>1446</v>
      </c>
      <c r="AW111">
        <v>1306</v>
      </c>
      <c r="AX111">
        <v>1354</v>
      </c>
      <c r="AY111">
        <v>1440</v>
      </c>
      <c r="AZ111">
        <v>1562</v>
      </c>
      <c r="BA111">
        <v>1788</v>
      </c>
      <c r="BB111">
        <v>1957</v>
      </c>
      <c r="BC111">
        <v>1660</v>
      </c>
      <c r="BD111">
        <v>1978</v>
      </c>
      <c r="BE111">
        <v>2219</v>
      </c>
      <c r="BF111">
        <v>2278</v>
      </c>
      <c r="BG111">
        <v>2404</v>
      </c>
      <c r="BH111">
        <v>1983</v>
      </c>
      <c r="BI111">
        <v>1771</v>
      </c>
      <c r="BJ111">
        <v>2023</v>
      </c>
      <c r="BK111">
        <v>2360</v>
      </c>
      <c r="BL111">
        <v>2445</v>
      </c>
      <c r="BM111">
        <v>2374</v>
      </c>
      <c r="BN111">
        <v>2412</v>
      </c>
      <c r="BO111">
        <v>2137</v>
      </c>
      <c r="BP111">
        <v>1788</v>
      </c>
      <c r="BQ111">
        <v>1730</v>
      </c>
      <c r="BR111">
        <v>1768</v>
      </c>
      <c r="BS111">
        <v>1773</v>
      </c>
      <c r="BT111">
        <v>1651</v>
      </c>
      <c r="BU111">
        <v>1865</v>
      </c>
      <c r="BV111">
        <v>2133</v>
      </c>
      <c r="BW111">
        <v>2081</v>
      </c>
      <c r="BX111">
        <v>2070</v>
      </c>
      <c r="BY111">
        <v>2081</v>
      </c>
      <c r="BZ111">
        <v>1933</v>
      </c>
      <c r="CA111">
        <v>1994</v>
      </c>
      <c r="CB111">
        <v>1835</v>
      </c>
      <c r="CC111">
        <v>1736</v>
      </c>
      <c r="CD111">
        <v>1910</v>
      </c>
      <c r="CE111">
        <v>1875</v>
      </c>
      <c r="CF111">
        <v>1926</v>
      </c>
      <c r="CG111">
        <v>1819</v>
      </c>
      <c r="CH111">
        <v>1833</v>
      </c>
      <c r="CI111">
        <v>1952</v>
      </c>
      <c r="CJ111">
        <v>1653</v>
      </c>
      <c r="CK111">
        <v>1522</v>
      </c>
      <c r="CL111">
        <v>1278</v>
      </c>
      <c r="CM111">
        <v>1147</v>
      </c>
      <c r="CN111">
        <v>1264</v>
      </c>
      <c r="CO111">
        <v>1423</v>
      </c>
      <c r="CP111">
        <v>1514</v>
      </c>
      <c r="CQ111">
        <v>1568</v>
      </c>
      <c r="CR111">
        <v>1645</v>
      </c>
      <c r="CS111">
        <v>1392</v>
      </c>
      <c r="CT111">
        <v>1314</v>
      </c>
      <c r="CU111">
        <v>1569</v>
      </c>
      <c r="CV111">
        <v>1704</v>
      </c>
      <c r="CW111">
        <v>1623</v>
      </c>
      <c r="CX111">
        <v>1571</v>
      </c>
      <c r="CY111">
        <v>1442</v>
      </c>
      <c r="CZ111">
        <v>1429</v>
      </c>
      <c r="DA111">
        <v>1631</v>
      </c>
      <c r="DB111">
        <v>1639</v>
      </c>
      <c r="DC111">
        <v>1473</v>
      </c>
      <c r="DD111">
        <v>1476</v>
      </c>
      <c r="DE111">
        <v>1197</v>
      </c>
      <c r="DF111">
        <v>1044</v>
      </c>
      <c r="DG111">
        <v>1054</v>
      </c>
      <c r="DH111">
        <v>1051</v>
      </c>
      <c r="DI111">
        <v>996</v>
      </c>
      <c r="DJ111">
        <v>1008</v>
      </c>
      <c r="DK111">
        <v>1017</v>
      </c>
      <c r="DL111">
        <v>959</v>
      </c>
      <c r="DM111">
        <v>948</v>
      </c>
      <c r="DN111">
        <v>742</v>
      </c>
      <c r="DO111">
        <v>575</v>
      </c>
      <c r="DP111">
        <v>508</v>
      </c>
      <c r="DQ111">
        <v>471</v>
      </c>
    </row>
    <row r="112" spans="2:121" x14ac:dyDescent="0.35">
      <c r="B112">
        <v>507</v>
      </c>
      <c r="C112">
        <v>352</v>
      </c>
      <c r="D112">
        <v>390</v>
      </c>
      <c r="E112">
        <v>358</v>
      </c>
      <c r="F112">
        <v>395</v>
      </c>
      <c r="G112">
        <v>409</v>
      </c>
      <c r="H112">
        <v>465</v>
      </c>
      <c r="I112">
        <v>493</v>
      </c>
      <c r="J112">
        <v>588</v>
      </c>
      <c r="K112">
        <v>680</v>
      </c>
      <c r="L112">
        <v>785</v>
      </c>
      <c r="M112">
        <v>799</v>
      </c>
      <c r="N112">
        <v>767</v>
      </c>
      <c r="O112">
        <v>813</v>
      </c>
      <c r="P112">
        <v>847</v>
      </c>
      <c r="Q112">
        <v>861</v>
      </c>
      <c r="R112">
        <v>816</v>
      </c>
      <c r="S112">
        <v>733</v>
      </c>
      <c r="T112">
        <v>713</v>
      </c>
      <c r="U112">
        <v>700</v>
      </c>
      <c r="V112">
        <v>744</v>
      </c>
      <c r="W112">
        <v>768</v>
      </c>
      <c r="X112">
        <v>754</v>
      </c>
      <c r="Y112">
        <v>757</v>
      </c>
      <c r="Z112">
        <v>766</v>
      </c>
      <c r="AA112">
        <v>680</v>
      </c>
      <c r="AB112">
        <v>569</v>
      </c>
      <c r="AC112">
        <v>547</v>
      </c>
      <c r="AD112">
        <v>583</v>
      </c>
      <c r="AE112">
        <v>565</v>
      </c>
      <c r="AF112">
        <v>557</v>
      </c>
      <c r="AG112">
        <v>431</v>
      </c>
      <c r="AH112">
        <v>352</v>
      </c>
      <c r="AI112">
        <v>283</v>
      </c>
      <c r="AJ112">
        <v>254</v>
      </c>
      <c r="AK112">
        <v>256</v>
      </c>
      <c r="AL112">
        <v>250</v>
      </c>
      <c r="AM112">
        <v>244</v>
      </c>
      <c r="AN112">
        <v>253</v>
      </c>
      <c r="AO112">
        <v>242</v>
      </c>
      <c r="AP112">
        <v>233</v>
      </c>
      <c r="AQ112">
        <v>219</v>
      </c>
      <c r="AR112">
        <v>213</v>
      </c>
      <c r="AS112">
        <v>204</v>
      </c>
      <c r="AT112">
        <v>195</v>
      </c>
      <c r="AU112">
        <v>187</v>
      </c>
      <c r="AV112">
        <v>182</v>
      </c>
      <c r="AW112">
        <v>178</v>
      </c>
      <c r="AX112">
        <v>175</v>
      </c>
      <c r="AY112">
        <v>174</v>
      </c>
      <c r="AZ112">
        <v>174</v>
      </c>
      <c r="BA112">
        <v>174</v>
      </c>
      <c r="BB112">
        <v>177</v>
      </c>
      <c r="BC112">
        <v>177</v>
      </c>
      <c r="BD112">
        <v>174</v>
      </c>
      <c r="BE112">
        <v>195</v>
      </c>
      <c r="BF112">
        <v>229</v>
      </c>
      <c r="BG112">
        <v>241</v>
      </c>
      <c r="BH112">
        <v>192</v>
      </c>
      <c r="BI112">
        <v>221</v>
      </c>
      <c r="BJ112">
        <v>210</v>
      </c>
      <c r="BK112">
        <v>218</v>
      </c>
      <c r="BL112">
        <v>220</v>
      </c>
      <c r="BM112">
        <v>219</v>
      </c>
      <c r="BN112">
        <v>203</v>
      </c>
      <c r="BO112">
        <v>199</v>
      </c>
      <c r="BP112">
        <v>195</v>
      </c>
      <c r="BQ112">
        <v>207</v>
      </c>
      <c r="BR112">
        <v>207</v>
      </c>
      <c r="BS112">
        <v>204</v>
      </c>
      <c r="BT112">
        <v>218</v>
      </c>
      <c r="BU112">
        <v>224</v>
      </c>
      <c r="BV112">
        <v>257</v>
      </c>
      <c r="BW112">
        <v>314</v>
      </c>
      <c r="BX112">
        <v>352</v>
      </c>
      <c r="BY112">
        <v>442</v>
      </c>
      <c r="BZ112">
        <v>528</v>
      </c>
      <c r="CA112">
        <v>601</v>
      </c>
      <c r="CB112">
        <v>693</v>
      </c>
      <c r="CC112">
        <v>752</v>
      </c>
      <c r="CD112">
        <v>781</v>
      </c>
      <c r="CE112">
        <v>768</v>
      </c>
      <c r="CF112">
        <v>775</v>
      </c>
      <c r="CG112">
        <v>808</v>
      </c>
      <c r="CH112">
        <v>798</v>
      </c>
      <c r="CI112">
        <v>668</v>
      </c>
      <c r="CJ112">
        <v>658</v>
      </c>
      <c r="CK112">
        <v>644</v>
      </c>
      <c r="CL112">
        <v>518</v>
      </c>
      <c r="CM112">
        <v>317</v>
      </c>
      <c r="CN112">
        <v>381</v>
      </c>
      <c r="CO112">
        <v>366</v>
      </c>
      <c r="CP112">
        <v>287</v>
      </c>
      <c r="CQ112">
        <v>208</v>
      </c>
      <c r="CR112">
        <v>217</v>
      </c>
      <c r="CS112">
        <v>227</v>
      </c>
      <c r="CT112">
        <v>210</v>
      </c>
      <c r="CU112">
        <v>194</v>
      </c>
      <c r="CV112">
        <v>169</v>
      </c>
      <c r="CW112">
        <v>144</v>
      </c>
      <c r="CX112">
        <v>134</v>
      </c>
      <c r="CY112">
        <v>130</v>
      </c>
      <c r="CZ112">
        <v>127</v>
      </c>
      <c r="DA112">
        <v>124</v>
      </c>
      <c r="DB112">
        <v>122</v>
      </c>
      <c r="DC112">
        <v>127</v>
      </c>
      <c r="DD112">
        <v>126</v>
      </c>
      <c r="DE112">
        <v>130</v>
      </c>
      <c r="DF112">
        <v>128</v>
      </c>
      <c r="DG112">
        <v>135</v>
      </c>
      <c r="DH112">
        <v>142</v>
      </c>
      <c r="DI112">
        <v>130</v>
      </c>
      <c r="DJ112">
        <v>142</v>
      </c>
      <c r="DK112">
        <v>140</v>
      </c>
      <c r="DL112">
        <v>129</v>
      </c>
      <c r="DM112">
        <v>133</v>
      </c>
      <c r="DN112">
        <v>135</v>
      </c>
      <c r="DO112">
        <v>119</v>
      </c>
      <c r="DP112">
        <v>106</v>
      </c>
      <c r="DQ112">
        <v>121</v>
      </c>
    </row>
    <row r="113" spans="2:121" x14ac:dyDescent="0.35">
      <c r="B113">
        <v>66</v>
      </c>
      <c r="C113">
        <v>64</v>
      </c>
      <c r="D113">
        <v>66</v>
      </c>
      <c r="E113">
        <v>73</v>
      </c>
      <c r="F113">
        <v>78</v>
      </c>
      <c r="G113">
        <v>80</v>
      </c>
      <c r="H113">
        <v>76</v>
      </c>
      <c r="I113">
        <v>82</v>
      </c>
      <c r="J113">
        <v>88</v>
      </c>
      <c r="K113">
        <v>96</v>
      </c>
      <c r="L113">
        <v>97</v>
      </c>
      <c r="M113">
        <v>96</v>
      </c>
      <c r="N113">
        <v>97</v>
      </c>
      <c r="O113">
        <v>105</v>
      </c>
      <c r="P113">
        <v>115</v>
      </c>
      <c r="Q113">
        <v>118</v>
      </c>
      <c r="R113">
        <v>114</v>
      </c>
      <c r="S113">
        <v>114</v>
      </c>
      <c r="T113">
        <v>116</v>
      </c>
      <c r="U113">
        <v>115</v>
      </c>
      <c r="V113">
        <v>104</v>
      </c>
      <c r="W113">
        <v>103</v>
      </c>
      <c r="X113">
        <v>118</v>
      </c>
      <c r="Y113">
        <v>136</v>
      </c>
      <c r="Z113">
        <v>142</v>
      </c>
      <c r="AA113">
        <v>130</v>
      </c>
      <c r="AB113">
        <v>141</v>
      </c>
      <c r="AC113">
        <v>145</v>
      </c>
      <c r="AD113">
        <v>137</v>
      </c>
      <c r="AE113">
        <v>132</v>
      </c>
      <c r="AF113">
        <v>139</v>
      </c>
      <c r="AG113">
        <v>124</v>
      </c>
      <c r="AH113">
        <v>129</v>
      </c>
      <c r="AI113">
        <v>132</v>
      </c>
      <c r="AJ113">
        <v>158</v>
      </c>
      <c r="AK113">
        <v>162</v>
      </c>
      <c r="AL113">
        <v>185</v>
      </c>
      <c r="AM113">
        <v>178</v>
      </c>
      <c r="AN113">
        <v>201</v>
      </c>
      <c r="AO113">
        <v>207</v>
      </c>
      <c r="AP113">
        <v>219</v>
      </c>
      <c r="AQ113">
        <v>243</v>
      </c>
      <c r="AR113">
        <v>293</v>
      </c>
      <c r="AS113">
        <v>297</v>
      </c>
      <c r="AT113">
        <v>290</v>
      </c>
      <c r="AU113">
        <v>322</v>
      </c>
      <c r="AV113">
        <v>294</v>
      </c>
      <c r="AW113">
        <v>305</v>
      </c>
      <c r="AX113">
        <v>340</v>
      </c>
      <c r="AY113">
        <v>363</v>
      </c>
      <c r="AZ113">
        <v>378</v>
      </c>
      <c r="BA113">
        <v>460</v>
      </c>
      <c r="BB113">
        <v>471</v>
      </c>
      <c r="BC113">
        <v>489</v>
      </c>
      <c r="BD113">
        <v>516</v>
      </c>
      <c r="BE113">
        <v>551</v>
      </c>
      <c r="BF113">
        <v>586</v>
      </c>
      <c r="BG113">
        <v>647</v>
      </c>
      <c r="BH113">
        <v>787</v>
      </c>
      <c r="BI113">
        <v>786</v>
      </c>
      <c r="BJ113">
        <v>625</v>
      </c>
      <c r="BK113">
        <v>636</v>
      </c>
      <c r="BL113">
        <v>595</v>
      </c>
      <c r="BM113">
        <v>492</v>
      </c>
      <c r="BN113">
        <v>479</v>
      </c>
      <c r="BO113">
        <v>420</v>
      </c>
      <c r="BP113">
        <v>453</v>
      </c>
      <c r="BQ113">
        <v>403</v>
      </c>
      <c r="BR113">
        <v>362</v>
      </c>
      <c r="BS113">
        <v>414</v>
      </c>
      <c r="BT113">
        <v>562</v>
      </c>
      <c r="BU113">
        <v>493</v>
      </c>
      <c r="BV113">
        <v>442</v>
      </c>
      <c r="BW113">
        <v>458</v>
      </c>
      <c r="BX113">
        <v>425</v>
      </c>
      <c r="BY113">
        <v>444</v>
      </c>
      <c r="BZ113">
        <v>474</v>
      </c>
      <c r="CA113">
        <v>520</v>
      </c>
      <c r="CB113">
        <v>485</v>
      </c>
      <c r="CC113">
        <v>492</v>
      </c>
      <c r="CD113">
        <v>531</v>
      </c>
      <c r="CE113">
        <v>550</v>
      </c>
      <c r="CF113">
        <v>572</v>
      </c>
      <c r="CG113">
        <v>610</v>
      </c>
      <c r="CH113">
        <v>566</v>
      </c>
      <c r="CI113">
        <v>546</v>
      </c>
      <c r="CJ113">
        <v>528</v>
      </c>
      <c r="CK113">
        <v>557</v>
      </c>
      <c r="CL113">
        <v>531</v>
      </c>
      <c r="CM113">
        <v>538</v>
      </c>
      <c r="CN113">
        <v>568</v>
      </c>
      <c r="CO113">
        <v>593</v>
      </c>
      <c r="CP113">
        <v>581</v>
      </c>
      <c r="CQ113">
        <v>581</v>
      </c>
      <c r="CR113">
        <v>630</v>
      </c>
      <c r="CS113">
        <v>667</v>
      </c>
      <c r="CT113">
        <v>659</v>
      </c>
      <c r="CU113">
        <v>611</v>
      </c>
      <c r="CV113">
        <v>653</v>
      </c>
      <c r="CW113">
        <v>670</v>
      </c>
      <c r="CX113">
        <v>624</v>
      </c>
      <c r="CY113">
        <v>636</v>
      </c>
      <c r="CZ113">
        <v>677</v>
      </c>
      <c r="DA113">
        <v>771</v>
      </c>
      <c r="DB113">
        <v>895</v>
      </c>
      <c r="DC113">
        <v>924</v>
      </c>
      <c r="DD113">
        <v>958</v>
      </c>
      <c r="DE113">
        <v>954</v>
      </c>
      <c r="DF113">
        <v>901</v>
      </c>
      <c r="DG113">
        <v>861</v>
      </c>
      <c r="DH113">
        <v>847</v>
      </c>
      <c r="DI113">
        <v>832</v>
      </c>
      <c r="DJ113">
        <v>819</v>
      </c>
      <c r="DK113">
        <v>913</v>
      </c>
      <c r="DL113">
        <v>944</v>
      </c>
      <c r="DM113">
        <v>843</v>
      </c>
      <c r="DN113">
        <v>759</v>
      </c>
      <c r="DO113">
        <v>831</v>
      </c>
      <c r="DP113">
        <v>829</v>
      </c>
      <c r="DQ113">
        <v>871</v>
      </c>
    </row>
    <row r="114" spans="2:121" x14ac:dyDescent="0.35">
      <c r="B114">
        <v>958</v>
      </c>
      <c r="C114">
        <v>962</v>
      </c>
      <c r="D114">
        <v>988</v>
      </c>
      <c r="E114">
        <v>1214</v>
      </c>
      <c r="F114">
        <v>1391</v>
      </c>
      <c r="G114">
        <v>1573</v>
      </c>
      <c r="H114">
        <v>1802</v>
      </c>
      <c r="I114">
        <v>1989</v>
      </c>
      <c r="J114">
        <v>2122</v>
      </c>
      <c r="K114">
        <v>2078</v>
      </c>
      <c r="L114">
        <v>2128</v>
      </c>
      <c r="M114">
        <v>1972</v>
      </c>
      <c r="N114">
        <v>1759</v>
      </c>
      <c r="O114">
        <v>1573</v>
      </c>
      <c r="P114">
        <v>1608</v>
      </c>
      <c r="Q114">
        <v>1809</v>
      </c>
      <c r="R114">
        <v>1928</v>
      </c>
      <c r="S114">
        <v>2211</v>
      </c>
      <c r="T114">
        <v>2098</v>
      </c>
      <c r="U114">
        <v>1921</v>
      </c>
      <c r="V114">
        <v>1779</v>
      </c>
      <c r="W114">
        <v>1676</v>
      </c>
      <c r="X114">
        <v>1520</v>
      </c>
      <c r="Y114">
        <v>1349</v>
      </c>
      <c r="Z114">
        <v>1434</v>
      </c>
      <c r="AA114">
        <v>1885</v>
      </c>
      <c r="AB114">
        <v>1800</v>
      </c>
      <c r="AC114">
        <v>1590</v>
      </c>
      <c r="AD114">
        <v>1326</v>
      </c>
      <c r="AE114">
        <v>1075</v>
      </c>
      <c r="AF114">
        <v>837</v>
      </c>
      <c r="AG114">
        <v>1105</v>
      </c>
      <c r="AH114">
        <v>996</v>
      </c>
      <c r="AI114">
        <v>863</v>
      </c>
      <c r="AJ114">
        <v>974</v>
      </c>
      <c r="AK114">
        <v>1121</v>
      </c>
      <c r="AL114">
        <v>942</v>
      </c>
      <c r="AM114">
        <v>1165</v>
      </c>
      <c r="AN114">
        <v>1091</v>
      </c>
      <c r="AO114">
        <v>931</v>
      </c>
      <c r="AP114">
        <v>758</v>
      </c>
      <c r="AQ114">
        <v>580</v>
      </c>
      <c r="AR114">
        <v>603</v>
      </c>
      <c r="AS114">
        <v>754</v>
      </c>
      <c r="AT114">
        <v>987</v>
      </c>
      <c r="AU114">
        <v>924</v>
      </c>
      <c r="AV114">
        <v>736</v>
      </c>
      <c r="AW114">
        <v>779</v>
      </c>
      <c r="AX114">
        <v>859</v>
      </c>
      <c r="AY114">
        <v>1050</v>
      </c>
      <c r="AZ114">
        <v>1079</v>
      </c>
      <c r="BA114">
        <v>982</v>
      </c>
      <c r="BB114">
        <v>1031</v>
      </c>
      <c r="BC114">
        <v>769</v>
      </c>
      <c r="BD114">
        <v>514</v>
      </c>
      <c r="BE114">
        <v>461</v>
      </c>
      <c r="BF114">
        <v>560</v>
      </c>
      <c r="BG114">
        <v>611</v>
      </c>
      <c r="BH114">
        <v>447</v>
      </c>
      <c r="BI114">
        <v>455</v>
      </c>
      <c r="BJ114">
        <v>658</v>
      </c>
      <c r="BK114">
        <v>739</v>
      </c>
      <c r="BL114">
        <v>494</v>
      </c>
      <c r="BM114">
        <v>390</v>
      </c>
      <c r="BN114">
        <v>346</v>
      </c>
      <c r="BO114">
        <v>301</v>
      </c>
      <c r="BP114">
        <v>359</v>
      </c>
      <c r="BQ114">
        <v>412</v>
      </c>
      <c r="BR114">
        <v>348</v>
      </c>
      <c r="BS114">
        <v>250</v>
      </c>
      <c r="BT114">
        <v>139</v>
      </c>
      <c r="BU114">
        <v>117</v>
      </c>
      <c r="BV114">
        <v>113</v>
      </c>
      <c r="BW114">
        <v>109</v>
      </c>
      <c r="BX114">
        <v>104</v>
      </c>
      <c r="BY114">
        <v>101</v>
      </c>
      <c r="BZ114">
        <v>98</v>
      </c>
      <c r="CA114">
        <v>95</v>
      </c>
      <c r="CB114">
        <v>88</v>
      </c>
      <c r="CC114">
        <v>77</v>
      </c>
      <c r="CD114">
        <v>73</v>
      </c>
      <c r="CE114">
        <v>73</v>
      </c>
      <c r="CF114">
        <v>70</v>
      </c>
      <c r="CG114">
        <v>74</v>
      </c>
      <c r="CH114">
        <v>73</v>
      </c>
      <c r="CI114">
        <v>93</v>
      </c>
      <c r="CJ114">
        <v>93</v>
      </c>
      <c r="CK114">
        <v>90</v>
      </c>
      <c r="CL114">
        <v>81</v>
      </c>
      <c r="CM114">
        <v>75</v>
      </c>
      <c r="CN114">
        <v>79</v>
      </c>
      <c r="CO114">
        <v>83</v>
      </c>
      <c r="CP114">
        <v>89</v>
      </c>
      <c r="CQ114">
        <v>90</v>
      </c>
      <c r="CR114">
        <v>90</v>
      </c>
      <c r="CS114">
        <v>97</v>
      </c>
      <c r="CT114">
        <v>107</v>
      </c>
      <c r="CU114">
        <v>113</v>
      </c>
      <c r="CV114">
        <v>109</v>
      </c>
      <c r="CW114">
        <v>104</v>
      </c>
      <c r="CX114">
        <v>97</v>
      </c>
      <c r="CY114">
        <v>92</v>
      </c>
      <c r="CZ114">
        <v>88</v>
      </c>
      <c r="DA114">
        <v>86</v>
      </c>
      <c r="DB114">
        <v>82</v>
      </c>
      <c r="DC114">
        <v>86</v>
      </c>
      <c r="DD114">
        <v>91</v>
      </c>
      <c r="DE114">
        <v>96</v>
      </c>
      <c r="DF114">
        <v>105</v>
      </c>
      <c r="DG114">
        <v>113</v>
      </c>
      <c r="DH114">
        <v>117</v>
      </c>
      <c r="DI114">
        <v>112</v>
      </c>
      <c r="DJ114">
        <v>105</v>
      </c>
      <c r="DK114">
        <v>94</v>
      </c>
      <c r="DL114">
        <v>87</v>
      </c>
      <c r="DM114">
        <v>81</v>
      </c>
      <c r="DN114">
        <v>77</v>
      </c>
      <c r="DO114">
        <v>76</v>
      </c>
      <c r="DP114">
        <v>78</v>
      </c>
      <c r="DQ114">
        <v>79</v>
      </c>
    </row>
    <row r="115" spans="2:121" x14ac:dyDescent="0.35">
      <c r="B115">
        <v>9</v>
      </c>
      <c r="C115">
        <v>16</v>
      </c>
      <c r="D115">
        <v>18</v>
      </c>
      <c r="E115">
        <v>13</v>
      </c>
      <c r="F115">
        <v>17</v>
      </c>
      <c r="G115">
        <v>28</v>
      </c>
      <c r="H115">
        <v>25</v>
      </c>
      <c r="I115">
        <v>25</v>
      </c>
      <c r="J115">
        <v>19</v>
      </c>
      <c r="K115">
        <v>15</v>
      </c>
      <c r="L115">
        <v>14</v>
      </c>
      <c r="M115">
        <v>14</v>
      </c>
      <c r="N115">
        <v>16</v>
      </c>
      <c r="O115">
        <v>19</v>
      </c>
      <c r="P115">
        <v>24</v>
      </c>
      <c r="Q115">
        <v>27</v>
      </c>
      <c r="R115">
        <v>28</v>
      </c>
      <c r="S115">
        <v>26</v>
      </c>
      <c r="T115">
        <v>27</v>
      </c>
      <c r="U115">
        <v>29</v>
      </c>
      <c r="V115">
        <v>33</v>
      </c>
      <c r="W115">
        <v>38</v>
      </c>
      <c r="X115">
        <v>36</v>
      </c>
      <c r="Y115">
        <v>35</v>
      </c>
      <c r="Z115">
        <v>36</v>
      </c>
      <c r="AA115">
        <v>39</v>
      </c>
      <c r="AB115">
        <v>41</v>
      </c>
      <c r="AC115">
        <v>45</v>
      </c>
      <c r="AD115">
        <v>48</v>
      </c>
      <c r="AE115">
        <v>54</v>
      </c>
      <c r="AF115">
        <v>56</v>
      </c>
      <c r="AG115">
        <v>61</v>
      </c>
      <c r="AH115">
        <v>64</v>
      </c>
      <c r="AI115">
        <v>58</v>
      </c>
      <c r="AJ115">
        <v>51</v>
      </c>
      <c r="AK115">
        <v>49</v>
      </c>
      <c r="AL115">
        <v>51</v>
      </c>
      <c r="AM115">
        <v>53</v>
      </c>
      <c r="AN115">
        <v>49</v>
      </c>
      <c r="AO115">
        <v>57</v>
      </c>
      <c r="AP115">
        <v>67</v>
      </c>
      <c r="AQ115">
        <v>61</v>
      </c>
      <c r="AR115">
        <v>60</v>
      </c>
      <c r="AS115">
        <v>61</v>
      </c>
      <c r="AT115">
        <v>57</v>
      </c>
      <c r="AU115">
        <v>71</v>
      </c>
      <c r="AV115">
        <v>77</v>
      </c>
      <c r="AW115">
        <v>72</v>
      </c>
      <c r="AX115">
        <v>69</v>
      </c>
      <c r="AY115">
        <v>76</v>
      </c>
      <c r="AZ115">
        <v>87</v>
      </c>
      <c r="BA115">
        <v>105</v>
      </c>
      <c r="BB115">
        <v>104</v>
      </c>
      <c r="BC115">
        <v>113</v>
      </c>
      <c r="BD115">
        <v>120</v>
      </c>
      <c r="BE115">
        <v>103</v>
      </c>
      <c r="BF115">
        <v>118</v>
      </c>
      <c r="BG115">
        <v>128</v>
      </c>
      <c r="BH115">
        <v>142</v>
      </c>
      <c r="BI115">
        <v>281</v>
      </c>
      <c r="BJ115">
        <v>358</v>
      </c>
      <c r="BK115">
        <v>553</v>
      </c>
      <c r="BL115">
        <v>850</v>
      </c>
      <c r="BM115">
        <v>935</v>
      </c>
      <c r="BN115">
        <v>750</v>
      </c>
      <c r="BO115">
        <v>796</v>
      </c>
      <c r="BP115">
        <v>570</v>
      </c>
      <c r="BQ115">
        <v>506</v>
      </c>
      <c r="BR115">
        <v>463</v>
      </c>
      <c r="BS115">
        <v>505</v>
      </c>
      <c r="BT115">
        <v>731</v>
      </c>
      <c r="BU115">
        <v>962</v>
      </c>
      <c r="BV115">
        <v>728</v>
      </c>
      <c r="BW115">
        <v>627</v>
      </c>
      <c r="BX115">
        <v>816</v>
      </c>
      <c r="BY115">
        <v>989</v>
      </c>
      <c r="BZ115">
        <v>894</v>
      </c>
      <c r="CA115">
        <v>1011</v>
      </c>
      <c r="CB115">
        <v>1213</v>
      </c>
      <c r="CC115">
        <v>1036</v>
      </c>
      <c r="CD115">
        <v>938</v>
      </c>
      <c r="CE115">
        <v>1142</v>
      </c>
      <c r="CF115">
        <v>1135</v>
      </c>
      <c r="CG115">
        <v>1135</v>
      </c>
      <c r="CH115">
        <v>1143</v>
      </c>
      <c r="CI115">
        <v>1083</v>
      </c>
      <c r="CJ115">
        <v>1144</v>
      </c>
      <c r="CK115">
        <v>1205</v>
      </c>
      <c r="CL115">
        <v>1297</v>
      </c>
      <c r="CM115">
        <v>1397</v>
      </c>
      <c r="CN115">
        <v>1258</v>
      </c>
      <c r="CO115">
        <v>1121</v>
      </c>
      <c r="CP115">
        <v>1076</v>
      </c>
      <c r="CQ115">
        <v>1107</v>
      </c>
      <c r="CR115">
        <v>1151</v>
      </c>
      <c r="CS115">
        <v>1201</v>
      </c>
      <c r="CT115">
        <v>1280</v>
      </c>
      <c r="CU115">
        <v>1441</v>
      </c>
      <c r="CV115">
        <v>1647</v>
      </c>
      <c r="CW115">
        <v>1882</v>
      </c>
      <c r="CX115">
        <v>2050</v>
      </c>
      <c r="CY115">
        <v>2073</v>
      </c>
      <c r="CZ115">
        <v>2086</v>
      </c>
      <c r="DA115">
        <v>1972</v>
      </c>
      <c r="DB115">
        <v>1930</v>
      </c>
      <c r="DC115">
        <v>1691</v>
      </c>
      <c r="DD115">
        <v>1512</v>
      </c>
      <c r="DE115">
        <v>1465</v>
      </c>
      <c r="DF115">
        <v>1611</v>
      </c>
      <c r="DG115">
        <v>1784</v>
      </c>
      <c r="DH115">
        <v>1841</v>
      </c>
      <c r="DI115">
        <v>1835</v>
      </c>
      <c r="DJ115">
        <v>1893</v>
      </c>
      <c r="DK115">
        <v>1926</v>
      </c>
      <c r="DL115">
        <v>2031</v>
      </c>
      <c r="DM115">
        <v>2138</v>
      </c>
      <c r="DN115">
        <v>2216</v>
      </c>
      <c r="DO115">
        <v>2252</v>
      </c>
      <c r="DP115">
        <v>2388</v>
      </c>
      <c r="DQ115">
        <v>2360</v>
      </c>
    </row>
    <row r="116" spans="2:121" x14ac:dyDescent="0.35">
      <c r="B116">
        <v>5</v>
      </c>
      <c r="C116">
        <v>9</v>
      </c>
      <c r="D116">
        <v>9</v>
      </c>
      <c r="E116">
        <v>8</v>
      </c>
      <c r="F116">
        <v>9</v>
      </c>
      <c r="G116">
        <v>7</v>
      </c>
      <c r="H116">
        <v>5</v>
      </c>
      <c r="I116">
        <v>3</v>
      </c>
      <c r="J116">
        <v>2</v>
      </c>
      <c r="K116">
        <v>6</v>
      </c>
      <c r="L116">
        <v>3</v>
      </c>
      <c r="M116">
        <v>3</v>
      </c>
      <c r="N116">
        <v>3</v>
      </c>
      <c r="O116">
        <v>4</v>
      </c>
      <c r="P116">
        <v>2</v>
      </c>
      <c r="Q116">
        <v>4</v>
      </c>
      <c r="R116">
        <v>15</v>
      </c>
      <c r="S116">
        <v>23</v>
      </c>
      <c r="T116">
        <v>23</v>
      </c>
      <c r="U116">
        <v>23</v>
      </c>
      <c r="V116">
        <v>25</v>
      </c>
      <c r="W116">
        <v>23</v>
      </c>
      <c r="X116">
        <v>19</v>
      </c>
      <c r="Y116">
        <v>19</v>
      </c>
      <c r="Z116">
        <v>24</v>
      </c>
      <c r="AA116">
        <v>25</v>
      </c>
      <c r="AB116">
        <v>26</v>
      </c>
      <c r="AC116">
        <v>25</v>
      </c>
      <c r="AD116">
        <v>23</v>
      </c>
      <c r="AE116">
        <v>2</v>
      </c>
      <c r="AF116">
        <v>4</v>
      </c>
      <c r="AG116">
        <v>5</v>
      </c>
      <c r="AH116">
        <v>6</v>
      </c>
      <c r="AI116">
        <v>8</v>
      </c>
      <c r="AJ116">
        <v>10</v>
      </c>
      <c r="AK116">
        <v>13</v>
      </c>
      <c r="AL116">
        <v>16</v>
      </c>
      <c r="AM116">
        <v>18</v>
      </c>
      <c r="AN116">
        <v>20</v>
      </c>
      <c r="AO116">
        <v>21</v>
      </c>
      <c r="AP116">
        <v>23</v>
      </c>
      <c r="AQ116">
        <v>27</v>
      </c>
      <c r="AR116">
        <v>27</v>
      </c>
      <c r="AS116">
        <v>35</v>
      </c>
      <c r="AT116">
        <v>37</v>
      </c>
      <c r="AU116">
        <v>54</v>
      </c>
      <c r="AV116">
        <v>53</v>
      </c>
      <c r="AW116">
        <v>72</v>
      </c>
      <c r="AX116">
        <v>75</v>
      </c>
      <c r="AY116">
        <v>65</v>
      </c>
      <c r="AZ116">
        <v>87</v>
      </c>
      <c r="BA116">
        <v>82</v>
      </c>
      <c r="BB116">
        <v>62</v>
      </c>
      <c r="BC116">
        <v>43</v>
      </c>
      <c r="BD116">
        <v>39</v>
      </c>
      <c r="BE116">
        <v>49</v>
      </c>
      <c r="BF116">
        <v>56</v>
      </c>
      <c r="BG116">
        <v>55</v>
      </c>
      <c r="BH116">
        <v>69</v>
      </c>
      <c r="BI116">
        <v>53</v>
      </c>
      <c r="BJ116">
        <v>64</v>
      </c>
      <c r="BK116">
        <v>78</v>
      </c>
      <c r="BL116">
        <v>72</v>
      </c>
      <c r="BM116">
        <v>64</v>
      </c>
      <c r="BN116">
        <v>57</v>
      </c>
      <c r="BO116">
        <v>66</v>
      </c>
      <c r="BP116">
        <v>59</v>
      </c>
      <c r="BQ116">
        <v>51</v>
      </c>
      <c r="BR116">
        <v>59</v>
      </c>
      <c r="BS116">
        <v>61</v>
      </c>
      <c r="BT116">
        <v>63</v>
      </c>
      <c r="BU116">
        <v>94</v>
      </c>
      <c r="BV116">
        <v>99</v>
      </c>
      <c r="BW116">
        <v>117</v>
      </c>
      <c r="BX116">
        <v>116</v>
      </c>
      <c r="BY116">
        <v>49</v>
      </c>
      <c r="BZ116">
        <v>27</v>
      </c>
      <c r="CA116">
        <v>27</v>
      </c>
      <c r="CB116">
        <v>27</v>
      </c>
      <c r="CC116">
        <v>28</v>
      </c>
      <c r="CD116">
        <v>27</v>
      </c>
      <c r="CE116">
        <v>15</v>
      </c>
      <c r="CF116">
        <v>7</v>
      </c>
      <c r="CG116">
        <v>5</v>
      </c>
      <c r="CH116">
        <v>2</v>
      </c>
      <c r="CI116">
        <v>1</v>
      </c>
      <c r="CJ116">
        <v>1</v>
      </c>
      <c r="CK116">
        <v>5</v>
      </c>
      <c r="CL116">
        <v>7</v>
      </c>
      <c r="CM116">
        <v>11</v>
      </c>
      <c r="CN116">
        <v>14</v>
      </c>
      <c r="CO116">
        <v>16</v>
      </c>
      <c r="CP116">
        <v>18</v>
      </c>
      <c r="CQ116">
        <v>23</v>
      </c>
      <c r="CR116">
        <v>25</v>
      </c>
      <c r="CS116">
        <v>32</v>
      </c>
      <c r="CT116">
        <v>33</v>
      </c>
      <c r="CU116">
        <v>36</v>
      </c>
      <c r="CV116">
        <v>46</v>
      </c>
      <c r="CW116">
        <v>55</v>
      </c>
      <c r="CX116">
        <v>65</v>
      </c>
      <c r="CY116">
        <v>79</v>
      </c>
      <c r="CZ116">
        <v>75</v>
      </c>
      <c r="DA116">
        <v>75</v>
      </c>
      <c r="DB116">
        <v>82</v>
      </c>
      <c r="DC116">
        <v>125</v>
      </c>
      <c r="DD116">
        <v>133</v>
      </c>
      <c r="DE116">
        <v>128</v>
      </c>
      <c r="DF116">
        <v>142</v>
      </c>
      <c r="DG116">
        <v>159</v>
      </c>
      <c r="DH116">
        <v>173</v>
      </c>
      <c r="DI116">
        <v>194</v>
      </c>
      <c r="DJ116">
        <v>282</v>
      </c>
      <c r="DK116">
        <v>274</v>
      </c>
      <c r="DL116">
        <v>272</v>
      </c>
      <c r="DM116">
        <v>289</v>
      </c>
      <c r="DN116">
        <v>269</v>
      </c>
      <c r="DO116">
        <v>207</v>
      </c>
      <c r="DP116">
        <v>228</v>
      </c>
      <c r="DQ116">
        <v>208</v>
      </c>
    </row>
    <row r="117" spans="2:121" x14ac:dyDescent="0.35">
      <c r="B117">
        <v>1075</v>
      </c>
      <c r="C117">
        <v>1277</v>
      </c>
      <c r="D117">
        <v>1410</v>
      </c>
      <c r="E117">
        <v>1272</v>
      </c>
      <c r="F117">
        <v>1203</v>
      </c>
      <c r="G117">
        <v>1235</v>
      </c>
      <c r="H117">
        <v>1375</v>
      </c>
      <c r="I117">
        <v>1489</v>
      </c>
      <c r="J117">
        <v>1523</v>
      </c>
      <c r="K117">
        <v>1466</v>
      </c>
      <c r="L117">
        <v>1296</v>
      </c>
      <c r="M117">
        <v>1172</v>
      </c>
      <c r="N117">
        <v>1280</v>
      </c>
      <c r="O117">
        <v>1315</v>
      </c>
      <c r="P117">
        <v>1047</v>
      </c>
      <c r="Q117">
        <v>1098</v>
      </c>
      <c r="R117">
        <v>1260</v>
      </c>
      <c r="S117">
        <v>1317</v>
      </c>
      <c r="T117">
        <v>1237</v>
      </c>
      <c r="U117">
        <v>1107</v>
      </c>
      <c r="V117">
        <v>1122</v>
      </c>
      <c r="W117">
        <v>1145</v>
      </c>
      <c r="X117">
        <v>1172</v>
      </c>
      <c r="Y117">
        <v>1189</v>
      </c>
      <c r="Z117">
        <v>1137</v>
      </c>
      <c r="AA117">
        <v>1069</v>
      </c>
      <c r="AB117">
        <v>962</v>
      </c>
      <c r="AC117">
        <v>903</v>
      </c>
      <c r="AD117">
        <v>896</v>
      </c>
      <c r="AE117">
        <v>890</v>
      </c>
      <c r="AF117">
        <v>887</v>
      </c>
      <c r="AG117">
        <v>901</v>
      </c>
      <c r="AH117">
        <v>898</v>
      </c>
      <c r="AI117">
        <v>875</v>
      </c>
      <c r="AJ117">
        <v>882</v>
      </c>
      <c r="AK117">
        <v>888</v>
      </c>
      <c r="AL117">
        <v>891</v>
      </c>
      <c r="AM117">
        <v>887</v>
      </c>
      <c r="AN117">
        <v>881</v>
      </c>
      <c r="AO117">
        <v>872</v>
      </c>
      <c r="AP117">
        <v>878</v>
      </c>
      <c r="AQ117">
        <v>887</v>
      </c>
      <c r="AR117">
        <v>897</v>
      </c>
      <c r="AS117">
        <v>893</v>
      </c>
      <c r="AT117">
        <v>946</v>
      </c>
      <c r="AU117">
        <v>992</v>
      </c>
      <c r="AV117">
        <v>998</v>
      </c>
      <c r="AW117">
        <v>937</v>
      </c>
      <c r="AX117">
        <v>822</v>
      </c>
      <c r="AY117">
        <v>806</v>
      </c>
      <c r="AZ117">
        <v>772</v>
      </c>
      <c r="BA117">
        <v>761</v>
      </c>
      <c r="BB117">
        <v>883</v>
      </c>
      <c r="BC117">
        <v>945</v>
      </c>
      <c r="BD117">
        <v>870</v>
      </c>
      <c r="BE117">
        <v>779</v>
      </c>
      <c r="BF117">
        <v>624</v>
      </c>
      <c r="BG117">
        <v>732</v>
      </c>
      <c r="BH117">
        <v>831</v>
      </c>
      <c r="BI117">
        <v>729</v>
      </c>
      <c r="BJ117">
        <v>799</v>
      </c>
      <c r="BK117">
        <v>689</v>
      </c>
      <c r="BL117">
        <v>489</v>
      </c>
      <c r="BM117">
        <v>538</v>
      </c>
      <c r="BN117">
        <v>605</v>
      </c>
      <c r="BO117">
        <v>739</v>
      </c>
      <c r="BP117">
        <v>797</v>
      </c>
      <c r="BQ117">
        <v>734</v>
      </c>
      <c r="BR117">
        <v>692</v>
      </c>
      <c r="BS117">
        <v>619</v>
      </c>
      <c r="BT117">
        <v>495</v>
      </c>
      <c r="BU117">
        <v>428</v>
      </c>
      <c r="BV117">
        <v>374</v>
      </c>
      <c r="BW117">
        <v>409</v>
      </c>
      <c r="BX117">
        <v>426</v>
      </c>
      <c r="BY117">
        <v>428</v>
      </c>
      <c r="BZ117">
        <v>395</v>
      </c>
      <c r="CA117">
        <v>482</v>
      </c>
      <c r="CB117">
        <v>678</v>
      </c>
      <c r="CC117">
        <v>925</v>
      </c>
      <c r="CD117">
        <v>1208</v>
      </c>
      <c r="CE117">
        <v>1238</v>
      </c>
      <c r="CF117">
        <v>1226</v>
      </c>
      <c r="CG117">
        <v>957</v>
      </c>
      <c r="CH117">
        <v>718</v>
      </c>
      <c r="CI117">
        <v>794</v>
      </c>
      <c r="CJ117">
        <v>1051</v>
      </c>
      <c r="CK117">
        <v>1000</v>
      </c>
      <c r="CL117">
        <v>824</v>
      </c>
      <c r="CM117">
        <v>1065</v>
      </c>
      <c r="CN117">
        <v>1187</v>
      </c>
      <c r="CO117">
        <v>1063</v>
      </c>
      <c r="CP117">
        <v>784</v>
      </c>
      <c r="CQ117">
        <v>553</v>
      </c>
      <c r="CR117">
        <v>581</v>
      </c>
      <c r="CS117">
        <v>753</v>
      </c>
      <c r="CT117">
        <v>804</v>
      </c>
      <c r="CU117">
        <v>634</v>
      </c>
      <c r="CV117">
        <v>696</v>
      </c>
      <c r="CW117">
        <v>569</v>
      </c>
      <c r="CX117">
        <v>443</v>
      </c>
      <c r="CY117">
        <v>422</v>
      </c>
      <c r="CZ117">
        <v>590</v>
      </c>
      <c r="DA117">
        <v>510</v>
      </c>
      <c r="DB117">
        <v>609</v>
      </c>
      <c r="DC117">
        <v>550</v>
      </c>
      <c r="DD117">
        <v>439</v>
      </c>
      <c r="DE117">
        <v>405</v>
      </c>
      <c r="DF117">
        <v>467</v>
      </c>
      <c r="DG117">
        <v>315</v>
      </c>
      <c r="DH117">
        <v>162</v>
      </c>
      <c r="DI117">
        <v>267</v>
      </c>
      <c r="DJ117">
        <v>182</v>
      </c>
      <c r="DK117">
        <v>142</v>
      </c>
      <c r="DL117">
        <v>111</v>
      </c>
      <c r="DM117">
        <v>128</v>
      </c>
      <c r="DN117">
        <v>78</v>
      </c>
      <c r="DO117">
        <v>61</v>
      </c>
      <c r="DP117">
        <v>50</v>
      </c>
      <c r="DQ117">
        <v>40</v>
      </c>
    </row>
    <row r="118" spans="2:121" x14ac:dyDescent="0.35">
      <c r="B118">
        <v>265</v>
      </c>
      <c r="C118">
        <v>262</v>
      </c>
      <c r="D118">
        <v>254</v>
      </c>
      <c r="E118">
        <v>232</v>
      </c>
      <c r="F118">
        <v>231</v>
      </c>
      <c r="G118">
        <v>244</v>
      </c>
      <c r="H118">
        <v>248</v>
      </c>
      <c r="I118">
        <v>263</v>
      </c>
      <c r="J118">
        <v>251</v>
      </c>
      <c r="K118">
        <v>266</v>
      </c>
      <c r="L118">
        <v>290</v>
      </c>
      <c r="M118">
        <v>293</v>
      </c>
      <c r="N118">
        <v>315</v>
      </c>
      <c r="O118">
        <v>369</v>
      </c>
      <c r="P118">
        <v>403</v>
      </c>
      <c r="Q118">
        <v>446</v>
      </c>
      <c r="R118">
        <v>466</v>
      </c>
      <c r="S118">
        <v>494</v>
      </c>
      <c r="T118">
        <v>495</v>
      </c>
      <c r="U118">
        <v>569</v>
      </c>
      <c r="V118">
        <v>607</v>
      </c>
      <c r="W118">
        <v>640</v>
      </c>
      <c r="X118">
        <v>639</v>
      </c>
      <c r="Y118">
        <v>631</v>
      </c>
      <c r="Z118">
        <v>642</v>
      </c>
      <c r="AA118">
        <v>723</v>
      </c>
      <c r="AB118">
        <v>723</v>
      </c>
      <c r="AC118">
        <v>739</v>
      </c>
      <c r="AD118">
        <v>776</v>
      </c>
      <c r="AE118">
        <v>707</v>
      </c>
      <c r="AF118">
        <v>700</v>
      </c>
      <c r="AG118">
        <v>606</v>
      </c>
      <c r="AH118">
        <v>374</v>
      </c>
      <c r="AI118">
        <v>352</v>
      </c>
      <c r="AJ118">
        <v>248</v>
      </c>
      <c r="AK118">
        <v>206</v>
      </c>
      <c r="AL118">
        <v>205</v>
      </c>
      <c r="AM118">
        <v>212</v>
      </c>
      <c r="AN118">
        <v>192</v>
      </c>
      <c r="AO118">
        <v>197</v>
      </c>
      <c r="AP118">
        <v>188</v>
      </c>
      <c r="AQ118">
        <v>178</v>
      </c>
      <c r="AR118">
        <v>174</v>
      </c>
      <c r="AS118">
        <v>175</v>
      </c>
      <c r="AT118">
        <v>186</v>
      </c>
      <c r="AU118">
        <v>189</v>
      </c>
      <c r="AV118">
        <v>184</v>
      </c>
      <c r="AW118">
        <v>244</v>
      </c>
      <c r="AX118">
        <v>328</v>
      </c>
      <c r="AY118">
        <v>345</v>
      </c>
      <c r="AZ118">
        <v>355</v>
      </c>
      <c r="BA118">
        <v>384</v>
      </c>
      <c r="BB118">
        <v>450</v>
      </c>
      <c r="BC118">
        <v>364</v>
      </c>
      <c r="BD118">
        <v>459</v>
      </c>
      <c r="BE118">
        <v>417</v>
      </c>
      <c r="BF118">
        <v>468</v>
      </c>
      <c r="BG118">
        <v>521</v>
      </c>
      <c r="BH118">
        <v>579</v>
      </c>
      <c r="BI118">
        <v>542</v>
      </c>
      <c r="BJ118">
        <v>606</v>
      </c>
      <c r="BK118">
        <v>830</v>
      </c>
      <c r="BL118">
        <v>735</v>
      </c>
      <c r="BM118">
        <v>586</v>
      </c>
      <c r="BN118">
        <v>745</v>
      </c>
      <c r="BO118">
        <v>647</v>
      </c>
      <c r="BP118">
        <v>735</v>
      </c>
      <c r="BQ118">
        <v>776</v>
      </c>
      <c r="BR118">
        <v>708</v>
      </c>
      <c r="BS118">
        <v>534</v>
      </c>
      <c r="BT118">
        <v>305</v>
      </c>
      <c r="BU118">
        <v>167</v>
      </c>
      <c r="BV118">
        <v>199</v>
      </c>
      <c r="BW118">
        <v>281</v>
      </c>
      <c r="BX118">
        <v>341</v>
      </c>
      <c r="BY118">
        <v>225</v>
      </c>
      <c r="BZ118">
        <v>88</v>
      </c>
      <c r="CA118">
        <v>129</v>
      </c>
      <c r="CB118">
        <v>56</v>
      </c>
      <c r="CC118">
        <v>48</v>
      </c>
      <c r="CD118">
        <v>43</v>
      </c>
      <c r="CE118">
        <v>36</v>
      </c>
      <c r="CF118">
        <v>35</v>
      </c>
      <c r="CG118">
        <v>34</v>
      </c>
      <c r="CH118">
        <v>33</v>
      </c>
      <c r="CI118">
        <v>31</v>
      </c>
      <c r="CJ118">
        <v>30</v>
      </c>
      <c r="CK118">
        <v>28</v>
      </c>
      <c r="CL118">
        <v>27</v>
      </c>
      <c r="CM118">
        <v>24</v>
      </c>
      <c r="CN118">
        <v>23</v>
      </c>
      <c r="CO118">
        <v>21</v>
      </c>
      <c r="CP118">
        <v>26</v>
      </c>
      <c r="CQ118">
        <v>24</v>
      </c>
      <c r="CR118">
        <v>22</v>
      </c>
      <c r="CS118">
        <v>19</v>
      </c>
      <c r="CT118">
        <v>20</v>
      </c>
      <c r="CU118">
        <v>18</v>
      </c>
      <c r="CV118">
        <v>18</v>
      </c>
      <c r="CW118">
        <v>16</v>
      </c>
      <c r="CX118">
        <v>14</v>
      </c>
      <c r="CY118">
        <v>11</v>
      </c>
      <c r="CZ118">
        <v>12</v>
      </c>
      <c r="DA118">
        <v>13</v>
      </c>
      <c r="DB118">
        <v>12</v>
      </c>
      <c r="DC118">
        <v>14</v>
      </c>
      <c r="DD118">
        <v>16</v>
      </c>
      <c r="DE118">
        <v>19</v>
      </c>
      <c r="DF118">
        <v>23</v>
      </c>
      <c r="DG118">
        <v>24</v>
      </c>
      <c r="DH118">
        <v>32</v>
      </c>
      <c r="DI118">
        <v>37</v>
      </c>
      <c r="DJ118">
        <v>33</v>
      </c>
      <c r="DK118">
        <v>32</v>
      </c>
      <c r="DL118">
        <v>26</v>
      </c>
      <c r="DM118">
        <v>22</v>
      </c>
      <c r="DN118">
        <v>19</v>
      </c>
      <c r="DO118">
        <v>15</v>
      </c>
      <c r="DP118">
        <v>13</v>
      </c>
      <c r="DQ118">
        <v>19</v>
      </c>
    </row>
    <row r="119" spans="2:121" x14ac:dyDescent="0.35">
      <c r="B119">
        <v>108</v>
      </c>
      <c r="C119">
        <v>118</v>
      </c>
      <c r="D119">
        <v>126</v>
      </c>
      <c r="E119">
        <v>132</v>
      </c>
      <c r="F119">
        <v>143</v>
      </c>
      <c r="G119">
        <v>123</v>
      </c>
      <c r="H119">
        <v>119</v>
      </c>
      <c r="I119">
        <v>123</v>
      </c>
      <c r="J119">
        <v>117</v>
      </c>
      <c r="K119">
        <v>123</v>
      </c>
      <c r="L119">
        <v>133</v>
      </c>
      <c r="M119">
        <v>134</v>
      </c>
      <c r="N119">
        <v>136</v>
      </c>
      <c r="O119">
        <v>145</v>
      </c>
      <c r="P119">
        <v>164</v>
      </c>
      <c r="Q119">
        <v>157</v>
      </c>
      <c r="R119">
        <v>153</v>
      </c>
      <c r="S119">
        <v>148</v>
      </c>
      <c r="T119">
        <v>154</v>
      </c>
      <c r="U119">
        <v>171</v>
      </c>
      <c r="V119">
        <v>181</v>
      </c>
      <c r="W119">
        <v>190</v>
      </c>
      <c r="X119">
        <v>194</v>
      </c>
      <c r="Y119">
        <v>238</v>
      </c>
      <c r="Z119">
        <v>261</v>
      </c>
      <c r="AA119">
        <v>232</v>
      </c>
      <c r="AB119">
        <v>273</v>
      </c>
      <c r="AC119">
        <v>263</v>
      </c>
      <c r="AD119">
        <v>249</v>
      </c>
      <c r="AE119">
        <v>267</v>
      </c>
      <c r="AF119">
        <v>293</v>
      </c>
      <c r="AG119">
        <v>286</v>
      </c>
      <c r="AH119">
        <v>295</v>
      </c>
      <c r="AI119">
        <v>307</v>
      </c>
      <c r="AJ119">
        <v>346</v>
      </c>
      <c r="AK119">
        <v>411</v>
      </c>
      <c r="AL119">
        <v>481</v>
      </c>
      <c r="AM119">
        <v>509</v>
      </c>
      <c r="AN119">
        <v>593</v>
      </c>
      <c r="AO119">
        <v>790</v>
      </c>
      <c r="AP119">
        <v>1005</v>
      </c>
      <c r="AQ119">
        <v>1107</v>
      </c>
      <c r="AR119">
        <v>1316</v>
      </c>
      <c r="AS119">
        <v>1478</v>
      </c>
      <c r="AT119">
        <v>1356</v>
      </c>
      <c r="AU119">
        <v>1154</v>
      </c>
      <c r="AV119">
        <v>953</v>
      </c>
      <c r="AW119">
        <v>810</v>
      </c>
      <c r="AX119">
        <v>649</v>
      </c>
      <c r="AY119">
        <v>633</v>
      </c>
      <c r="AZ119">
        <v>621</v>
      </c>
      <c r="BA119">
        <v>633</v>
      </c>
      <c r="BB119">
        <v>545</v>
      </c>
      <c r="BC119">
        <v>504</v>
      </c>
      <c r="BD119">
        <v>511</v>
      </c>
      <c r="BE119">
        <v>450</v>
      </c>
      <c r="BF119">
        <v>438</v>
      </c>
      <c r="BG119">
        <v>499</v>
      </c>
      <c r="BH119">
        <v>591</v>
      </c>
      <c r="BI119">
        <v>497</v>
      </c>
      <c r="BJ119">
        <v>493</v>
      </c>
      <c r="BK119">
        <v>555</v>
      </c>
      <c r="BL119">
        <v>584</v>
      </c>
      <c r="BM119">
        <v>602</v>
      </c>
      <c r="BN119">
        <v>571</v>
      </c>
      <c r="BO119">
        <v>543</v>
      </c>
      <c r="BP119">
        <v>504</v>
      </c>
      <c r="BQ119">
        <v>515</v>
      </c>
      <c r="BR119">
        <v>558</v>
      </c>
      <c r="BS119">
        <v>616</v>
      </c>
      <c r="BT119">
        <v>619</v>
      </c>
      <c r="BU119">
        <v>599</v>
      </c>
      <c r="BV119">
        <v>580</v>
      </c>
      <c r="BW119">
        <v>593</v>
      </c>
      <c r="BX119">
        <v>592</v>
      </c>
      <c r="BY119">
        <v>613</v>
      </c>
      <c r="BZ119">
        <v>627</v>
      </c>
      <c r="CA119">
        <v>667</v>
      </c>
      <c r="CB119">
        <v>684</v>
      </c>
      <c r="CC119">
        <v>715</v>
      </c>
      <c r="CD119">
        <v>740</v>
      </c>
      <c r="CE119">
        <v>774</v>
      </c>
      <c r="CF119">
        <v>827</v>
      </c>
      <c r="CG119">
        <v>891</v>
      </c>
      <c r="CH119">
        <v>961</v>
      </c>
      <c r="CI119">
        <v>912</v>
      </c>
      <c r="CJ119">
        <v>792</v>
      </c>
      <c r="CK119">
        <v>846</v>
      </c>
      <c r="CL119">
        <v>922</v>
      </c>
      <c r="CM119">
        <v>1036</v>
      </c>
      <c r="CN119">
        <v>1087</v>
      </c>
      <c r="CO119">
        <v>1010</v>
      </c>
      <c r="CP119">
        <v>947</v>
      </c>
      <c r="CQ119">
        <v>961</v>
      </c>
      <c r="CR119">
        <v>969</v>
      </c>
      <c r="CS119">
        <v>985</v>
      </c>
      <c r="CT119">
        <v>1017</v>
      </c>
      <c r="CU119">
        <v>980</v>
      </c>
      <c r="CV119">
        <v>852</v>
      </c>
      <c r="CW119">
        <v>781</v>
      </c>
      <c r="CX119">
        <v>792</v>
      </c>
      <c r="CY119">
        <v>802</v>
      </c>
      <c r="CZ119">
        <v>830</v>
      </c>
      <c r="DA119">
        <v>840</v>
      </c>
      <c r="DB119">
        <v>814</v>
      </c>
      <c r="DC119">
        <v>800</v>
      </c>
      <c r="DD119">
        <v>883</v>
      </c>
      <c r="DE119">
        <v>829</v>
      </c>
      <c r="DF119">
        <v>895</v>
      </c>
      <c r="DG119">
        <v>876</v>
      </c>
      <c r="DH119">
        <v>919</v>
      </c>
      <c r="DI119">
        <v>996</v>
      </c>
      <c r="DJ119">
        <v>996</v>
      </c>
      <c r="DK119">
        <v>970</v>
      </c>
      <c r="DL119">
        <v>1042</v>
      </c>
      <c r="DM119">
        <v>993</v>
      </c>
      <c r="DN119">
        <v>948</v>
      </c>
      <c r="DO119">
        <v>966</v>
      </c>
      <c r="DP119">
        <v>1004</v>
      </c>
      <c r="DQ119">
        <v>1098</v>
      </c>
    </row>
    <row r="120" spans="2:121" x14ac:dyDescent="0.35">
      <c r="B120">
        <v>301</v>
      </c>
      <c r="C120">
        <v>223</v>
      </c>
      <c r="D120">
        <v>207</v>
      </c>
      <c r="E120">
        <v>195</v>
      </c>
      <c r="F120">
        <v>183</v>
      </c>
      <c r="G120">
        <v>172</v>
      </c>
      <c r="H120">
        <v>173</v>
      </c>
      <c r="I120">
        <v>180</v>
      </c>
      <c r="J120">
        <v>180</v>
      </c>
      <c r="K120">
        <v>180</v>
      </c>
      <c r="L120">
        <v>187</v>
      </c>
      <c r="M120">
        <v>172</v>
      </c>
      <c r="N120">
        <v>165</v>
      </c>
      <c r="O120">
        <v>159</v>
      </c>
      <c r="P120">
        <v>152</v>
      </c>
      <c r="Q120">
        <v>143</v>
      </c>
      <c r="R120">
        <v>137</v>
      </c>
      <c r="S120">
        <v>132</v>
      </c>
      <c r="T120">
        <v>128</v>
      </c>
      <c r="U120">
        <v>128</v>
      </c>
      <c r="V120">
        <v>126</v>
      </c>
      <c r="W120">
        <v>125</v>
      </c>
      <c r="X120">
        <v>126</v>
      </c>
      <c r="Y120">
        <v>127</v>
      </c>
      <c r="Z120">
        <v>128</v>
      </c>
      <c r="AA120">
        <v>129</v>
      </c>
      <c r="AB120">
        <v>131</v>
      </c>
      <c r="AC120">
        <v>135</v>
      </c>
      <c r="AD120">
        <v>141</v>
      </c>
      <c r="AE120">
        <v>148</v>
      </c>
      <c r="AF120">
        <v>161</v>
      </c>
      <c r="AG120">
        <v>182</v>
      </c>
      <c r="AH120">
        <v>230</v>
      </c>
      <c r="AI120">
        <v>360</v>
      </c>
      <c r="AJ120">
        <v>594</v>
      </c>
      <c r="AK120">
        <v>710</v>
      </c>
      <c r="AL120">
        <v>677</v>
      </c>
      <c r="AM120">
        <v>563</v>
      </c>
      <c r="AN120">
        <v>562</v>
      </c>
      <c r="AO120">
        <v>625</v>
      </c>
      <c r="AP120">
        <v>888</v>
      </c>
      <c r="AQ120">
        <v>1173</v>
      </c>
      <c r="AR120">
        <v>1322</v>
      </c>
      <c r="AS120">
        <v>1475</v>
      </c>
      <c r="AT120">
        <v>1272</v>
      </c>
      <c r="AU120">
        <v>1083</v>
      </c>
      <c r="AV120">
        <v>1431</v>
      </c>
      <c r="AW120">
        <v>1722</v>
      </c>
      <c r="AX120">
        <v>1772</v>
      </c>
      <c r="AY120">
        <v>1889</v>
      </c>
      <c r="AZ120">
        <v>1898</v>
      </c>
      <c r="BA120">
        <v>2054</v>
      </c>
      <c r="BB120">
        <v>2407</v>
      </c>
      <c r="BC120">
        <v>2787</v>
      </c>
      <c r="BD120">
        <v>2869</v>
      </c>
      <c r="BE120">
        <v>3033</v>
      </c>
      <c r="BF120">
        <v>2988</v>
      </c>
      <c r="BG120">
        <v>2921</v>
      </c>
      <c r="BH120">
        <v>2708</v>
      </c>
      <c r="BI120">
        <v>2472</v>
      </c>
      <c r="BJ120">
        <v>2246</v>
      </c>
      <c r="BK120">
        <v>2199</v>
      </c>
      <c r="BL120">
        <v>2184</v>
      </c>
      <c r="BM120">
        <v>2078</v>
      </c>
      <c r="BN120">
        <v>1830</v>
      </c>
      <c r="BO120">
        <v>1782</v>
      </c>
      <c r="BP120">
        <v>1868</v>
      </c>
      <c r="BQ120">
        <v>1874</v>
      </c>
      <c r="BR120">
        <v>1681</v>
      </c>
      <c r="BS120">
        <v>1434</v>
      </c>
      <c r="BT120">
        <v>1200</v>
      </c>
      <c r="BU120">
        <v>950</v>
      </c>
      <c r="BV120">
        <v>1020</v>
      </c>
      <c r="BW120">
        <v>1321</v>
      </c>
      <c r="BX120">
        <v>1241</v>
      </c>
      <c r="BY120">
        <v>1257</v>
      </c>
      <c r="BZ120">
        <v>1546</v>
      </c>
      <c r="CA120">
        <v>1871</v>
      </c>
      <c r="CB120">
        <v>1857</v>
      </c>
      <c r="CC120">
        <v>1425</v>
      </c>
      <c r="CD120">
        <v>1086</v>
      </c>
      <c r="CE120">
        <v>791</v>
      </c>
      <c r="CF120">
        <v>698</v>
      </c>
      <c r="CG120">
        <v>845</v>
      </c>
      <c r="CH120">
        <v>899</v>
      </c>
      <c r="CI120">
        <v>1011</v>
      </c>
      <c r="CJ120">
        <v>1130</v>
      </c>
      <c r="CK120">
        <v>1117</v>
      </c>
      <c r="CL120">
        <v>977</v>
      </c>
      <c r="CM120">
        <v>1295</v>
      </c>
      <c r="CN120">
        <v>1312</v>
      </c>
      <c r="CO120">
        <v>1183</v>
      </c>
      <c r="CP120">
        <v>931</v>
      </c>
      <c r="CQ120">
        <v>771</v>
      </c>
      <c r="CR120">
        <v>776</v>
      </c>
      <c r="CS120">
        <v>649</v>
      </c>
      <c r="CT120">
        <v>769</v>
      </c>
      <c r="CU120">
        <v>812</v>
      </c>
      <c r="CV120">
        <v>565</v>
      </c>
      <c r="CW120">
        <v>588</v>
      </c>
      <c r="CX120">
        <v>833</v>
      </c>
      <c r="CY120">
        <v>992</v>
      </c>
      <c r="CZ120">
        <v>964</v>
      </c>
      <c r="DA120">
        <v>691</v>
      </c>
      <c r="DB120">
        <v>564</v>
      </c>
      <c r="DC120">
        <v>407</v>
      </c>
      <c r="DD120">
        <v>369</v>
      </c>
      <c r="DE120">
        <v>313</v>
      </c>
      <c r="DF120">
        <v>277</v>
      </c>
      <c r="DG120">
        <v>285</v>
      </c>
      <c r="DH120">
        <v>191</v>
      </c>
      <c r="DI120">
        <v>163</v>
      </c>
      <c r="DJ120">
        <v>153</v>
      </c>
      <c r="DK120">
        <v>143</v>
      </c>
      <c r="DL120">
        <v>133</v>
      </c>
      <c r="DM120">
        <v>124</v>
      </c>
      <c r="DN120">
        <v>116</v>
      </c>
      <c r="DO120">
        <v>112</v>
      </c>
      <c r="DP120">
        <v>104</v>
      </c>
      <c r="DQ120">
        <v>97</v>
      </c>
    </row>
    <row r="121" spans="2:121" x14ac:dyDescent="0.35">
      <c r="B121">
        <v>14</v>
      </c>
      <c r="C121">
        <v>19</v>
      </c>
      <c r="D121">
        <v>22</v>
      </c>
      <c r="E121">
        <v>25</v>
      </c>
      <c r="F121">
        <v>29</v>
      </c>
      <c r="G121">
        <v>34</v>
      </c>
      <c r="H121">
        <v>35</v>
      </c>
      <c r="I121">
        <v>44</v>
      </c>
      <c r="J121">
        <v>50</v>
      </c>
      <c r="K121">
        <v>55</v>
      </c>
      <c r="L121">
        <v>76</v>
      </c>
      <c r="M121">
        <v>95</v>
      </c>
      <c r="N121">
        <v>84</v>
      </c>
      <c r="O121">
        <v>86</v>
      </c>
      <c r="P121">
        <v>86</v>
      </c>
      <c r="Q121">
        <v>83</v>
      </c>
      <c r="R121">
        <v>89</v>
      </c>
      <c r="S121">
        <v>103</v>
      </c>
      <c r="T121">
        <v>112</v>
      </c>
      <c r="U121">
        <v>134</v>
      </c>
      <c r="V121">
        <v>177</v>
      </c>
      <c r="W121">
        <v>208</v>
      </c>
      <c r="X121">
        <v>193</v>
      </c>
      <c r="Y121">
        <v>173</v>
      </c>
      <c r="Z121">
        <v>139</v>
      </c>
      <c r="AA121">
        <v>139</v>
      </c>
      <c r="AB121">
        <v>113</v>
      </c>
      <c r="AC121">
        <v>78</v>
      </c>
      <c r="AD121">
        <v>66</v>
      </c>
      <c r="AE121">
        <v>46</v>
      </c>
      <c r="AF121">
        <v>36</v>
      </c>
      <c r="AG121">
        <v>32</v>
      </c>
      <c r="AH121">
        <v>31</v>
      </c>
      <c r="AI121">
        <v>26</v>
      </c>
      <c r="AJ121">
        <v>14</v>
      </c>
      <c r="AK121">
        <v>7</v>
      </c>
      <c r="AL121">
        <v>5</v>
      </c>
      <c r="AM121">
        <v>5</v>
      </c>
      <c r="AN121">
        <v>6</v>
      </c>
      <c r="AO121">
        <v>4</v>
      </c>
      <c r="AP121">
        <v>6</v>
      </c>
      <c r="AQ121">
        <v>6</v>
      </c>
      <c r="AR121">
        <v>6</v>
      </c>
      <c r="AS121">
        <v>6</v>
      </c>
      <c r="AT121">
        <v>6</v>
      </c>
      <c r="AU121">
        <v>5</v>
      </c>
      <c r="AV121">
        <v>4</v>
      </c>
      <c r="AW121">
        <v>4</v>
      </c>
      <c r="AX121">
        <v>6</v>
      </c>
      <c r="AY121">
        <v>6</v>
      </c>
      <c r="AZ121">
        <v>4</v>
      </c>
      <c r="BA121">
        <v>2</v>
      </c>
      <c r="BB121">
        <v>4</v>
      </c>
      <c r="BC121">
        <v>5</v>
      </c>
      <c r="BD121">
        <v>6</v>
      </c>
      <c r="BE121">
        <v>10</v>
      </c>
      <c r="BF121">
        <v>13</v>
      </c>
      <c r="BG121">
        <v>14</v>
      </c>
      <c r="BH121">
        <v>15</v>
      </c>
      <c r="BI121">
        <v>36</v>
      </c>
      <c r="BJ121">
        <v>23</v>
      </c>
      <c r="BK121">
        <v>17</v>
      </c>
      <c r="BL121">
        <v>9</v>
      </c>
      <c r="BM121">
        <v>6</v>
      </c>
      <c r="BN121">
        <v>6</v>
      </c>
      <c r="BO121">
        <v>6</v>
      </c>
      <c r="BP121">
        <v>5</v>
      </c>
      <c r="BQ121">
        <v>5</v>
      </c>
      <c r="BR121">
        <v>4</v>
      </c>
      <c r="BS121">
        <v>4</v>
      </c>
      <c r="BT121">
        <v>6</v>
      </c>
      <c r="BU121">
        <v>5</v>
      </c>
      <c r="BV121">
        <v>5</v>
      </c>
      <c r="BW121">
        <v>6</v>
      </c>
      <c r="BX121">
        <v>7</v>
      </c>
      <c r="BY121">
        <v>6</v>
      </c>
      <c r="BZ121">
        <v>7</v>
      </c>
      <c r="CA121">
        <v>6</v>
      </c>
      <c r="CB121">
        <v>5</v>
      </c>
      <c r="CC121">
        <v>6</v>
      </c>
      <c r="CD121">
        <v>7</v>
      </c>
      <c r="CE121">
        <v>6</v>
      </c>
      <c r="CF121">
        <v>6</v>
      </c>
      <c r="CG121">
        <v>6</v>
      </c>
      <c r="CH121">
        <v>5</v>
      </c>
      <c r="CI121">
        <v>5</v>
      </c>
      <c r="CJ121">
        <v>6</v>
      </c>
      <c r="CK121">
        <v>5</v>
      </c>
      <c r="CL121">
        <v>4</v>
      </c>
      <c r="CM121">
        <v>4</v>
      </c>
      <c r="CN121">
        <v>4</v>
      </c>
      <c r="CO121">
        <v>4</v>
      </c>
      <c r="CP121">
        <v>4</v>
      </c>
      <c r="CQ121">
        <v>4</v>
      </c>
      <c r="CR121">
        <v>4</v>
      </c>
      <c r="CS121">
        <v>5</v>
      </c>
      <c r="CT121">
        <v>12</v>
      </c>
      <c r="CU121">
        <v>17</v>
      </c>
      <c r="CV121">
        <v>18</v>
      </c>
      <c r="CW121">
        <v>18</v>
      </c>
      <c r="CX121">
        <v>21</v>
      </c>
      <c r="CY121">
        <v>14</v>
      </c>
      <c r="CZ121">
        <v>13</v>
      </c>
      <c r="DA121">
        <v>19</v>
      </c>
      <c r="DB121">
        <v>19</v>
      </c>
      <c r="DC121">
        <v>18</v>
      </c>
      <c r="DD121">
        <v>29</v>
      </c>
      <c r="DE121">
        <v>41</v>
      </c>
      <c r="DF121">
        <v>53</v>
      </c>
      <c r="DG121">
        <v>51</v>
      </c>
      <c r="DH121">
        <v>46</v>
      </c>
      <c r="DI121">
        <v>45</v>
      </c>
      <c r="DJ121">
        <v>38</v>
      </c>
      <c r="DK121">
        <v>32</v>
      </c>
      <c r="DL121">
        <v>29</v>
      </c>
      <c r="DM121">
        <v>27</v>
      </c>
      <c r="DN121">
        <v>27</v>
      </c>
      <c r="DO121">
        <v>30</v>
      </c>
      <c r="DP121">
        <v>28</v>
      </c>
      <c r="DQ121">
        <v>31</v>
      </c>
    </row>
    <row r="122" spans="2:121" x14ac:dyDescent="0.35">
      <c r="B122">
        <v>839</v>
      </c>
      <c r="C122">
        <v>973</v>
      </c>
      <c r="D122">
        <v>903</v>
      </c>
      <c r="E122">
        <v>744</v>
      </c>
      <c r="F122">
        <v>688</v>
      </c>
      <c r="G122">
        <v>788</v>
      </c>
      <c r="H122">
        <v>801</v>
      </c>
      <c r="I122">
        <v>696</v>
      </c>
      <c r="J122">
        <v>501</v>
      </c>
      <c r="K122">
        <v>538</v>
      </c>
      <c r="L122">
        <v>482</v>
      </c>
      <c r="M122">
        <v>409</v>
      </c>
      <c r="N122">
        <v>407</v>
      </c>
      <c r="O122">
        <v>381</v>
      </c>
      <c r="P122">
        <v>367</v>
      </c>
      <c r="Q122">
        <v>334</v>
      </c>
      <c r="R122">
        <v>333</v>
      </c>
      <c r="S122">
        <v>343</v>
      </c>
      <c r="T122">
        <v>343</v>
      </c>
      <c r="U122">
        <v>322</v>
      </c>
      <c r="V122">
        <v>306</v>
      </c>
      <c r="W122">
        <v>303</v>
      </c>
      <c r="X122">
        <v>329</v>
      </c>
      <c r="Y122">
        <v>361</v>
      </c>
      <c r="Z122">
        <v>409</v>
      </c>
      <c r="AA122">
        <v>451</v>
      </c>
      <c r="AB122">
        <v>443</v>
      </c>
      <c r="AC122">
        <v>498</v>
      </c>
      <c r="AD122">
        <v>494</v>
      </c>
      <c r="AE122">
        <v>464</v>
      </c>
      <c r="AF122">
        <v>650</v>
      </c>
      <c r="AG122">
        <v>739</v>
      </c>
      <c r="AH122">
        <v>759</v>
      </c>
      <c r="AI122">
        <v>766</v>
      </c>
      <c r="AJ122">
        <v>626</v>
      </c>
      <c r="AK122">
        <v>489</v>
      </c>
      <c r="AL122">
        <v>608</v>
      </c>
      <c r="AM122">
        <v>563</v>
      </c>
      <c r="AN122">
        <v>455</v>
      </c>
      <c r="AO122">
        <v>390</v>
      </c>
      <c r="AP122">
        <v>451</v>
      </c>
      <c r="AQ122">
        <v>520</v>
      </c>
      <c r="AR122">
        <v>596</v>
      </c>
      <c r="AS122">
        <v>374</v>
      </c>
      <c r="AT122">
        <v>546</v>
      </c>
      <c r="AU122">
        <v>653</v>
      </c>
      <c r="AV122">
        <v>594</v>
      </c>
      <c r="AW122">
        <v>598</v>
      </c>
      <c r="AX122">
        <v>598</v>
      </c>
      <c r="AY122">
        <v>505</v>
      </c>
      <c r="AZ122">
        <v>314</v>
      </c>
      <c r="BA122">
        <v>426</v>
      </c>
      <c r="BB122">
        <v>486</v>
      </c>
      <c r="BC122">
        <v>409</v>
      </c>
      <c r="BD122">
        <v>356</v>
      </c>
      <c r="BE122">
        <v>317</v>
      </c>
      <c r="BF122">
        <v>298</v>
      </c>
      <c r="BG122">
        <v>211</v>
      </c>
      <c r="BH122">
        <v>135</v>
      </c>
      <c r="BI122">
        <v>89</v>
      </c>
      <c r="BJ122">
        <v>82</v>
      </c>
      <c r="BK122">
        <v>50</v>
      </c>
      <c r="BL122">
        <v>41</v>
      </c>
      <c r="BM122">
        <v>31</v>
      </c>
      <c r="BN122">
        <v>25</v>
      </c>
      <c r="BO122">
        <v>18</v>
      </c>
      <c r="BP122">
        <v>18</v>
      </c>
      <c r="BQ122">
        <v>18</v>
      </c>
      <c r="BR122">
        <v>11</v>
      </c>
      <c r="BS122">
        <v>31</v>
      </c>
      <c r="BT122">
        <v>24</v>
      </c>
      <c r="BU122">
        <v>20</v>
      </c>
      <c r="BV122">
        <v>5</v>
      </c>
      <c r="BW122">
        <v>3</v>
      </c>
      <c r="BX122">
        <v>3</v>
      </c>
      <c r="BY122">
        <v>4</v>
      </c>
      <c r="BZ122">
        <v>2</v>
      </c>
      <c r="CA122">
        <v>4</v>
      </c>
      <c r="CB122">
        <v>5</v>
      </c>
      <c r="CC122">
        <v>7</v>
      </c>
      <c r="CD122">
        <v>12</v>
      </c>
      <c r="CE122">
        <v>33</v>
      </c>
      <c r="CF122">
        <v>42</v>
      </c>
      <c r="CG122">
        <v>22</v>
      </c>
      <c r="CH122">
        <v>10</v>
      </c>
      <c r="CI122">
        <v>6</v>
      </c>
      <c r="CJ122">
        <v>4</v>
      </c>
      <c r="CK122">
        <v>19</v>
      </c>
      <c r="CL122">
        <v>56</v>
      </c>
      <c r="CM122">
        <v>87</v>
      </c>
      <c r="CN122">
        <v>71</v>
      </c>
      <c r="CO122">
        <v>109</v>
      </c>
      <c r="CP122">
        <v>109</v>
      </c>
      <c r="CQ122">
        <v>143</v>
      </c>
      <c r="CR122">
        <v>242</v>
      </c>
      <c r="CS122">
        <v>233</v>
      </c>
      <c r="CT122">
        <v>246</v>
      </c>
      <c r="CU122">
        <v>200</v>
      </c>
      <c r="CV122">
        <v>112</v>
      </c>
      <c r="CW122">
        <v>128</v>
      </c>
      <c r="CX122">
        <v>120</v>
      </c>
      <c r="CY122">
        <v>126</v>
      </c>
      <c r="CZ122">
        <v>78</v>
      </c>
      <c r="DA122">
        <v>123</v>
      </c>
      <c r="DB122">
        <v>211</v>
      </c>
      <c r="DC122">
        <v>258</v>
      </c>
      <c r="DD122">
        <v>263</v>
      </c>
      <c r="DE122">
        <v>208</v>
      </c>
      <c r="DF122">
        <v>199</v>
      </c>
      <c r="DG122">
        <v>184</v>
      </c>
      <c r="DH122">
        <v>184</v>
      </c>
      <c r="DI122">
        <v>172</v>
      </c>
      <c r="DJ122">
        <v>219</v>
      </c>
      <c r="DK122">
        <v>274</v>
      </c>
      <c r="DL122">
        <v>287</v>
      </c>
      <c r="DM122">
        <v>237</v>
      </c>
      <c r="DN122">
        <v>119</v>
      </c>
      <c r="DO122">
        <v>149</v>
      </c>
      <c r="DP122">
        <v>100</v>
      </c>
      <c r="DQ122">
        <v>111</v>
      </c>
    </row>
    <row r="123" spans="2:121" x14ac:dyDescent="0.35">
      <c r="B123">
        <v>313</v>
      </c>
      <c r="C123">
        <v>302</v>
      </c>
      <c r="D123">
        <v>285</v>
      </c>
      <c r="E123">
        <v>282</v>
      </c>
      <c r="F123">
        <v>242</v>
      </c>
      <c r="G123">
        <v>223</v>
      </c>
      <c r="H123">
        <v>223</v>
      </c>
      <c r="I123">
        <v>248</v>
      </c>
      <c r="J123">
        <v>316</v>
      </c>
      <c r="K123">
        <v>362</v>
      </c>
      <c r="L123">
        <v>444</v>
      </c>
      <c r="M123">
        <v>597</v>
      </c>
      <c r="N123">
        <v>699</v>
      </c>
      <c r="O123">
        <v>775</v>
      </c>
      <c r="P123">
        <v>559</v>
      </c>
      <c r="Q123">
        <v>629</v>
      </c>
      <c r="R123">
        <v>825</v>
      </c>
      <c r="S123">
        <v>798</v>
      </c>
      <c r="T123">
        <v>732</v>
      </c>
      <c r="U123">
        <v>1009</v>
      </c>
      <c r="V123">
        <v>1193</v>
      </c>
      <c r="W123">
        <v>1029</v>
      </c>
      <c r="X123">
        <v>994</v>
      </c>
      <c r="Y123">
        <v>1234</v>
      </c>
      <c r="Z123">
        <v>1386</v>
      </c>
      <c r="AA123">
        <v>1292</v>
      </c>
      <c r="AB123">
        <v>1124</v>
      </c>
      <c r="AC123">
        <v>1027</v>
      </c>
      <c r="AD123">
        <v>988</v>
      </c>
      <c r="AE123">
        <v>934</v>
      </c>
      <c r="AF123">
        <v>729</v>
      </c>
      <c r="AG123">
        <v>430</v>
      </c>
      <c r="AH123">
        <v>271</v>
      </c>
      <c r="AI123">
        <v>242</v>
      </c>
      <c r="AJ123">
        <v>227</v>
      </c>
      <c r="AK123">
        <v>168</v>
      </c>
      <c r="AL123">
        <v>95</v>
      </c>
      <c r="AM123">
        <v>75</v>
      </c>
      <c r="AN123">
        <v>60</v>
      </c>
      <c r="AO123">
        <v>53</v>
      </c>
      <c r="AP123">
        <v>49</v>
      </c>
      <c r="AQ123">
        <v>46</v>
      </c>
      <c r="AR123">
        <v>44</v>
      </c>
      <c r="AS123">
        <v>44</v>
      </c>
      <c r="AT123">
        <v>44</v>
      </c>
      <c r="AU123">
        <v>43</v>
      </c>
      <c r="AV123">
        <v>40</v>
      </c>
      <c r="AW123">
        <v>39</v>
      </c>
      <c r="AX123">
        <v>38</v>
      </c>
      <c r="AY123">
        <v>39</v>
      </c>
      <c r="AZ123">
        <v>38</v>
      </c>
      <c r="BA123">
        <v>35</v>
      </c>
      <c r="BB123">
        <v>34</v>
      </c>
      <c r="BC123">
        <v>32</v>
      </c>
      <c r="BD123">
        <v>30</v>
      </c>
      <c r="BE123">
        <v>25</v>
      </c>
      <c r="BF123">
        <v>24</v>
      </c>
      <c r="BG123">
        <v>20</v>
      </c>
      <c r="BH123">
        <v>21</v>
      </c>
      <c r="BI123">
        <v>19</v>
      </c>
      <c r="BJ123">
        <v>19</v>
      </c>
      <c r="BK123">
        <v>18</v>
      </c>
      <c r="BL123">
        <v>19</v>
      </c>
      <c r="BM123">
        <v>18</v>
      </c>
      <c r="BN123">
        <v>15</v>
      </c>
      <c r="BO123">
        <v>18</v>
      </c>
      <c r="BP123">
        <v>19</v>
      </c>
      <c r="BQ123">
        <v>23</v>
      </c>
      <c r="BR123">
        <v>25</v>
      </c>
      <c r="BS123">
        <v>28</v>
      </c>
      <c r="BT123">
        <v>28</v>
      </c>
      <c r="BU123">
        <v>33</v>
      </c>
      <c r="BV123">
        <v>40</v>
      </c>
      <c r="BW123">
        <v>69</v>
      </c>
      <c r="BX123">
        <v>35</v>
      </c>
      <c r="BY123">
        <v>56</v>
      </c>
      <c r="BZ123">
        <v>95</v>
      </c>
      <c r="CA123">
        <v>67</v>
      </c>
      <c r="CB123">
        <v>107</v>
      </c>
      <c r="CC123">
        <v>194</v>
      </c>
      <c r="CD123">
        <v>242</v>
      </c>
      <c r="CE123">
        <v>286</v>
      </c>
      <c r="CF123">
        <v>134</v>
      </c>
      <c r="CG123">
        <v>283</v>
      </c>
      <c r="CH123">
        <v>376</v>
      </c>
      <c r="CI123">
        <v>327</v>
      </c>
      <c r="CJ123">
        <v>407</v>
      </c>
      <c r="CK123">
        <v>367</v>
      </c>
      <c r="CL123">
        <v>401</v>
      </c>
      <c r="CM123">
        <v>139</v>
      </c>
      <c r="CN123">
        <v>300</v>
      </c>
      <c r="CO123">
        <v>457</v>
      </c>
      <c r="CP123">
        <v>319</v>
      </c>
      <c r="CQ123">
        <v>171</v>
      </c>
      <c r="CR123">
        <v>121</v>
      </c>
      <c r="CS123">
        <v>76</v>
      </c>
      <c r="CT123">
        <v>151</v>
      </c>
      <c r="CU123">
        <v>310</v>
      </c>
      <c r="CV123">
        <v>304</v>
      </c>
      <c r="CW123">
        <v>99</v>
      </c>
      <c r="CX123">
        <v>47</v>
      </c>
      <c r="CY123">
        <v>172</v>
      </c>
      <c r="CZ123">
        <v>223</v>
      </c>
      <c r="DA123">
        <v>202</v>
      </c>
      <c r="DB123">
        <v>87</v>
      </c>
      <c r="DC123">
        <v>213</v>
      </c>
      <c r="DD123">
        <v>112</v>
      </c>
      <c r="DE123">
        <v>36</v>
      </c>
      <c r="DF123">
        <v>21</v>
      </c>
      <c r="DG123">
        <v>110</v>
      </c>
      <c r="DH123">
        <v>87</v>
      </c>
      <c r="DI123">
        <v>24</v>
      </c>
      <c r="DJ123">
        <v>72</v>
      </c>
      <c r="DK123">
        <v>74</v>
      </c>
      <c r="DL123">
        <v>230</v>
      </c>
      <c r="DM123">
        <v>63</v>
      </c>
      <c r="DN123">
        <v>217</v>
      </c>
      <c r="DO123">
        <v>64</v>
      </c>
      <c r="DP123">
        <v>31</v>
      </c>
      <c r="DQ123">
        <v>175</v>
      </c>
    </row>
    <row r="124" spans="2:121" x14ac:dyDescent="0.35">
      <c r="B124">
        <v>56</v>
      </c>
      <c r="C124">
        <v>61</v>
      </c>
      <c r="D124">
        <v>65</v>
      </c>
      <c r="E124">
        <v>73</v>
      </c>
      <c r="F124">
        <v>67</v>
      </c>
      <c r="G124">
        <v>70</v>
      </c>
      <c r="H124">
        <v>75</v>
      </c>
      <c r="I124">
        <v>83</v>
      </c>
      <c r="J124">
        <v>95</v>
      </c>
      <c r="K124">
        <v>111</v>
      </c>
      <c r="L124">
        <v>109</v>
      </c>
      <c r="M124">
        <v>121</v>
      </c>
      <c r="N124">
        <v>129</v>
      </c>
      <c r="O124">
        <v>140</v>
      </c>
      <c r="P124">
        <v>134</v>
      </c>
      <c r="Q124">
        <v>133</v>
      </c>
      <c r="R124">
        <v>145</v>
      </c>
      <c r="S124">
        <v>151</v>
      </c>
      <c r="T124">
        <v>169</v>
      </c>
      <c r="U124">
        <v>163</v>
      </c>
      <c r="V124">
        <v>149</v>
      </c>
      <c r="W124">
        <v>160</v>
      </c>
      <c r="X124">
        <v>178</v>
      </c>
      <c r="Y124">
        <v>200</v>
      </c>
      <c r="Z124">
        <v>204</v>
      </c>
      <c r="AA124">
        <v>233</v>
      </c>
      <c r="AB124">
        <v>220</v>
      </c>
      <c r="AC124">
        <v>214</v>
      </c>
      <c r="AD124">
        <v>220</v>
      </c>
      <c r="AE124">
        <v>214</v>
      </c>
      <c r="AF124">
        <v>220</v>
      </c>
      <c r="AG124">
        <v>198</v>
      </c>
      <c r="AH124">
        <v>196</v>
      </c>
      <c r="AI124">
        <v>207</v>
      </c>
      <c r="AJ124">
        <v>214</v>
      </c>
      <c r="AK124">
        <v>233</v>
      </c>
      <c r="AL124">
        <v>234</v>
      </c>
      <c r="AM124">
        <v>260</v>
      </c>
      <c r="AN124">
        <v>251</v>
      </c>
      <c r="AO124">
        <v>268</v>
      </c>
      <c r="AP124">
        <v>290</v>
      </c>
      <c r="AQ124">
        <v>298</v>
      </c>
      <c r="AR124">
        <v>299</v>
      </c>
      <c r="AS124">
        <v>310</v>
      </c>
      <c r="AT124">
        <v>302</v>
      </c>
      <c r="AU124">
        <v>307</v>
      </c>
      <c r="AV124">
        <v>327</v>
      </c>
      <c r="AW124">
        <v>371</v>
      </c>
      <c r="AX124">
        <v>495</v>
      </c>
      <c r="AY124">
        <v>678</v>
      </c>
      <c r="AZ124">
        <v>641</v>
      </c>
      <c r="BA124">
        <v>592</v>
      </c>
      <c r="BB124">
        <v>751</v>
      </c>
      <c r="BC124">
        <v>986</v>
      </c>
      <c r="BD124">
        <v>1006</v>
      </c>
      <c r="BE124">
        <v>900</v>
      </c>
      <c r="BF124">
        <v>794</v>
      </c>
      <c r="BG124">
        <v>872</v>
      </c>
      <c r="BH124">
        <v>939</v>
      </c>
      <c r="BI124">
        <v>1151</v>
      </c>
      <c r="BJ124">
        <v>1199</v>
      </c>
      <c r="BK124">
        <v>953</v>
      </c>
      <c r="BL124">
        <v>763</v>
      </c>
      <c r="BM124">
        <v>790</v>
      </c>
      <c r="BN124">
        <v>656</v>
      </c>
      <c r="BO124">
        <v>636</v>
      </c>
      <c r="BP124">
        <v>628</v>
      </c>
      <c r="BQ124">
        <v>606</v>
      </c>
      <c r="BR124">
        <v>551</v>
      </c>
      <c r="BS124">
        <v>495</v>
      </c>
      <c r="BT124">
        <v>558</v>
      </c>
      <c r="BU124">
        <v>617</v>
      </c>
      <c r="BV124">
        <v>608</v>
      </c>
      <c r="BW124">
        <v>626</v>
      </c>
      <c r="BX124">
        <v>633</v>
      </c>
      <c r="BY124">
        <v>613</v>
      </c>
      <c r="BZ124">
        <v>596</v>
      </c>
      <c r="CA124">
        <v>574</v>
      </c>
      <c r="CB124">
        <v>623</v>
      </c>
      <c r="CC124">
        <v>594</v>
      </c>
      <c r="CD124">
        <v>570</v>
      </c>
      <c r="CE124">
        <v>603</v>
      </c>
      <c r="CF124">
        <v>629</v>
      </c>
      <c r="CG124">
        <v>651</v>
      </c>
      <c r="CH124">
        <v>689</v>
      </c>
      <c r="CI124">
        <v>685</v>
      </c>
      <c r="CJ124">
        <v>686</v>
      </c>
      <c r="CK124">
        <v>742</v>
      </c>
      <c r="CL124">
        <v>872</v>
      </c>
      <c r="CM124">
        <v>924</v>
      </c>
      <c r="CN124">
        <v>784</v>
      </c>
      <c r="CO124">
        <v>759</v>
      </c>
      <c r="CP124">
        <v>759</v>
      </c>
      <c r="CQ124">
        <v>762</v>
      </c>
      <c r="CR124">
        <v>773</v>
      </c>
      <c r="CS124">
        <v>793</v>
      </c>
      <c r="CT124">
        <v>750</v>
      </c>
      <c r="CU124">
        <v>863</v>
      </c>
      <c r="CV124">
        <v>856</v>
      </c>
      <c r="CW124">
        <v>869</v>
      </c>
      <c r="CX124">
        <v>888</v>
      </c>
      <c r="CY124">
        <v>996</v>
      </c>
      <c r="CZ124">
        <v>1060</v>
      </c>
      <c r="DA124">
        <v>1009</v>
      </c>
      <c r="DB124">
        <v>1003</v>
      </c>
      <c r="DC124">
        <v>974</v>
      </c>
      <c r="DD124">
        <v>895</v>
      </c>
      <c r="DE124">
        <v>911</v>
      </c>
      <c r="DF124">
        <v>946</v>
      </c>
      <c r="DG124">
        <v>1037</v>
      </c>
      <c r="DH124">
        <v>1096</v>
      </c>
      <c r="DI124">
        <v>1034</v>
      </c>
      <c r="DJ124">
        <v>998</v>
      </c>
      <c r="DK124">
        <v>948</v>
      </c>
      <c r="DL124">
        <v>891</v>
      </c>
      <c r="DM124">
        <v>904</v>
      </c>
      <c r="DN124">
        <v>878</v>
      </c>
      <c r="DO124">
        <v>938</v>
      </c>
      <c r="DP124">
        <v>888</v>
      </c>
      <c r="DQ124">
        <v>778</v>
      </c>
    </row>
    <row r="125" spans="2:121" x14ac:dyDescent="0.35">
      <c r="B125">
        <v>944</v>
      </c>
      <c r="C125">
        <v>1044</v>
      </c>
      <c r="D125">
        <v>1098</v>
      </c>
      <c r="E125">
        <v>1187</v>
      </c>
      <c r="F125">
        <v>1085</v>
      </c>
      <c r="G125">
        <v>905</v>
      </c>
      <c r="H125">
        <v>866</v>
      </c>
      <c r="I125">
        <v>995</v>
      </c>
      <c r="J125">
        <v>787</v>
      </c>
      <c r="K125">
        <v>717</v>
      </c>
      <c r="L125">
        <v>763</v>
      </c>
      <c r="M125">
        <v>810</v>
      </c>
      <c r="N125">
        <v>811</v>
      </c>
      <c r="O125">
        <v>838</v>
      </c>
      <c r="P125">
        <v>874</v>
      </c>
      <c r="Q125">
        <v>1077</v>
      </c>
      <c r="R125">
        <v>1265</v>
      </c>
      <c r="S125">
        <v>1164</v>
      </c>
      <c r="T125">
        <v>1226</v>
      </c>
      <c r="U125">
        <v>1202</v>
      </c>
      <c r="V125">
        <v>1310</v>
      </c>
      <c r="W125">
        <v>1249</v>
      </c>
      <c r="X125">
        <v>1247</v>
      </c>
      <c r="Y125">
        <v>1243</v>
      </c>
      <c r="Z125">
        <v>1134</v>
      </c>
      <c r="AA125">
        <v>1113</v>
      </c>
      <c r="AB125">
        <v>1229</v>
      </c>
      <c r="AC125">
        <v>1207</v>
      </c>
      <c r="AD125">
        <v>1135</v>
      </c>
      <c r="AE125">
        <v>1145</v>
      </c>
      <c r="AF125">
        <v>1229</v>
      </c>
      <c r="AG125">
        <v>1462</v>
      </c>
      <c r="AH125">
        <v>1431</v>
      </c>
      <c r="AI125">
        <v>1184</v>
      </c>
      <c r="AJ125">
        <v>1039</v>
      </c>
      <c r="AK125">
        <v>1057</v>
      </c>
      <c r="AL125">
        <v>1041</v>
      </c>
      <c r="AM125">
        <v>1117</v>
      </c>
      <c r="AN125">
        <v>868</v>
      </c>
      <c r="AO125">
        <v>735</v>
      </c>
      <c r="AP125">
        <v>852</v>
      </c>
      <c r="AQ125">
        <v>702</v>
      </c>
      <c r="AR125">
        <v>762</v>
      </c>
      <c r="AS125">
        <v>539</v>
      </c>
      <c r="AT125">
        <v>479</v>
      </c>
      <c r="AU125">
        <v>492</v>
      </c>
      <c r="AV125">
        <v>546</v>
      </c>
      <c r="AW125">
        <v>632</v>
      </c>
      <c r="AX125">
        <v>476</v>
      </c>
      <c r="AY125">
        <v>402</v>
      </c>
      <c r="AZ125">
        <v>388</v>
      </c>
      <c r="BA125">
        <v>291</v>
      </c>
      <c r="BB125">
        <v>276</v>
      </c>
      <c r="BC125">
        <v>249</v>
      </c>
      <c r="BD125">
        <v>216</v>
      </c>
      <c r="BE125">
        <v>205</v>
      </c>
      <c r="BF125">
        <v>187</v>
      </c>
      <c r="BG125">
        <v>179</v>
      </c>
      <c r="BH125">
        <v>160</v>
      </c>
      <c r="BI125">
        <v>156</v>
      </c>
      <c r="BJ125">
        <v>147</v>
      </c>
      <c r="BK125">
        <v>142</v>
      </c>
      <c r="BL125">
        <v>142</v>
      </c>
      <c r="BM125">
        <v>140</v>
      </c>
      <c r="BN125">
        <v>139</v>
      </c>
      <c r="BO125">
        <v>142</v>
      </c>
      <c r="BP125">
        <v>138</v>
      </c>
      <c r="BQ125">
        <v>135</v>
      </c>
      <c r="BR125">
        <v>134</v>
      </c>
      <c r="BS125">
        <v>134</v>
      </c>
      <c r="BT125">
        <v>131</v>
      </c>
      <c r="BU125">
        <v>128</v>
      </c>
      <c r="BV125">
        <v>128</v>
      </c>
      <c r="BW125">
        <v>122</v>
      </c>
      <c r="BX125">
        <v>117</v>
      </c>
      <c r="BY125">
        <v>119</v>
      </c>
      <c r="BZ125">
        <v>128</v>
      </c>
      <c r="CA125">
        <v>133</v>
      </c>
      <c r="CB125">
        <v>137</v>
      </c>
      <c r="CC125">
        <v>142</v>
      </c>
      <c r="CD125">
        <v>150</v>
      </c>
      <c r="CE125">
        <v>153</v>
      </c>
      <c r="CF125">
        <v>151</v>
      </c>
      <c r="CG125">
        <v>161</v>
      </c>
      <c r="CH125">
        <v>220</v>
      </c>
      <c r="CI125">
        <v>416</v>
      </c>
      <c r="CJ125">
        <v>550</v>
      </c>
      <c r="CK125">
        <v>559</v>
      </c>
      <c r="CL125">
        <v>475</v>
      </c>
      <c r="CM125">
        <v>439</v>
      </c>
      <c r="CN125">
        <v>469</v>
      </c>
      <c r="CO125">
        <v>519</v>
      </c>
      <c r="CP125">
        <v>548</v>
      </c>
      <c r="CQ125">
        <v>625</v>
      </c>
      <c r="CR125">
        <v>677</v>
      </c>
      <c r="CS125">
        <v>752</v>
      </c>
      <c r="CT125">
        <v>819</v>
      </c>
      <c r="CU125">
        <v>925</v>
      </c>
      <c r="CV125">
        <v>1120</v>
      </c>
      <c r="CW125">
        <v>1250</v>
      </c>
      <c r="CX125">
        <v>1449</v>
      </c>
      <c r="CY125">
        <v>1684</v>
      </c>
      <c r="CZ125">
        <v>1988</v>
      </c>
      <c r="DA125">
        <v>2262</v>
      </c>
      <c r="DB125">
        <v>2705</v>
      </c>
      <c r="DC125">
        <v>2880</v>
      </c>
      <c r="DD125">
        <v>2816</v>
      </c>
      <c r="DE125">
        <v>2747</v>
      </c>
      <c r="DF125">
        <v>2750</v>
      </c>
      <c r="DG125">
        <v>2714</v>
      </c>
      <c r="DH125">
        <v>2802</v>
      </c>
      <c r="DI125">
        <v>3268</v>
      </c>
      <c r="DJ125">
        <v>3018</v>
      </c>
      <c r="DK125">
        <v>2507</v>
      </c>
      <c r="DL125">
        <v>2274</v>
      </c>
      <c r="DM125">
        <v>2309</v>
      </c>
      <c r="DN125">
        <v>2370</v>
      </c>
      <c r="DO125">
        <v>2404</v>
      </c>
      <c r="DP125">
        <v>2404</v>
      </c>
      <c r="DQ125">
        <v>2337</v>
      </c>
    </row>
    <row r="126" spans="2:121" x14ac:dyDescent="0.35">
      <c r="B126">
        <v>9</v>
      </c>
      <c r="C126">
        <v>3</v>
      </c>
      <c r="D126">
        <v>3</v>
      </c>
      <c r="E126">
        <v>7</v>
      </c>
      <c r="F126">
        <v>9</v>
      </c>
      <c r="G126">
        <v>10</v>
      </c>
      <c r="H126">
        <v>6</v>
      </c>
      <c r="I126">
        <v>13</v>
      </c>
      <c r="J126">
        <v>10</v>
      </c>
      <c r="K126">
        <v>9</v>
      </c>
      <c r="L126">
        <v>21</v>
      </c>
      <c r="M126">
        <v>23</v>
      </c>
      <c r="N126">
        <v>12</v>
      </c>
      <c r="O126">
        <v>4</v>
      </c>
      <c r="P126">
        <v>4</v>
      </c>
      <c r="Q126">
        <v>4</v>
      </c>
      <c r="R126">
        <v>3</v>
      </c>
      <c r="S126">
        <v>4</v>
      </c>
      <c r="T126">
        <v>4</v>
      </c>
      <c r="U126">
        <v>4</v>
      </c>
      <c r="V126">
        <v>3</v>
      </c>
      <c r="W126">
        <v>3</v>
      </c>
      <c r="X126">
        <v>4</v>
      </c>
      <c r="Y126">
        <v>4</v>
      </c>
      <c r="Z126">
        <v>7</v>
      </c>
      <c r="AA126">
        <v>6</v>
      </c>
      <c r="AB126">
        <v>9</v>
      </c>
      <c r="AC126">
        <v>11</v>
      </c>
      <c r="AD126">
        <v>22</v>
      </c>
      <c r="AE126">
        <v>21</v>
      </c>
      <c r="AF126">
        <v>18</v>
      </c>
      <c r="AG126">
        <v>18</v>
      </c>
      <c r="AH126">
        <v>12</v>
      </c>
      <c r="AI126">
        <v>19</v>
      </c>
      <c r="AJ126">
        <v>19</v>
      </c>
      <c r="AK126">
        <v>21</v>
      </c>
      <c r="AL126">
        <v>18</v>
      </c>
      <c r="AM126">
        <v>6</v>
      </c>
      <c r="AN126">
        <v>5</v>
      </c>
      <c r="AO126">
        <v>2</v>
      </c>
      <c r="AP126">
        <v>8</v>
      </c>
      <c r="AQ126">
        <v>2</v>
      </c>
      <c r="AR126">
        <v>3</v>
      </c>
      <c r="AS126">
        <v>5</v>
      </c>
      <c r="AT126">
        <v>8</v>
      </c>
      <c r="AU126">
        <v>11</v>
      </c>
      <c r="AV126">
        <v>14</v>
      </c>
      <c r="AW126">
        <v>17</v>
      </c>
      <c r="AX126">
        <v>21</v>
      </c>
      <c r="AY126">
        <v>24</v>
      </c>
      <c r="AZ126">
        <v>28</v>
      </c>
      <c r="BA126">
        <v>31</v>
      </c>
      <c r="BB126">
        <v>35</v>
      </c>
      <c r="BC126">
        <v>36</v>
      </c>
      <c r="BD126">
        <v>52</v>
      </c>
      <c r="BE126">
        <v>48</v>
      </c>
      <c r="BF126">
        <v>50</v>
      </c>
      <c r="BG126">
        <v>55</v>
      </c>
      <c r="BH126">
        <v>69</v>
      </c>
      <c r="BI126">
        <v>73</v>
      </c>
      <c r="BJ126">
        <v>88</v>
      </c>
      <c r="BK126">
        <v>79</v>
      </c>
      <c r="BL126">
        <v>69</v>
      </c>
      <c r="BM126">
        <v>61</v>
      </c>
      <c r="BN126">
        <v>67</v>
      </c>
      <c r="BO126">
        <v>84</v>
      </c>
      <c r="BP126">
        <v>91</v>
      </c>
      <c r="BQ126">
        <v>103</v>
      </c>
      <c r="BR126">
        <v>102</v>
      </c>
      <c r="BS126">
        <v>100</v>
      </c>
      <c r="BT126">
        <v>82</v>
      </c>
      <c r="BU126">
        <v>95</v>
      </c>
      <c r="BV126">
        <v>99</v>
      </c>
      <c r="BW126">
        <v>97</v>
      </c>
      <c r="BX126">
        <v>101</v>
      </c>
      <c r="BY126">
        <v>119</v>
      </c>
      <c r="BZ126">
        <v>129</v>
      </c>
      <c r="CA126">
        <v>121</v>
      </c>
      <c r="CB126">
        <v>115</v>
      </c>
      <c r="CC126">
        <v>104</v>
      </c>
      <c r="CD126">
        <v>117</v>
      </c>
      <c r="CE126">
        <v>123</v>
      </c>
      <c r="CF126">
        <v>107</v>
      </c>
      <c r="CG126">
        <v>89</v>
      </c>
      <c r="CH126">
        <v>50</v>
      </c>
      <c r="CI126">
        <v>28</v>
      </c>
      <c r="CJ126">
        <v>16</v>
      </c>
      <c r="CK126">
        <v>10</v>
      </c>
      <c r="CL126">
        <v>7</v>
      </c>
      <c r="CM126">
        <v>5</v>
      </c>
      <c r="CN126">
        <v>2</v>
      </c>
      <c r="CO126">
        <v>2</v>
      </c>
      <c r="CP126">
        <v>6</v>
      </c>
      <c r="CQ126">
        <v>3</v>
      </c>
      <c r="CR126">
        <v>5</v>
      </c>
      <c r="CS126">
        <v>9</v>
      </c>
      <c r="CT126">
        <v>5</v>
      </c>
      <c r="CU126">
        <v>0</v>
      </c>
      <c r="CV126">
        <v>0</v>
      </c>
      <c r="CW126">
        <v>4</v>
      </c>
      <c r="CX126">
        <v>6</v>
      </c>
      <c r="CY126">
        <v>5</v>
      </c>
      <c r="CZ126">
        <v>6</v>
      </c>
      <c r="DA126">
        <v>5</v>
      </c>
      <c r="DB126">
        <v>4</v>
      </c>
      <c r="DC126">
        <v>3</v>
      </c>
      <c r="DD126">
        <v>2</v>
      </c>
      <c r="DE126">
        <v>2</v>
      </c>
      <c r="DF126">
        <v>2</v>
      </c>
      <c r="DG126">
        <v>4</v>
      </c>
      <c r="DH126">
        <v>5</v>
      </c>
      <c r="DI126">
        <v>9</v>
      </c>
      <c r="DJ126">
        <v>10</v>
      </c>
      <c r="DK126">
        <v>12</v>
      </c>
      <c r="DL126">
        <v>17</v>
      </c>
      <c r="DM126">
        <v>21</v>
      </c>
      <c r="DN126">
        <v>23</v>
      </c>
      <c r="DO126">
        <v>27</v>
      </c>
      <c r="DP126">
        <v>30</v>
      </c>
      <c r="DQ126">
        <v>36</v>
      </c>
    </row>
    <row r="127" spans="2:121" x14ac:dyDescent="0.35">
      <c r="B127">
        <v>1292</v>
      </c>
      <c r="C127">
        <v>1404</v>
      </c>
      <c r="D127">
        <v>1253</v>
      </c>
      <c r="E127">
        <v>790</v>
      </c>
      <c r="F127">
        <v>516</v>
      </c>
      <c r="G127">
        <v>379</v>
      </c>
      <c r="H127">
        <v>644</v>
      </c>
      <c r="I127">
        <v>958</v>
      </c>
      <c r="J127">
        <v>1212</v>
      </c>
      <c r="K127">
        <v>1052</v>
      </c>
      <c r="L127">
        <v>849</v>
      </c>
      <c r="M127">
        <v>928</v>
      </c>
      <c r="N127">
        <v>1155</v>
      </c>
      <c r="O127">
        <v>1026</v>
      </c>
      <c r="P127">
        <v>734</v>
      </c>
      <c r="Q127">
        <v>903</v>
      </c>
      <c r="R127">
        <v>1190</v>
      </c>
      <c r="S127">
        <v>1162</v>
      </c>
      <c r="T127">
        <v>877</v>
      </c>
      <c r="U127">
        <v>582</v>
      </c>
      <c r="V127">
        <v>651</v>
      </c>
      <c r="W127">
        <v>689</v>
      </c>
      <c r="X127">
        <v>550</v>
      </c>
      <c r="Y127">
        <v>572</v>
      </c>
      <c r="Z127">
        <v>778</v>
      </c>
      <c r="AA127">
        <v>1098</v>
      </c>
      <c r="AB127">
        <v>1539</v>
      </c>
      <c r="AC127">
        <v>1355</v>
      </c>
      <c r="AD127">
        <v>1275</v>
      </c>
      <c r="AE127">
        <v>1354</v>
      </c>
      <c r="AF127">
        <v>1510</v>
      </c>
      <c r="AG127">
        <v>1142</v>
      </c>
      <c r="AH127">
        <v>925</v>
      </c>
      <c r="AI127">
        <v>955</v>
      </c>
      <c r="AJ127">
        <v>1231</v>
      </c>
      <c r="AK127">
        <v>1347</v>
      </c>
      <c r="AL127">
        <v>1417</v>
      </c>
      <c r="AM127">
        <v>1261</v>
      </c>
      <c r="AN127">
        <v>1443</v>
      </c>
      <c r="AO127">
        <v>1787</v>
      </c>
      <c r="AP127">
        <v>1639</v>
      </c>
      <c r="AQ127">
        <v>1888</v>
      </c>
      <c r="AR127">
        <v>1989</v>
      </c>
      <c r="AS127">
        <v>1817</v>
      </c>
      <c r="AT127">
        <v>1896</v>
      </c>
      <c r="AU127">
        <v>1879</v>
      </c>
      <c r="AV127">
        <v>2029</v>
      </c>
      <c r="AW127">
        <v>2141</v>
      </c>
      <c r="AX127">
        <v>2063</v>
      </c>
      <c r="AY127">
        <v>1939</v>
      </c>
      <c r="AZ127">
        <v>1967</v>
      </c>
      <c r="BA127">
        <v>2135</v>
      </c>
      <c r="BB127">
        <v>2137</v>
      </c>
      <c r="BC127">
        <v>2069</v>
      </c>
      <c r="BD127">
        <v>2087</v>
      </c>
      <c r="BE127">
        <v>2033</v>
      </c>
      <c r="BF127">
        <v>1988</v>
      </c>
      <c r="BG127">
        <v>1947</v>
      </c>
      <c r="BH127">
        <v>1896</v>
      </c>
      <c r="BI127">
        <v>1676</v>
      </c>
      <c r="BJ127">
        <v>1496</v>
      </c>
      <c r="BK127">
        <v>1420</v>
      </c>
      <c r="BL127">
        <v>1419</v>
      </c>
      <c r="BM127">
        <v>1512</v>
      </c>
      <c r="BN127">
        <v>1673</v>
      </c>
      <c r="BO127">
        <v>1427</v>
      </c>
      <c r="BP127">
        <v>1358</v>
      </c>
      <c r="BQ127">
        <v>1310</v>
      </c>
      <c r="BR127">
        <v>1226</v>
      </c>
      <c r="BS127">
        <v>1341</v>
      </c>
      <c r="BT127">
        <v>1201</v>
      </c>
      <c r="BU127">
        <v>1134</v>
      </c>
      <c r="BV127">
        <v>1096</v>
      </c>
      <c r="BW127">
        <v>1102</v>
      </c>
      <c r="BX127">
        <v>1053</v>
      </c>
      <c r="BY127">
        <v>1006</v>
      </c>
      <c r="BZ127">
        <v>1048</v>
      </c>
      <c r="CA127">
        <v>1077</v>
      </c>
      <c r="CB127">
        <v>1083</v>
      </c>
      <c r="CC127">
        <v>1066</v>
      </c>
      <c r="CD127">
        <v>1054</v>
      </c>
      <c r="CE127">
        <v>1067</v>
      </c>
      <c r="CF127">
        <v>1185</v>
      </c>
      <c r="CG127">
        <v>1084</v>
      </c>
      <c r="CH127">
        <v>1041</v>
      </c>
      <c r="CI127">
        <v>967</v>
      </c>
      <c r="CJ127">
        <v>931</v>
      </c>
      <c r="CK127">
        <v>1029</v>
      </c>
      <c r="CL127">
        <v>1186</v>
      </c>
      <c r="CM127">
        <v>1206</v>
      </c>
      <c r="CN127">
        <v>1144</v>
      </c>
      <c r="CO127">
        <v>1069</v>
      </c>
      <c r="CP127">
        <v>1042</v>
      </c>
      <c r="CQ127">
        <v>1052</v>
      </c>
      <c r="CR127">
        <v>1069</v>
      </c>
      <c r="CS127">
        <v>1141</v>
      </c>
      <c r="CT127">
        <v>1128</v>
      </c>
      <c r="CU127">
        <v>1215</v>
      </c>
      <c r="CV127">
        <v>1278</v>
      </c>
      <c r="CW127">
        <v>1244</v>
      </c>
      <c r="CX127">
        <v>1142</v>
      </c>
      <c r="CY127">
        <v>1041</v>
      </c>
      <c r="CZ127">
        <v>974</v>
      </c>
      <c r="DA127">
        <v>778</v>
      </c>
      <c r="DB127">
        <v>675</v>
      </c>
      <c r="DC127">
        <v>617</v>
      </c>
      <c r="DD127">
        <v>729</v>
      </c>
      <c r="DE127">
        <v>1002</v>
      </c>
      <c r="DF127">
        <v>1082</v>
      </c>
      <c r="DG127">
        <v>1061</v>
      </c>
      <c r="DH127">
        <v>1003</v>
      </c>
      <c r="DI127">
        <v>926</v>
      </c>
      <c r="DJ127">
        <v>866</v>
      </c>
      <c r="DK127">
        <v>846</v>
      </c>
      <c r="DL127">
        <v>739</v>
      </c>
      <c r="DM127">
        <v>739</v>
      </c>
      <c r="DN127">
        <v>691</v>
      </c>
      <c r="DO127">
        <v>876</v>
      </c>
      <c r="DP127">
        <v>892</v>
      </c>
      <c r="DQ127">
        <v>790</v>
      </c>
    </row>
    <row r="128" spans="2:121" x14ac:dyDescent="0.35">
      <c r="B128">
        <v>1031</v>
      </c>
      <c r="C128">
        <v>944</v>
      </c>
      <c r="D128">
        <v>832</v>
      </c>
      <c r="E128">
        <v>800</v>
      </c>
      <c r="F128">
        <v>734</v>
      </c>
      <c r="G128">
        <v>707</v>
      </c>
      <c r="H128">
        <v>771</v>
      </c>
      <c r="I128">
        <v>681</v>
      </c>
      <c r="J128">
        <v>768</v>
      </c>
      <c r="K128">
        <v>898</v>
      </c>
      <c r="L128">
        <v>1107</v>
      </c>
      <c r="M128">
        <v>1187</v>
      </c>
      <c r="N128">
        <v>1113</v>
      </c>
      <c r="O128">
        <v>937</v>
      </c>
      <c r="P128">
        <v>839</v>
      </c>
      <c r="Q128">
        <v>753</v>
      </c>
      <c r="R128">
        <v>706</v>
      </c>
      <c r="S128">
        <v>684</v>
      </c>
      <c r="T128">
        <v>661</v>
      </c>
      <c r="U128">
        <v>650</v>
      </c>
      <c r="V128">
        <v>745</v>
      </c>
      <c r="W128">
        <v>776</v>
      </c>
      <c r="X128">
        <v>842</v>
      </c>
      <c r="Y128">
        <v>806</v>
      </c>
      <c r="Z128">
        <v>833</v>
      </c>
      <c r="AA128">
        <v>878</v>
      </c>
      <c r="AB128">
        <v>974</v>
      </c>
      <c r="AC128">
        <v>892</v>
      </c>
      <c r="AD128">
        <v>847</v>
      </c>
      <c r="AE128">
        <v>852</v>
      </c>
      <c r="AF128">
        <v>763</v>
      </c>
      <c r="AG128">
        <v>757</v>
      </c>
      <c r="AH128">
        <v>902</v>
      </c>
      <c r="AI128">
        <v>955</v>
      </c>
      <c r="AJ128">
        <v>838</v>
      </c>
      <c r="AK128">
        <v>752</v>
      </c>
      <c r="AL128">
        <v>731</v>
      </c>
      <c r="AM128">
        <v>784</v>
      </c>
      <c r="AN128">
        <v>932</v>
      </c>
      <c r="AO128">
        <v>807</v>
      </c>
      <c r="AP128">
        <v>853</v>
      </c>
      <c r="AQ128">
        <v>1037</v>
      </c>
      <c r="AR128">
        <v>1170</v>
      </c>
      <c r="AS128">
        <v>1049</v>
      </c>
      <c r="AT128">
        <v>902</v>
      </c>
      <c r="AU128">
        <v>770</v>
      </c>
      <c r="AV128">
        <v>690</v>
      </c>
      <c r="AW128">
        <v>594</v>
      </c>
      <c r="AX128">
        <v>646</v>
      </c>
      <c r="AY128">
        <v>632</v>
      </c>
      <c r="AZ128">
        <v>667</v>
      </c>
      <c r="BA128">
        <v>665</v>
      </c>
      <c r="BB128">
        <v>754</v>
      </c>
      <c r="BC128">
        <v>776</v>
      </c>
      <c r="BD128">
        <v>783</v>
      </c>
      <c r="BE128">
        <v>812</v>
      </c>
      <c r="BF128">
        <v>839</v>
      </c>
      <c r="BG128">
        <v>690</v>
      </c>
      <c r="BH128">
        <v>635</v>
      </c>
      <c r="BI128">
        <v>620</v>
      </c>
      <c r="BJ128">
        <v>576</v>
      </c>
      <c r="BK128">
        <v>517</v>
      </c>
      <c r="BL128">
        <v>433</v>
      </c>
      <c r="BM128">
        <v>403</v>
      </c>
      <c r="BN128">
        <v>382</v>
      </c>
      <c r="BO128">
        <v>436</v>
      </c>
      <c r="BP128">
        <v>461</v>
      </c>
      <c r="BQ128">
        <v>536</v>
      </c>
      <c r="BR128">
        <v>620</v>
      </c>
      <c r="BS128">
        <v>695</v>
      </c>
      <c r="BT128">
        <v>780</v>
      </c>
      <c r="BU128">
        <v>686</v>
      </c>
      <c r="BV128">
        <v>766</v>
      </c>
      <c r="BW128">
        <v>943</v>
      </c>
      <c r="BX128">
        <v>1003</v>
      </c>
      <c r="BY128">
        <v>1072</v>
      </c>
      <c r="BZ128">
        <v>1045</v>
      </c>
      <c r="CA128">
        <v>1078</v>
      </c>
      <c r="CB128">
        <v>976</v>
      </c>
      <c r="CC128">
        <v>863</v>
      </c>
      <c r="CD128">
        <v>796</v>
      </c>
      <c r="CE128">
        <v>780</v>
      </c>
      <c r="CF128">
        <v>703</v>
      </c>
      <c r="CG128">
        <v>648</v>
      </c>
      <c r="CH128">
        <v>606</v>
      </c>
      <c r="CI128">
        <v>573</v>
      </c>
      <c r="CJ128">
        <v>572</v>
      </c>
      <c r="CK128">
        <v>588</v>
      </c>
      <c r="CL128">
        <v>601</v>
      </c>
      <c r="CM128">
        <v>579</v>
      </c>
      <c r="CN128">
        <v>538</v>
      </c>
      <c r="CO128">
        <v>491</v>
      </c>
      <c r="CP128">
        <v>480</v>
      </c>
      <c r="CQ128">
        <v>452</v>
      </c>
      <c r="CR128">
        <v>458</v>
      </c>
      <c r="CS128">
        <v>472</v>
      </c>
      <c r="CT128">
        <v>474</v>
      </c>
      <c r="CU128">
        <v>449</v>
      </c>
      <c r="CV128">
        <v>453</v>
      </c>
      <c r="CW128">
        <v>432</v>
      </c>
      <c r="CX128">
        <v>485</v>
      </c>
      <c r="CY128">
        <v>585</v>
      </c>
      <c r="CZ128">
        <v>589</v>
      </c>
      <c r="DA128">
        <v>683</v>
      </c>
      <c r="DB128">
        <v>673</v>
      </c>
      <c r="DC128">
        <v>608</v>
      </c>
      <c r="DD128">
        <v>596</v>
      </c>
      <c r="DE128">
        <v>653</v>
      </c>
      <c r="DF128">
        <v>600</v>
      </c>
      <c r="DG128">
        <v>620</v>
      </c>
      <c r="DH128">
        <v>629</v>
      </c>
      <c r="DI128">
        <v>612</v>
      </c>
      <c r="DJ128">
        <v>655</v>
      </c>
      <c r="DK128">
        <v>731</v>
      </c>
      <c r="DL128">
        <v>649</v>
      </c>
      <c r="DM128">
        <v>656</v>
      </c>
      <c r="DN128">
        <v>630</v>
      </c>
      <c r="DO128">
        <v>552</v>
      </c>
      <c r="DP128">
        <v>601</v>
      </c>
      <c r="DQ128">
        <v>639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889136F4-FEC9-4A0A-A88C-9D2CAAF50D7D}">
          <xm:f>#REF!</xm:f>
        </x15:webExtension>
      </x15:webExtens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5479-2489-477D-BC15-FC60186CF88E}">
  <sheetPr codeName="Sheet71">
    <tabColor theme="1" tint="0.499984740745262"/>
  </sheetPr>
  <dimension ref="A1:AY53"/>
  <sheetViews>
    <sheetView zoomScale="85" zoomScaleNormal="85" workbookViewId="0">
      <selection activeCell="A2" sqref="A2"/>
    </sheetView>
  </sheetViews>
  <sheetFormatPr defaultColWidth="9.23046875" defaultRowHeight="14.5" x14ac:dyDescent="0.35"/>
  <cols>
    <col min="1" max="1" width="9.23046875" style="8"/>
    <col min="2" max="2" width="13.921875" style="8" bestFit="1" customWidth="1"/>
    <col min="3" max="3" width="19.3046875" style="8" customWidth="1"/>
    <col min="4" max="4" width="14.3046875" style="8" bestFit="1" customWidth="1"/>
    <col min="5" max="8" width="14.3046875" style="9" bestFit="1" customWidth="1"/>
    <col min="9" max="9" width="8.07421875" style="9" bestFit="1" customWidth="1"/>
    <col min="10" max="17" width="14.3046875" style="9" bestFit="1" customWidth="1"/>
    <col min="18" max="18" width="8.07421875" style="9" bestFit="1" customWidth="1"/>
    <col min="19" max="19" width="14.3046875" style="9" bestFit="1" customWidth="1"/>
    <col min="20" max="20" width="8.07421875" style="9" bestFit="1" customWidth="1"/>
    <col min="21" max="22" width="14.3046875" style="9" bestFit="1" customWidth="1"/>
    <col min="23" max="23" width="8.07421875" style="9" bestFit="1" customWidth="1"/>
    <col min="24" max="24" width="14.3046875" style="9" bestFit="1" customWidth="1"/>
    <col min="25" max="25" width="8.07421875" style="9" bestFit="1" customWidth="1"/>
    <col min="26" max="32" width="14.3046875" style="9" bestFit="1" customWidth="1"/>
    <col min="33" max="33" width="8.07421875" style="9" bestFit="1" customWidth="1"/>
    <col min="34" max="35" width="14.3046875" style="9" bestFit="1" customWidth="1"/>
    <col min="36" max="36" width="8.07421875" style="9" bestFit="1" customWidth="1"/>
    <col min="37" max="39" width="14.3046875" style="9" bestFit="1" customWidth="1"/>
    <col min="40" max="40" width="8.07421875" style="9" bestFit="1" customWidth="1"/>
    <col min="41" max="49" width="14.3046875" style="9" bestFit="1" customWidth="1"/>
    <col min="50" max="50" width="8.07421875" style="9" bestFit="1" customWidth="1"/>
    <col min="51" max="51" width="14.3046875" style="9" bestFit="1" customWidth="1"/>
    <col min="52" max="16384" width="9.23046875" style="9"/>
  </cols>
  <sheetData>
    <row r="1" spans="2:51" x14ac:dyDescent="0.35">
      <c r="B1" s="8" t="s">
        <v>43</v>
      </c>
      <c r="C1" s="8" t="s">
        <v>44</v>
      </c>
      <c r="D1" s="9"/>
    </row>
    <row r="2" spans="2:51" x14ac:dyDescent="0.35">
      <c r="C2" s="9"/>
      <c r="D2" s="9"/>
    </row>
    <row r="4" spans="2:51" x14ac:dyDescent="0.35">
      <c r="B4" s="8">
        <v>1218.1600000000001</v>
      </c>
      <c r="C4" s="8">
        <v>1219.8800000000001</v>
      </c>
      <c r="D4" s="8">
        <v>1234.18</v>
      </c>
      <c r="E4" s="9">
        <v>1216.3800000000001</v>
      </c>
      <c r="F4" s="9">
        <v>1213.1400000000001</v>
      </c>
      <c r="G4" s="9">
        <v>1234.52</v>
      </c>
      <c r="H4" s="9">
        <v>1232.21</v>
      </c>
      <c r="I4" s="9">
        <v>1231.71</v>
      </c>
      <c r="J4" s="9">
        <v>1250.1199999999999</v>
      </c>
      <c r="K4" s="9">
        <v>1262.02</v>
      </c>
      <c r="L4" s="9">
        <v>1254.01</v>
      </c>
      <c r="M4" s="9">
        <v>1228.97</v>
      </c>
      <c r="N4" s="9">
        <v>1197.51</v>
      </c>
      <c r="O4" s="9">
        <v>1175.1300000000001</v>
      </c>
      <c r="P4" s="9">
        <v>1145.57</v>
      </c>
      <c r="Q4" s="9">
        <v>1135.81</v>
      </c>
      <c r="R4" s="9">
        <v>1133.53</v>
      </c>
      <c r="S4" s="9">
        <v>1133.6600000000001</v>
      </c>
      <c r="T4" s="9">
        <v>1132.32</v>
      </c>
      <c r="U4" s="9">
        <v>1130.08</v>
      </c>
      <c r="V4" s="9">
        <v>1125.3599999999999</v>
      </c>
      <c r="W4" s="9">
        <v>1115.26</v>
      </c>
      <c r="X4" s="9">
        <v>1113.95</v>
      </c>
      <c r="Y4" s="9">
        <v>1107.31</v>
      </c>
      <c r="Z4" s="9">
        <v>1095.07</v>
      </c>
      <c r="AA4" s="9">
        <v>1094.69</v>
      </c>
      <c r="AB4" s="9">
        <v>1094.27</v>
      </c>
      <c r="AC4" s="9">
        <v>1085.79</v>
      </c>
      <c r="AD4" s="9">
        <v>1072.5899999999999</v>
      </c>
      <c r="AE4" s="9">
        <v>1061.81</v>
      </c>
      <c r="AF4" s="9">
        <v>1055.53</v>
      </c>
      <c r="AG4" s="9">
        <v>1052.8599999999999</v>
      </c>
      <c r="AH4" s="9">
        <v>1032.74</v>
      </c>
      <c r="AI4" s="9">
        <v>1016.99</v>
      </c>
      <c r="AJ4" s="9">
        <v>999.23</v>
      </c>
      <c r="AK4" s="9">
        <v>984.69</v>
      </c>
      <c r="AL4" s="9">
        <v>1006.19</v>
      </c>
      <c r="AM4" s="9">
        <v>1030.8800000000001</v>
      </c>
      <c r="AN4" s="9">
        <v>1041.92</v>
      </c>
      <c r="AO4" s="9">
        <v>1056.06</v>
      </c>
      <c r="AP4" s="9">
        <v>1080.1099999999999</v>
      </c>
      <c r="AQ4" s="9">
        <v>1099.75</v>
      </c>
      <c r="AR4" s="9">
        <v>1121.8399999999999</v>
      </c>
      <c r="AS4" s="9">
        <v>1136.52</v>
      </c>
      <c r="AT4" s="9">
        <v>1157.74</v>
      </c>
      <c r="AU4" s="9">
        <v>1171.3399999999999</v>
      </c>
      <c r="AV4" s="9">
        <v>1186.95</v>
      </c>
      <c r="AW4" s="9">
        <v>1215.33</v>
      </c>
      <c r="AX4" s="9">
        <v>1237.01</v>
      </c>
      <c r="AY4" s="9">
        <v>1266.8800000000001</v>
      </c>
    </row>
    <row r="5" spans="2:51" x14ac:dyDescent="0.35">
      <c r="B5" s="8">
        <v>1223.48</v>
      </c>
      <c r="C5" s="8">
        <v>1232.58</v>
      </c>
      <c r="D5" s="8">
        <v>1246.76</v>
      </c>
      <c r="E5" s="9">
        <v>1232.26</v>
      </c>
      <c r="F5" s="9">
        <v>1229.6199999999999</v>
      </c>
      <c r="G5" s="9">
        <v>1256.8399999999999</v>
      </c>
      <c r="H5" s="9">
        <v>1251.79</v>
      </c>
      <c r="I5" s="9">
        <v>1247.81</v>
      </c>
      <c r="J5" s="9">
        <v>1257.3399999999999</v>
      </c>
      <c r="K5" s="9">
        <v>1270.8800000000001</v>
      </c>
      <c r="L5" s="9">
        <v>1260.3900000000001</v>
      </c>
      <c r="M5" s="9">
        <v>1236.45</v>
      </c>
      <c r="N5" s="9">
        <v>1207.19</v>
      </c>
      <c r="O5" s="9">
        <v>1185.5899999999999</v>
      </c>
      <c r="P5" s="9">
        <v>1161.29</v>
      </c>
      <c r="Q5" s="9">
        <v>1160.25</v>
      </c>
      <c r="R5" s="9">
        <v>1157.43</v>
      </c>
      <c r="S5" s="9" t="s">
        <v>42</v>
      </c>
      <c r="T5" s="9">
        <v>1149.98</v>
      </c>
      <c r="U5" s="9">
        <v>1148.46</v>
      </c>
      <c r="V5" s="9">
        <v>1142.9000000000001</v>
      </c>
      <c r="W5" s="9">
        <v>1134.42</v>
      </c>
      <c r="X5" s="9">
        <v>1131.67</v>
      </c>
      <c r="Y5" s="9">
        <v>1122.1300000000001</v>
      </c>
      <c r="Z5" s="9">
        <v>1110.53</v>
      </c>
      <c r="AA5" s="9">
        <v>1113.51</v>
      </c>
      <c r="AB5" s="9">
        <v>1108.95</v>
      </c>
      <c r="AC5" s="9">
        <v>1100.53</v>
      </c>
      <c r="AD5" s="9">
        <v>1086.1300000000001</v>
      </c>
      <c r="AE5" s="9">
        <v>1077.29</v>
      </c>
      <c r="AF5" s="9">
        <v>1070.49</v>
      </c>
      <c r="AG5" s="9">
        <v>1064.8800000000001</v>
      </c>
      <c r="AH5" s="9">
        <v>1050.92</v>
      </c>
      <c r="AI5" s="9">
        <v>1030.67</v>
      </c>
      <c r="AJ5" s="9">
        <v>1014.49</v>
      </c>
      <c r="AK5" s="9">
        <v>983.81</v>
      </c>
      <c r="AL5" s="9">
        <v>977.61</v>
      </c>
      <c r="AM5" s="9">
        <v>999.6</v>
      </c>
      <c r="AN5" s="9">
        <v>1018.5</v>
      </c>
      <c r="AO5" s="9">
        <v>1033.42</v>
      </c>
      <c r="AP5" s="9">
        <v>1062.03</v>
      </c>
      <c r="AQ5" s="9">
        <v>1087.73</v>
      </c>
      <c r="AR5" s="9">
        <v>1110.82</v>
      </c>
      <c r="AS5" s="9">
        <v>1126.98</v>
      </c>
      <c r="AT5" s="9">
        <v>1149.56</v>
      </c>
      <c r="AU5" s="9">
        <v>1168.1199999999999</v>
      </c>
      <c r="AV5" s="9">
        <v>1189.1099999999999</v>
      </c>
      <c r="AW5" s="9">
        <v>1222.97</v>
      </c>
      <c r="AX5" s="9">
        <v>1240.55</v>
      </c>
      <c r="AY5" s="9">
        <v>1253.18</v>
      </c>
    </row>
    <row r="6" spans="2:51" x14ac:dyDescent="0.35">
      <c r="B6" s="8">
        <v>1231.25</v>
      </c>
      <c r="C6" s="8">
        <v>1242.8900000000001</v>
      </c>
      <c r="D6" s="8">
        <v>1256.1500000000001</v>
      </c>
      <c r="E6" s="9">
        <v>1241.77</v>
      </c>
      <c r="F6" s="9">
        <v>1239.32</v>
      </c>
      <c r="G6" s="9">
        <v>1264.58</v>
      </c>
      <c r="H6" s="9" t="s">
        <v>42</v>
      </c>
      <c r="I6" s="9">
        <v>1259.31</v>
      </c>
      <c r="J6" s="9">
        <v>1264.76</v>
      </c>
      <c r="K6" s="9">
        <v>1280.3</v>
      </c>
      <c r="L6" s="9">
        <v>1264.6400000000001</v>
      </c>
      <c r="M6" s="9">
        <v>1242.6199999999999</v>
      </c>
      <c r="N6" s="9">
        <v>1213.44</v>
      </c>
      <c r="O6" s="9">
        <v>1191.96</v>
      </c>
      <c r="P6" s="9">
        <v>1179.72</v>
      </c>
      <c r="Q6" s="9">
        <v>1177.56</v>
      </c>
      <c r="R6" s="9">
        <v>1172.5999999999999</v>
      </c>
      <c r="S6" s="9">
        <v>1164.26</v>
      </c>
      <c r="T6" s="9">
        <v>1162.8800000000001</v>
      </c>
      <c r="U6" s="9">
        <v>1156.4100000000001</v>
      </c>
      <c r="V6" s="9">
        <v>1151.71</v>
      </c>
      <c r="W6" s="9">
        <v>1146.6099999999999</v>
      </c>
      <c r="X6" s="9" t="s">
        <v>42</v>
      </c>
      <c r="Y6" s="9">
        <v>1133.06</v>
      </c>
      <c r="Z6" s="9">
        <v>1122.1099999999999</v>
      </c>
      <c r="AA6" s="9">
        <v>1124.77</v>
      </c>
      <c r="AB6" s="9">
        <v>1119.07</v>
      </c>
      <c r="AC6" s="9">
        <v>1109.21</v>
      </c>
      <c r="AD6" s="9">
        <v>1095.8399999999999</v>
      </c>
      <c r="AE6" s="9">
        <v>1086.3399999999999</v>
      </c>
      <c r="AF6" s="9">
        <v>1079.74</v>
      </c>
      <c r="AG6" s="9">
        <v>1073.77</v>
      </c>
      <c r="AH6" s="9">
        <v>1058.21</v>
      </c>
      <c r="AI6" s="9">
        <v>1038.07</v>
      </c>
      <c r="AJ6" s="9">
        <v>1018.49</v>
      </c>
      <c r="AK6" s="9">
        <v>985.94</v>
      </c>
      <c r="AL6" s="9">
        <v>973</v>
      </c>
      <c r="AM6" s="9">
        <v>982.78</v>
      </c>
      <c r="AN6" s="9">
        <v>996.52</v>
      </c>
      <c r="AO6" s="9">
        <v>1024.22</v>
      </c>
      <c r="AP6" s="9">
        <v>1051.78</v>
      </c>
      <c r="AQ6" s="9">
        <v>1075.28</v>
      </c>
      <c r="AR6" s="9">
        <v>1097.96</v>
      </c>
      <c r="AS6" s="9">
        <v>1114.3800000000001</v>
      </c>
      <c r="AT6" s="9">
        <v>1140.27</v>
      </c>
      <c r="AU6" s="9">
        <v>1160.77</v>
      </c>
      <c r="AV6" s="9">
        <v>1187.4100000000001</v>
      </c>
      <c r="AW6" s="9">
        <v>1216.8900000000001</v>
      </c>
      <c r="AX6" s="9">
        <v>1223.23</v>
      </c>
      <c r="AY6" s="9" t="s">
        <v>42</v>
      </c>
    </row>
    <row r="7" spans="2:51" x14ac:dyDescent="0.35">
      <c r="B7" s="8">
        <v>1241.51</v>
      </c>
      <c r="C7" s="8">
        <v>1257.17</v>
      </c>
      <c r="D7" s="8">
        <v>1266.49</v>
      </c>
      <c r="E7" s="9">
        <v>1258.71</v>
      </c>
      <c r="F7" s="9">
        <v>1251.4000000000001</v>
      </c>
      <c r="G7" s="9">
        <v>1272.72</v>
      </c>
      <c r="H7" s="9">
        <v>1280.23</v>
      </c>
      <c r="I7" s="9">
        <v>1277.79</v>
      </c>
      <c r="J7" s="9">
        <v>1282.4000000000001</v>
      </c>
      <c r="K7" s="9">
        <v>1287.5</v>
      </c>
      <c r="L7" s="9">
        <v>1271.1400000000001</v>
      </c>
      <c r="M7" s="9">
        <v>1250.8399999999999</v>
      </c>
      <c r="N7" s="9">
        <v>1222.08</v>
      </c>
      <c r="O7" s="9">
        <v>1214.1600000000001</v>
      </c>
      <c r="P7" s="9">
        <v>1208.1199999999999</v>
      </c>
      <c r="Q7" s="9">
        <v>1200.42</v>
      </c>
      <c r="R7" s="9">
        <v>1194.94</v>
      </c>
      <c r="S7" s="9">
        <v>1185.92</v>
      </c>
      <c r="T7" s="9">
        <v>1183.56</v>
      </c>
      <c r="U7" s="9">
        <v>1176.8499999999999</v>
      </c>
      <c r="V7" s="9">
        <v>1171.27</v>
      </c>
      <c r="W7" s="9">
        <v>1162.23</v>
      </c>
      <c r="X7" s="9">
        <v>1156.06</v>
      </c>
      <c r="Y7" s="9">
        <v>1146</v>
      </c>
      <c r="Z7" s="9">
        <v>1138.71</v>
      </c>
      <c r="AA7" s="9">
        <v>1136.97</v>
      </c>
      <c r="AB7" s="9">
        <v>1131.3699999999999</v>
      </c>
      <c r="AC7" s="9">
        <v>1121.95</v>
      </c>
      <c r="AD7" s="9" t="s">
        <v>42</v>
      </c>
      <c r="AE7" s="9">
        <v>1098.78</v>
      </c>
      <c r="AF7" s="9">
        <v>1088.9000000000001</v>
      </c>
      <c r="AG7" s="9">
        <v>1077.07</v>
      </c>
      <c r="AH7" s="9">
        <v>1055.97</v>
      </c>
      <c r="AI7" s="9">
        <v>1028.33</v>
      </c>
      <c r="AJ7" s="9">
        <v>1005.45</v>
      </c>
      <c r="AK7" s="9" t="s">
        <v>42</v>
      </c>
      <c r="AL7" s="9">
        <v>966.82</v>
      </c>
      <c r="AM7" s="9">
        <v>969.46</v>
      </c>
      <c r="AN7" s="9">
        <v>983.72</v>
      </c>
      <c r="AO7" s="9">
        <v>1011.56</v>
      </c>
      <c r="AP7" s="9">
        <v>1038.28</v>
      </c>
      <c r="AQ7" s="9">
        <v>1055.48</v>
      </c>
      <c r="AR7" s="9">
        <v>1076.04</v>
      </c>
      <c r="AS7" s="9">
        <v>1099.3399999999999</v>
      </c>
      <c r="AT7" s="9">
        <v>1125.75</v>
      </c>
      <c r="AU7" s="9">
        <v>1147.21</v>
      </c>
      <c r="AV7" s="9">
        <v>1167.95</v>
      </c>
      <c r="AW7" s="9">
        <v>1182.47</v>
      </c>
      <c r="AX7" s="9">
        <v>1203.6300000000001</v>
      </c>
      <c r="AY7" s="9">
        <v>1233.1099999999999</v>
      </c>
    </row>
    <row r="8" spans="2:51" x14ac:dyDescent="0.35">
      <c r="B8" s="8">
        <v>1253.17</v>
      </c>
      <c r="C8" s="8" t="s">
        <v>42</v>
      </c>
      <c r="D8" s="8">
        <v>1280.49</v>
      </c>
      <c r="E8" s="9">
        <v>1273.77</v>
      </c>
      <c r="F8" s="9">
        <v>1265.5999999999999</v>
      </c>
      <c r="G8" s="9">
        <v>1282.78</v>
      </c>
      <c r="H8" s="9">
        <v>1295.29</v>
      </c>
      <c r="I8" s="9">
        <v>1296.1099999999999</v>
      </c>
      <c r="J8" s="9">
        <v>1296.92</v>
      </c>
      <c r="K8" s="9">
        <v>1295.48</v>
      </c>
      <c r="L8" s="9">
        <v>1277.1400000000001</v>
      </c>
      <c r="M8" s="9">
        <v>1255.94</v>
      </c>
      <c r="N8" s="9">
        <v>1241.04</v>
      </c>
      <c r="O8" s="9">
        <v>1237.98</v>
      </c>
      <c r="P8" s="9">
        <v>1233.44</v>
      </c>
      <c r="Q8" s="9">
        <v>1224.96</v>
      </c>
      <c r="R8" s="9">
        <v>1224.42</v>
      </c>
      <c r="S8" s="9">
        <v>1211.24</v>
      </c>
      <c r="T8" s="9">
        <v>1205.8800000000001</v>
      </c>
      <c r="U8" s="9">
        <v>1195.19</v>
      </c>
      <c r="V8" s="9">
        <v>1187.53</v>
      </c>
      <c r="W8" s="9">
        <v>1178.6500000000001</v>
      </c>
      <c r="X8" s="9">
        <v>1172.58</v>
      </c>
      <c r="Y8" s="9">
        <v>1160.04</v>
      </c>
      <c r="Z8" s="9">
        <v>1151.73</v>
      </c>
      <c r="AA8" s="9">
        <v>1145.8900000000001</v>
      </c>
      <c r="AB8" s="9">
        <v>1135.19</v>
      </c>
      <c r="AC8" s="9">
        <v>1124.8499999999999</v>
      </c>
      <c r="AD8" s="9">
        <v>1111</v>
      </c>
      <c r="AE8" s="9">
        <v>1102.02</v>
      </c>
      <c r="AF8" s="9">
        <v>1082.1199999999999</v>
      </c>
      <c r="AG8" s="9">
        <v>1066.33</v>
      </c>
      <c r="AH8" s="9">
        <v>1038.81</v>
      </c>
      <c r="AI8" s="9">
        <v>1006.45</v>
      </c>
      <c r="AJ8" s="9">
        <v>986.65</v>
      </c>
      <c r="AK8" s="9">
        <v>962.06</v>
      </c>
      <c r="AL8" s="9">
        <v>966.86</v>
      </c>
      <c r="AM8" s="9">
        <v>984.06</v>
      </c>
      <c r="AN8" s="9">
        <v>999.94</v>
      </c>
      <c r="AO8" s="9">
        <v>1016.34</v>
      </c>
      <c r="AP8" s="9">
        <v>1033.76</v>
      </c>
      <c r="AQ8" s="9">
        <v>1048.6400000000001</v>
      </c>
      <c r="AR8" s="9">
        <v>1072.58</v>
      </c>
      <c r="AS8" s="9">
        <v>1092.82</v>
      </c>
      <c r="AT8" s="9">
        <v>1117.6300000000001</v>
      </c>
      <c r="AU8" s="9">
        <v>1133.67</v>
      </c>
      <c r="AV8" s="9">
        <v>1160.6500000000001</v>
      </c>
      <c r="AW8" s="9">
        <v>1187.95</v>
      </c>
      <c r="AX8" s="9">
        <v>1213.17</v>
      </c>
      <c r="AY8" s="9">
        <v>1241.8499999999999</v>
      </c>
    </row>
    <row r="9" spans="2:51" x14ac:dyDescent="0.35">
      <c r="B9" s="8">
        <v>1267.58</v>
      </c>
      <c r="C9" s="8">
        <v>1278.4100000000001</v>
      </c>
      <c r="D9" s="8">
        <v>1292.19</v>
      </c>
      <c r="E9" s="9">
        <v>1288.45</v>
      </c>
      <c r="F9" s="9">
        <v>1282.31</v>
      </c>
      <c r="G9" s="9">
        <v>1289.83</v>
      </c>
      <c r="H9" s="9">
        <v>1303.4000000000001</v>
      </c>
      <c r="I9" s="9">
        <v>1314.3</v>
      </c>
      <c r="J9" s="9">
        <v>1312.56</v>
      </c>
      <c r="K9" s="9">
        <v>1301.58</v>
      </c>
      <c r="L9" s="9">
        <v>1282.3</v>
      </c>
      <c r="M9" s="9">
        <v>1268.94</v>
      </c>
      <c r="N9" s="9">
        <v>1263.9000000000001</v>
      </c>
      <c r="O9" s="9">
        <v>1259.81</v>
      </c>
      <c r="P9" s="9">
        <v>1252.97</v>
      </c>
      <c r="Q9" s="9">
        <v>1249.1400000000001</v>
      </c>
      <c r="R9" s="9">
        <v>1244.76</v>
      </c>
      <c r="S9" s="9">
        <v>1232.95</v>
      </c>
      <c r="T9" s="9">
        <v>1223.19</v>
      </c>
      <c r="U9" s="9">
        <v>1209.73</v>
      </c>
      <c r="V9" s="9">
        <v>1199.57</v>
      </c>
      <c r="W9" s="9">
        <v>1184.21</v>
      </c>
      <c r="X9" s="9">
        <v>1177.03</v>
      </c>
      <c r="Y9" s="9">
        <v>1166.99</v>
      </c>
      <c r="Z9" s="9">
        <v>1153.44</v>
      </c>
      <c r="AA9" s="9">
        <v>1143.1600000000001</v>
      </c>
      <c r="AB9" s="9" t="s">
        <v>42</v>
      </c>
      <c r="AC9" s="9">
        <v>1116.99</v>
      </c>
      <c r="AD9" s="9">
        <v>1102.6600000000001</v>
      </c>
      <c r="AE9" s="9">
        <v>1088.26</v>
      </c>
      <c r="AF9" s="9">
        <v>1070.1600000000001</v>
      </c>
      <c r="AG9" s="9">
        <v>1056.93</v>
      </c>
      <c r="AH9" s="9">
        <v>1025.45</v>
      </c>
      <c r="AI9" s="9">
        <v>990.41</v>
      </c>
      <c r="AJ9" s="9">
        <v>963.23</v>
      </c>
      <c r="AK9" s="9">
        <v>962.23</v>
      </c>
      <c r="AL9" s="9">
        <v>982.51</v>
      </c>
      <c r="AM9" s="9">
        <v>994.74</v>
      </c>
      <c r="AN9" s="9">
        <v>1008.82</v>
      </c>
      <c r="AO9" s="9">
        <v>1029.26</v>
      </c>
      <c r="AP9" s="9">
        <v>1048.57</v>
      </c>
      <c r="AQ9" s="9">
        <v>1061.07</v>
      </c>
      <c r="AR9" s="9">
        <v>1079.3399999999999</v>
      </c>
      <c r="AS9" s="9">
        <v>1097.8599999999999</v>
      </c>
      <c r="AT9" s="9">
        <v>1125.6400000000001</v>
      </c>
      <c r="AU9" s="9">
        <v>1144.78</v>
      </c>
      <c r="AV9" s="9">
        <v>1168.44</v>
      </c>
      <c r="AW9" s="9">
        <v>1199.7</v>
      </c>
      <c r="AX9" s="9">
        <v>1227.1199999999999</v>
      </c>
      <c r="AY9" s="9">
        <v>1246.5</v>
      </c>
    </row>
    <row r="10" spans="2:51" x14ac:dyDescent="0.35">
      <c r="B10" s="8">
        <v>1283.04</v>
      </c>
      <c r="C10" s="8">
        <v>1286.5899999999999</v>
      </c>
      <c r="D10" s="8">
        <v>1301.83</v>
      </c>
      <c r="E10" s="8">
        <v>1303.27</v>
      </c>
      <c r="F10" s="9">
        <v>1300.81</v>
      </c>
      <c r="G10" s="9">
        <v>1306.73</v>
      </c>
      <c r="H10" s="9">
        <v>1320.4</v>
      </c>
      <c r="I10" s="9">
        <v>1335.54</v>
      </c>
      <c r="J10" s="9">
        <v>1329.52</v>
      </c>
      <c r="K10" s="9">
        <v>1307.08</v>
      </c>
      <c r="L10" s="9">
        <v>1290.3399999999999</v>
      </c>
      <c r="M10" s="9">
        <v>1283.3399999999999</v>
      </c>
      <c r="N10" s="9">
        <v>1271.02</v>
      </c>
      <c r="O10" s="9">
        <v>1265.21</v>
      </c>
      <c r="P10" s="9" t="s">
        <v>42</v>
      </c>
      <c r="Q10" s="9">
        <v>1260.98</v>
      </c>
      <c r="R10" s="9">
        <v>1257.28</v>
      </c>
      <c r="S10" s="9">
        <v>1242.01</v>
      </c>
      <c r="T10" s="9">
        <v>1222.71</v>
      </c>
      <c r="U10" s="9">
        <v>1198.69</v>
      </c>
      <c r="V10" s="9">
        <v>1185.23</v>
      </c>
      <c r="W10" s="9">
        <v>1171.3900000000001</v>
      </c>
      <c r="X10" s="9">
        <v>1162.49</v>
      </c>
      <c r="Y10" s="9">
        <v>1153.27</v>
      </c>
      <c r="Z10" s="9">
        <v>1144.78</v>
      </c>
      <c r="AA10" s="9">
        <v>1133.6199999999999</v>
      </c>
      <c r="AB10" s="9">
        <v>1115.6500000000001</v>
      </c>
      <c r="AC10" s="9">
        <v>1106.27</v>
      </c>
      <c r="AD10" s="9" t="s">
        <v>42</v>
      </c>
      <c r="AE10" s="9">
        <v>1075.82</v>
      </c>
      <c r="AF10" s="9">
        <v>1059.78</v>
      </c>
      <c r="AG10" s="9">
        <v>1044.33</v>
      </c>
      <c r="AH10" s="9">
        <v>1013.61</v>
      </c>
      <c r="AI10" s="9">
        <v>981.07</v>
      </c>
      <c r="AJ10" s="9">
        <v>958.81</v>
      </c>
      <c r="AK10" s="9">
        <v>968.77</v>
      </c>
      <c r="AL10" s="9">
        <v>992.31</v>
      </c>
      <c r="AM10" s="9">
        <v>1007.5</v>
      </c>
      <c r="AN10" s="9">
        <v>1018.92</v>
      </c>
      <c r="AO10" s="9">
        <v>1040.6199999999999</v>
      </c>
      <c r="AP10" s="9">
        <v>1061.03</v>
      </c>
      <c r="AQ10" s="9">
        <v>1074.83</v>
      </c>
      <c r="AR10" s="9">
        <v>1093.3</v>
      </c>
      <c r="AS10" s="9">
        <v>1111.5999999999999</v>
      </c>
      <c r="AT10" s="9">
        <v>1133.7</v>
      </c>
      <c r="AU10" s="9">
        <v>1151.44</v>
      </c>
      <c r="AV10" s="9">
        <v>1179.24</v>
      </c>
      <c r="AW10" s="9">
        <v>1215.1199999999999</v>
      </c>
      <c r="AX10" s="9">
        <v>1234.74</v>
      </c>
      <c r="AY10" s="9">
        <v>1230.8399999999999</v>
      </c>
    </row>
    <row r="11" spans="2:51" x14ac:dyDescent="0.35">
      <c r="B11" s="8">
        <v>1300.05</v>
      </c>
      <c r="C11" s="8">
        <v>1300.33</v>
      </c>
      <c r="D11" s="8">
        <v>1311.93</v>
      </c>
      <c r="E11" s="9">
        <v>1320.73</v>
      </c>
      <c r="F11" s="9">
        <v>1321.5</v>
      </c>
      <c r="G11" s="9">
        <v>1329.88</v>
      </c>
      <c r="H11" s="9">
        <v>1342.05</v>
      </c>
      <c r="I11" s="9">
        <v>1342.67</v>
      </c>
      <c r="J11" s="9">
        <v>1321.15</v>
      </c>
      <c r="K11" s="9" t="s">
        <v>42</v>
      </c>
      <c r="L11" s="9">
        <v>1288.19</v>
      </c>
      <c r="M11" s="9">
        <v>1276.67</v>
      </c>
      <c r="N11" s="9">
        <v>1256.95</v>
      </c>
      <c r="O11" s="9">
        <v>1249.52</v>
      </c>
      <c r="P11" s="9" t="s">
        <v>42</v>
      </c>
      <c r="Q11" s="9">
        <v>1252.3599999999999</v>
      </c>
      <c r="R11" s="9">
        <v>1248.0999999999999</v>
      </c>
      <c r="S11" s="9">
        <v>1231.44</v>
      </c>
      <c r="T11" s="9">
        <v>1216.0999999999999</v>
      </c>
      <c r="U11" s="9">
        <v>1190.27</v>
      </c>
      <c r="V11" s="9">
        <v>1173.5899999999999</v>
      </c>
      <c r="W11" s="9">
        <v>1155.03</v>
      </c>
      <c r="X11" s="9">
        <v>1148.0999999999999</v>
      </c>
      <c r="Y11" s="9">
        <v>1138.78</v>
      </c>
      <c r="Z11" s="9">
        <v>1133.8399999999999</v>
      </c>
      <c r="AA11" s="9">
        <v>1126.24</v>
      </c>
      <c r="AB11" s="9">
        <v>1113.04</v>
      </c>
      <c r="AC11" s="9">
        <v>1099.22</v>
      </c>
      <c r="AD11" s="9">
        <v>1077.51</v>
      </c>
      <c r="AE11" s="9">
        <v>1065.4100000000001</v>
      </c>
      <c r="AF11" s="9">
        <v>1044.79</v>
      </c>
      <c r="AG11" s="9">
        <v>1020.57</v>
      </c>
      <c r="AH11" s="9">
        <v>995.89</v>
      </c>
      <c r="AI11" s="9">
        <v>961.93</v>
      </c>
      <c r="AJ11" s="9">
        <v>954.47</v>
      </c>
      <c r="AK11" s="9">
        <v>975.59</v>
      </c>
      <c r="AL11" s="9">
        <v>998.83</v>
      </c>
      <c r="AM11" s="9">
        <v>1019.18</v>
      </c>
      <c r="AN11" s="9">
        <v>1036.3399999999999</v>
      </c>
      <c r="AO11" s="9">
        <v>1050.96</v>
      </c>
      <c r="AP11" s="9">
        <v>1071.03</v>
      </c>
      <c r="AQ11" s="9">
        <v>1084.43</v>
      </c>
      <c r="AR11" s="9">
        <v>1107.6099999999999</v>
      </c>
      <c r="AS11" s="9">
        <v>1123.83</v>
      </c>
      <c r="AT11" s="9">
        <v>1147.8</v>
      </c>
      <c r="AU11" s="9">
        <v>1165.44</v>
      </c>
      <c r="AV11" s="9">
        <v>1192.0899999999999</v>
      </c>
      <c r="AW11" s="9">
        <v>1220.01</v>
      </c>
      <c r="AX11" s="9">
        <v>1218.9100000000001</v>
      </c>
      <c r="AY11" s="9">
        <v>1211.6400000000001</v>
      </c>
    </row>
    <row r="12" spans="2:51" x14ac:dyDescent="0.35">
      <c r="B12" s="8">
        <v>1318.03</v>
      </c>
      <c r="C12" s="8">
        <v>1320.33</v>
      </c>
      <c r="D12" s="8" t="s">
        <v>42</v>
      </c>
      <c r="E12" s="9">
        <v>1341.91</v>
      </c>
      <c r="F12" s="9">
        <v>1343.82</v>
      </c>
      <c r="G12" s="9">
        <v>1345.62</v>
      </c>
      <c r="H12" s="9">
        <v>1338.83</v>
      </c>
      <c r="I12" s="9">
        <v>1320.75</v>
      </c>
      <c r="J12" s="9">
        <v>1302.07</v>
      </c>
      <c r="K12" s="9">
        <v>1289.9100000000001</v>
      </c>
      <c r="L12" s="9">
        <v>1270.3499999999999</v>
      </c>
      <c r="M12" s="9">
        <v>1256.3499999999999</v>
      </c>
      <c r="N12" s="9">
        <v>1245.9100000000001</v>
      </c>
      <c r="O12" s="9">
        <v>1232.46</v>
      </c>
      <c r="P12" s="9">
        <v>1232.32</v>
      </c>
      <c r="Q12" s="9">
        <v>1243.68</v>
      </c>
      <c r="R12" s="9">
        <v>1241.5999999999999</v>
      </c>
      <c r="S12" s="9">
        <v>1225.56</v>
      </c>
      <c r="T12" s="9">
        <v>1208.9000000000001</v>
      </c>
      <c r="U12" s="9">
        <v>1182.77</v>
      </c>
      <c r="V12" s="9">
        <v>1162.25</v>
      </c>
      <c r="W12" s="9">
        <v>1141.1500000000001</v>
      </c>
      <c r="X12" s="9">
        <v>1132.22</v>
      </c>
      <c r="Y12" s="9">
        <v>1123.58</v>
      </c>
      <c r="Z12" s="9">
        <v>1120.1400000000001</v>
      </c>
      <c r="AA12" s="9">
        <v>1115.6600000000001</v>
      </c>
      <c r="AB12" s="9">
        <v>1109.0999999999999</v>
      </c>
      <c r="AC12" s="9">
        <v>1097</v>
      </c>
      <c r="AD12" s="9">
        <v>1073.51</v>
      </c>
      <c r="AE12" s="9">
        <v>1058.1300000000001</v>
      </c>
      <c r="AF12" s="9">
        <v>1026.51</v>
      </c>
      <c r="AG12" s="9">
        <v>999.75</v>
      </c>
      <c r="AH12" s="9">
        <v>971.55</v>
      </c>
      <c r="AI12" s="9">
        <v>949.17</v>
      </c>
      <c r="AJ12" s="9">
        <v>958.99</v>
      </c>
      <c r="AK12" s="9">
        <v>985.99</v>
      </c>
      <c r="AL12" s="9">
        <v>1004.47</v>
      </c>
      <c r="AM12" s="9">
        <v>1027.68</v>
      </c>
      <c r="AN12" s="9">
        <v>1049.22</v>
      </c>
      <c r="AO12" s="9">
        <v>1065.4000000000001</v>
      </c>
      <c r="AP12" s="9">
        <v>1082.05</v>
      </c>
      <c r="AQ12" s="9">
        <v>1095.25</v>
      </c>
      <c r="AR12" s="9">
        <v>1119.01</v>
      </c>
      <c r="AS12" s="9">
        <v>1136.9100000000001</v>
      </c>
      <c r="AT12" s="9">
        <v>1161.32</v>
      </c>
      <c r="AU12" s="9">
        <v>1182.1600000000001</v>
      </c>
      <c r="AV12" s="9">
        <v>1202.53</v>
      </c>
      <c r="AW12" s="9">
        <v>1210.99</v>
      </c>
      <c r="AX12" s="9">
        <v>1205.3499999999999</v>
      </c>
      <c r="AY12" s="9" t="s">
        <v>42</v>
      </c>
    </row>
    <row r="13" spans="2:51" x14ac:dyDescent="0.35">
      <c r="B13" s="8">
        <v>1334.87</v>
      </c>
      <c r="C13" s="8">
        <v>1339.25</v>
      </c>
      <c r="D13" s="8">
        <v>1350.25</v>
      </c>
      <c r="E13" s="9">
        <v>1359.09</v>
      </c>
      <c r="F13" s="9">
        <v>1352.46</v>
      </c>
      <c r="G13" s="9">
        <v>1331.2</v>
      </c>
      <c r="H13" s="9">
        <v>1319.89</v>
      </c>
      <c r="I13" s="9">
        <v>1296.57</v>
      </c>
      <c r="J13" s="9">
        <v>1278.3900000000001</v>
      </c>
      <c r="K13" s="9">
        <v>1268.77</v>
      </c>
      <c r="L13" s="9">
        <v>1252.83</v>
      </c>
      <c r="M13" s="9">
        <v>1242.03</v>
      </c>
      <c r="N13" s="9">
        <v>1233.77</v>
      </c>
      <c r="O13" s="9">
        <v>1225.3</v>
      </c>
      <c r="P13" s="9">
        <v>1219.3599999999999</v>
      </c>
      <c r="Q13" s="9">
        <v>1234.3800000000001</v>
      </c>
      <c r="R13" s="9">
        <v>1235.6600000000001</v>
      </c>
      <c r="S13" s="9">
        <v>1218.98</v>
      </c>
      <c r="T13" s="9">
        <v>1201.6199999999999</v>
      </c>
      <c r="U13" s="9">
        <v>1173.49</v>
      </c>
      <c r="V13" s="9">
        <v>1155.45</v>
      </c>
      <c r="W13" s="9">
        <v>1134.55</v>
      </c>
      <c r="X13" s="9">
        <v>1119.78</v>
      </c>
      <c r="Y13" s="9">
        <v>1107.46</v>
      </c>
      <c r="Z13" s="9">
        <v>1101.74</v>
      </c>
      <c r="AA13" s="9">
        <v>1099.8800000000001</v>
      </c>
      <c r="AB13" s="9">
        <v>1093.24</v>
      </c>
      <c r="AC13" s="9">
        <v>1083.9000000000001</v>
      </c>
      <c r="AD13" s="9">
        <v>1065.6099999999999</v>
      </c>
      <c r="AE13" s="9">
        <v>1048.29</v>
      </c>
      <c r="AF13" s="9">
        <v>1014.23</v>
      </c>
      <c r="AG13" s="9">
        <v>987.29</v>
      </c>
      <c r="AH13" s="9">
        <v>953.35</v>
      </c>
      <c r="AI13" s="9">
        <v>950.85</v>
      </c>
      <c r="AJ13" s="9">
        <v>973.99</v>
      </c>
      <c r="AK13" s="9">
        <v>994.35</v>
      </c>
      <c r="AL13" s="9">
        <v>1009.15</v>
      </c>
      <c r="AM13" s="9">
        <v>1035.48</v>
      </c>
      <c r="AN13" s="9">
        <v>1053.82</v>
      </c>
      <c r="AO13" s="9">
        <v>1072.8</v>
      </c>
      <c r="AP13" s="9">
        <v>1091.45</v>
      </c>
      <c r="AQ13" s="9">
        <v>1110.73</v>
      </c>
      <c r="AR13" s="9">
        <v>1131.97</v>
      </c>
      <c r="AS13" s="9">
        <v>1150.01</v>
      </c>
      <c r="AT13" s="9">
        <v>1175.8800000000001</v>
      </c>
      <c r="AU13" s="9">
        <v>1192.8399999999999</v>
      </c>
      <c r="AV13" s="9">
        <v>1200.81</v>
      </c>
      <c r="AW13" s="9" t="s">
        <v>42</v>
      </c>
      <c r="AX13" s="9">
        <v>1185.71</v>
      </c>
      <c r="AY13" s="9">
        <v>1173.06</v>
      </c>
    </row>
    <row r="14" spans="2:51" x14ac:dyDescent="0.35">
      <c r="B14" s="8">
        <v>1320.4</v>
      </c>
      <c r="C14" s="8">
        <v>1327.67</v>
      </c>
      <c r="D14" s="8">
        <v>1341.47</v>
      </c>
      <c r="E14" s="9">
        <v>1355.21</v>
      </c>
      <c r="F14" s="9">
        <v>1342.57</v>
      </c>
      <c r="G14" s="9">
        <v>1310.47</v>
      </c>
      <c r="H14" s="9">
        <v>1289.33</v>
      </c>
      <c r="I14" s="9">
        <v>1274.77</v>
      </c>
      <c r="J14" s="9">
        <v>1255.53</v>
      </c>
      <c r="K14" s="9">
        <v>1247.4100000000001</v>
      </c>
      <c r="L14" s="9">
        <v>1239.93</v>
      </c>
      <c r="M14" s="9">
        <v>1231.27</v>
      </c>
      <c r="N14" s="9">
        <v>1219.19</v>
      </c>
      <c r="O14" s="9">
        <v>1215.3499999999999</v>
      </c>
      <c r="P14" s="9">
        <v>1208.51</v>
      </c>
      <c r="Q14" s="9">
        <v>1223.3800000000001</v>
      </c>
      <c r="R14" s="9">
        <v>1230.08</v>
      </c>
      <c r="S14" s="9">
        <v>1213.55</v>
      </c>
      <c r="T14" s="9">
        <v>1195.53</v>
      </c>
      <c r="U14" s="9">
        <v>1167.8</v>
      </c>
      <c r="V14" s="9">
        <v>1151.3800000000001</v>
      </c>
      <c r="W14" s="9">
        <v>1131.22</v>
      </c>
      <c r="X14" s="9">
        <v>1115.95</v>
      </c>
      <c r="Y14" s="9">
        <v>1090.1500000000001</v>
      </c>
      <c r="Z14" s="9">
        <v>1078.24</v>
      </c>
      <c r="AA14" s="9">
        <v>1080.22</v>
      </c>
      <c r="AB14" s="9">
        <v>1077.01</v>
      </c>
      <c r="AC14" s="9">
        <v>1071.49</v>
      </c>
      <c r="AD14" s="9">
        <v>1054.4000000000001</v>
      </c>
      <c r="AE14" s="9">
        <v>1035.46</v>
      </c>
      <c r="AF14" s="9">
        <v>997.42</v>
      </c>
      <c r="AG14" s="9">
        <v>973.28</v>
      </c>
      <c r="AH14" s="9">
        <v>946.46</v>
      </c>
      <c r="AI14" s="9">
        <v>957.02</v>
      </c>
      <c r="AJ14" s="9">
        <v>984.14</v>
      </c>
      <c r="AK14" s="9">
        <v>1004.23</v>
      </c>
      <c r="AL14" s="9">
        <v>1021.19</v>
      </c>
      <c r="AM14" s="9">
        <v>1042.77</v>
      </c>
      <c r="AN14" s="9">
        <v>1058.6500000000001</v>
      </c>
      <c r="AO14" s="9">
        <v>1077.73</v>
      </c>
      <c r="AP14" s="9">
        <v>1099.9100000000001</v>
      </c>
      <c r="AQ14" s="9">
        <v>1118.4100000000001</v>
      </c>
      <c r="AR14" s="9">
        <v>1142.73</v>
      </c>
      <c r="AS14" s="9">
        <v>1161.01</v>
      </c>
      <c r="AT14" s="9">
        <v>1185.71</v>
      </c>
      <c r="AU14" s="9">
        <v>1191.9100000000001</v>
      </c>
      <c r="AV14" s="9" t="s">
        <v>42</v>
      </c>
      <c r="AW14" s="9">
        <v>1175.27</v>
      </c>
      <c r="AX14" s="9">
        <v>1167.25</v>
      </c>
      <c r="AY14" s="9">
        <v>1157.06</v>
      </c>
    </row>
    <row r="15" spans="2:51" x14ac:dyDescent="0.35">
      <c r="B15" s="8">
        <v>1295.8399999999999</v>
      </c>
      <c r="C15" s="8">
        <v>1307.95</v>
      </c>
      <c r="D15" s="8">
        <v>1323.01</v>
      </c>
      <c r="E15" s="9">
        <v>1346.61</v>
      </c>
      <c r="F15" s="9">
        <v>1338.87</v>
      </c>
      <c r="G15" s="9">
        <v>1311.19</v>
      </c>
      <c r="H15" s="9">
        <v>1286.8900000000001</v>
      </c>
      <c r="I15" s="9">
        <v>1257.6099999999999</v>
      </c>
      <c r="J15" s="9">
        <v>1236.5899999999999</v>
      </c>
      <c r="K15" s="9">
        <v>1228.8900000000001</v>
      </c>
      <c r="L15" s="9">
        <v>1220.0899999999999</v>
      </c>
      <c r="M15" s="9">
        <v>1216.9100000000001</v>
      </c>
      <c r="N15" s="9">
        <v>1205.83</v>
      </c>
      <c r="O15" s="9">
        <v>1199.79</v>
      </c>
      <c r="P15" s="9">
        <v>1200.01</v>
      </c>
      <c r="Q15" s="9">
        <v>1214.54</v>
      </c>
      <c r="R15" s="9">
        <v>1220.52</v>
      </c>
      <c r="S15" s="9">
        <v>1209.33</v>
      </c>
      <c r="T15" s="9">
        <v>1195.45</v>
      </c>
      <c r="U15" s="9">
        <v>1167</v>
      </c>
      <c r="V15" s="9">
        <v>1149.22</v>
      </c>
      <c r="W15" s="9">
        <v>1127.06</v>
      </c>
      <c r="X15" s="9">
        <v>1110.4100000000001</v>
      </c>
      <c r="Y15" s="9">
        <v>1088.31</v>
      </c>
      <c r="Z15" s="9">
        <v>1067.3</v>
      </c>
      <c r="AA15" s="9">
        <v>1060.08</v>
      </c>
      <c r="AB15" s="9">
        <v>1057.53</v>
      </c>
      <c r="AC15" s="9">
        <v>1055.29</v>
      </c>
      <c r="AD15" s="9">
        <v>1039.3</v>
      </c>
      <c r="AE15" s="9">
        <v>1015.28</v>
      </c>
      <c r="AF15" s="9">
        <v>982.08</v>
      </c>
      <c r="AG15" s="9">
        <v>959.54</v>
      </c>
      <c r="AH15" s="9">
        <v>940.7</v>
      </c>
      <c r="AI15" s="9">
        <v>969.1</v>
      </c>
      <c r="AJ15" s="9">
        <v>989.14</v>
      </c>
      <c r="AK15" s="9">
        <v>1008.71</v>
      </c>
      <c r="AL15" s="9">
        <v>1028.0899999999999</v>
      </c>
      <c r="AM15" s="9">
        <v>1052.9100000000001</v>
      </c>
      <c r="AN15" s="9">
        <v>1067.43</v>
      </c>
      <c r="AO15" s="9">
        <v>1086.97</v>
      </c>
      <c r="AP15" s="9">
        <v>1111.43</v>
      </c>
      <c r="AQ15" s="9">
        <v>1125.01</v>
      </c>
      <c r="AR15" s="9">
        <v>1151.23</v>
      </c>
      <c r="AS15" s="9">
        <v>1168.0899999999999</v>
      </c>
      <c r="AT15" s="9">
        <v>1178.97</v>
      </c>
      <c r="AU15" s="9">
        <v>1176.83</v>
      </c>
      <c r="AV15" s="9">
        <v>1170.55</v>
      </c>
      <c r="AW15" s="9">
        <v>1161.77</v>
      </c>
      <c r="AX15" s="9">
        <v>1152.97</v>
      </c>
      <c r="AY15" s="9">
        <v>1143.18</v>
      </c>
    </row>
    <row r="16" spans="2:51" x14ac:dyDescent="0.35">
      <c r="B16" s="8">
        <v>1276.94</v>
      </c>
      <c r="C16" s="8">
        <v>1298.99</v>
      </c>
      <c r="D16" s="8">
        <v>1314.45</v>
      </c>
      <c r="E16" s="9">
        <v>1343.23</v>
      </c>
      <c r="F16" s="9">
        <v>1347.83</v>
      </c>
      <c r="G16" s="9">
        <v>1319.13</v>
      </c>
      <c r="H16" s="9">
        <v>1292.25</v>
      </c>
      <c r="I16" s="9">
        <v>1262.77</v>
      </c>
      <c r="J16" s="9">
        <v>1239.69</v>
      </c>
      <c r="K16" s="9">
        <v>1219.51</v>
      </c>
      <c r="L16" s="9">
        <v>1202.75</v>
      </c>
      <c r="M16" s="9">
        <v>1201.79</v>
      </c>
      <c r="N16" s="9">
        <v>1192.8900000000001</v>
      </c>
      <c r="O16" s="9">
        <v>1183.55</v>
      </c>
      <c r="P16" s="9">
        <v>1194.51</v>
      </c>
      <c r="Q16" s="9">
        <v>1208.6400000000001</v>
      </c>
      <c r="R16" s="9">
        <v>1209.74</v>
      </c>
      <c r="S16" s="9">
        <v>1192.8699999999999</v>
      </c>
      <c r="T16" s="9">
        <v>1188.93</v>
      </c>
      <c r="U16" s="9">
        <v>1170.72</v>
      </c>
      <c r="V16" s="9">
        <v>1152.8</v>
      </c>
      <c r="W16" s="9">
        <v>1129.6199999999999</v>
      </c>
      <c r="X16" s="9">
        <v>1113.0899999999999</v>
      </c>
      <c r="Y16" s="9">
        <v>1088.83</v>
      </c>
      <c r="Z16" s="9">
        <v>1069.48</v>
      </c>
      <c r="AA16" s="9">
        <v>1054.1199999999999</v>
      </c>
      <c r="AB16" s="9">
        <v>1038.21</v>
      </c>
      <c r="AC16" s="9">
        <v>1035.07</v>
      </c>
      <c r="AD16" s="9">
        <v>1013.44</v>
      </c>
      <c r="AE16" s="9">
        <v>994.04</v>
      </c>
      <c r="AF16" s="9">
        <v>965.84</v>
      </c>
      <c r="AG16" s="9">
        <v>938.3</v>
      </c>
      <c r="AH16" s="9">
        <v>947.98</v>
      </c>
      <c r="AI16" s="9">
        <v>980.94</v>
      </c>
      <c r="AJ16" s="9">
        <v>1001.5</v>
      </c>
      <c r="AK16" s="9">
        <v>1020.61</v>
      </c>
      <c r="AL16" s="9">
        <v>1036.75</v>
      </c>
      <c r="AM16" s="9">
        <v>1060.01</v>
      </c>
      <c r="AN16" s="9">
        <v>1072.29</v>
      </c>
      <c r="AO16" s="9">
        <v>1093.51</v>
      </c>
      <c r="AP16" s="9">
        <v>1119.4100000000001</v>
      </c>
      <c r="AQ16" s="9">
        <v>1136.53</v>
      </c>
      <c r="AR16" s="9" t="s">
        <v>42</v>
      </c>
      <c r="AS16" s="9">
        <v>1169.79</v>
      </c>
      <c r="AT16" s="9">
        <v>1159.29</v>
      </c>
      <c r="AU16" s="9" t="s">
        <v>42</v>
      </c>
      <c r="AV16" s="9">
        <v>1153.03</v>
      </c>
      <c r="AW16" s="9">
        <v>1141.6300000000001</v>
      </c>
      <c r="AX16" s="9">
        <v>1134.05</v>
      </c>
      <c r="AY16" s="9">
        <v>1140.8</v>
      </c>
    </row>
    <row r="17" spans="2:51" x14ac:dyDescent="0.35">
      <c r="B17" s="8">
        <v>1268.42</v>
      </c>
      <c r="C17" s="8">
        <v>1286.45</v>
      </c>
      <c r="D17" s="8">
        <v>1298.83</v>
      </c>
      <c r="E17" s="9">
        <v>1316.97</v>
      </c>
      <c r="F17" s="9">
        <v>1333.37</v>
      </c>
      <c r="G17" s="9">
        <v>1322.03</v>
      </c>
      <c r="H17" s="9">
        <v>1295.18</v>
      </c>
      <c r="I17" s="9">
        <v>1265.3800000000001</v>
      </c>
      <c r="J17" s="9">
        <v>1235.19</v>
      </c>
      <c r="K17" s="9">
        <v>1217.71</v>
      </c>
      <c r="L17" s="9">
        <v>1196.05</v>
      </c>
      <c r="M17" s="9">
        <v>1182.3699999999999</v>
      </c>
      <c r="N17" s="9">
        <v>1185.05</v>
      </c>
      <c r="O17" s="9">
        <v>1173.2</v>
      </c>
      <c r="P17" s="9">
        <v>1187.96</v>
      </c>
      <c r="Q17" s="9">
        <v>1196.42</v>
      </c>
      <c r="R17" s="9">
        <v>1189.72</v>
      </c>
      <c r="S17" s="9">
        <v>1168.8599999999999</v>
      </c>
      <c r="T17" s="9">
        <v>1170.1199999999999</v>
      </c>
      <c r="U17" s="9">
        <v>1168.0899999999999</v>
      </c>
      <c r="V17" s="9">
        <v>1153.51</v>
      </c>
      <c r="W17" s="9">
        <v>1131.5899999999999</v>
      </c>
      <c r="X17" s="9">
        <v>1115.49</v>
      </c>
      <c r="Y17" s="9">
        <v>1089.95</v>
      </c>
      <c r="Z17" s="9">
        <v>1069.67</v>
      </c>
      <c r="AA17" s="9">
        <v>1056.1500000000001</v>
      </c>
      <c r="AB17" s="9">
        <v>1029.06</v>
      </c>
      <c r="AC17" s="9">
        <v>1011.56</v>
      </c>
      <c r="AD17" s="9">
        <v>993.34</v>
      </c>
      <c r="AE17" s="9" t="s">
        <v>42</v>
      </c>
      <c r="AF17" s="9">
        <v>938.64</v>
      </c>
      <c r="AG17" s="9">
        <v>936.83</v>
      </c>
      <c r="AH17" s="9">
        <v>955.09</v>
      </c>
      <c r="AI17" s="9">
        <v>984.64</v>
      </c>
      <c r="AJ17" s="9">
        <v>1006.32</v>
      </c>
      <c r="AK17" s="9">
        <v>1029.8499999999999</v>
      </c>
      <c r="AL17" s="9">
        <v>1049.77</v>
      </c>
      <c r="AM17" s="9">
        <v>1071.18</v>
      </c>
      <c r="AN17" s="9">
        <v>1084.6600000000001</v>
      </c>
      <c r="AO17" s="9">
        <v>1104.58</v>
      </c>
      <c r="AP17" s="9">
        <v>1127.69</v>
      </c>
      <c r="AQ17" s="9">
        <v>1145.27</v>
      </c>
      <c r="AR17" s="9">
        <v>1164.9000000000001</v>
      </c>
      <c r="AS17" s="9">
        <v>1159.74</v>
      </c>
      <c r="AT17" s="9">
        <v>1141.72</v>
      </c>
      <c r="AU17" s="9">
        <v>1139.26</v>
      </c>
      <c r="AV17" s="9">
        <v>1133.67</v>
      </c>
      <c r="AW17" s="9">
        <v>1128.3900000000001</v>
      </c>
      <c r="AX17" s="9">
        <v>1137.9100000000001</v>
      </c>
      <c r="AY17" s="9">
        <v>1152.79</v>
      </c>
    </row>
    <row r="18" spans="2:51" x14ac:dyDescent="0.35">
      <c r="B18" s="8">
        <v>1261.28</v>
      </c>
      <c r="C18" s="8">
        <v>1275.47</v>
      </c>
      <c r="D18" s="8">
        <v>1285.8499999999999</v>
      </c>
      <c r="E18" s="9">
        <v>1301.69</v>
      </c>
      <c r="F18" s="9">
        <v>1317.57</v>
      </c>
      <c r="G18" s="9">
        <v>1319.77</v>
      </c>
      <c r="H18" s="9">
        <v>1295.3599999999999</v>
      </c>
      <c r="I18" s="9">
        <v>1265.5999999999999</v>
      </c>
      <c r="J18" s="9">
        <v>1234.79</v>
      </c>
      <c r="K18" s="9">
        <v>1217.69</v>
      </c>
      <c r="L18" s="9">
        <v>1195.43</v>
      </c>
      <c r="M18" s="9">
        <v>1180.47</v>
      </c>
      <c r="N18" s="9">
        <v>1175.79</v>
      </c>
      <c r="O18" s="9">
        <v>1170.58</v>
      </c>
      <c r="P18" s="9">
        <v>1182.1400000000001</v>
      </c>
      <c r="Q18" s="9">
        <v>1186.92</v>
      </c>
      <c r="R18" s="9">
        <v>1174.46</v>
      </c>
      <c r="S18" s="9">
        <v>1154.96</v>
      </c>
      <c r="T18" s="9">
        <v>1152.76</v>
      </c>
      <c r="U18" s="9">
        <v>1159.33</v>
      </c>
      <c r="V18" s="9">
        <v>1150.77</v>
      </c>
      <c r="W18" s="9">
        <v>1128.8699999999999</v>
      </c>
      <c r="X18" s="9">
        <v>1112.43</v>
      </c>
      <c r="Y18" s="9">
        <v>1084.67</v>
      </c>
      <c r="Z18" s="9">
        <v>1067.05</v>
      </c>
      <c r="AA18" s="9">
        <v>1055.27</v>
      </c>
      <c r="AB18" s="9">
        <v>1028.3399999999999</v>
      </c>
      <c r="AC18" s="9">
        <v>1002.84</v>
      </c>
      <c r="AD18" s="9">
        <v>977.8</v>
      </c>
      <c r="AE18" s="9">
        <v>952.98</v>
      </c>
      <c r="AF18" s="9">
        <v>931.26</v>
      </c>
      <c r="AG18" s="9">
        <v>946.95</v>
      </c>
      <c r="AH18" s="9">
        <v>966.01</v>
      </c>
      <c r="AI18" s="9">
        <v>988.1</v>
      </c>
      <c r="AJ18" s="9">
        <v>1008.94</v>
      </c>
      <c r="AK18" s="9">
        <v>1035.81</v>
      </c>
      <c r="AL18" s="9">
        <v>1055.77</v>
      </c>
      <c r="AM18" s="9">
        <v>1078.76</v>
      </c>
      <c r="AN18" s="9">
        <v>1094.98</v>
      </c>
      <c r="AO18" s="9">
        <v>1116.6199999999999</v>
      </c>
      <c r="AP18" s="9">
        <v>1135.45</v>
      </c>
      <c r="AQ18" s="9">
        <v>1151.75</v>
      </c>
      <c r="AR18" s="9">
        <v>1163.58</v>
      </c>
      <c r="AS18" s="9">
        <v>1151.1199999999999</v>
      </c>
      <c r="AT18" s="9">
        <v>1131.0999999999999</v>
      </c>
      <c r="AU18" s="9">
        <v>1124.78</v>
      </c>
      <c r="AV18" s="9">
        <v>1121.51</v>
      </c>
      <c r="AW18" s="9">
        <v>1131.43</v>
      </c>
      <c r="AX18" s="9">
        <v>1145.43</v>
      </c>
      <c r="AY18" s="9">
        <v>1159.71</v>
      </c>
    </row>
    <row r="19" spans="2:51" x14ac:dyDescent="0.35">
      <c r="B19" s="8">
        <v>1244.3599999999999</v>
      </c>
      <c r="C19" s="8">
        <v>1255.8499999999999</v>
      </c>
      <c r="D19" s="8">
        <v>1264.93</v>
      </c>
      <c r="E19" s="9">
        <v>1278.47</v>
      </c>
      <c r="F19" s="9">
        <v>1288.47</v>
      </c>
      <c r="G19" s="9">
        <v>1304.3499999999999</v>
      </c>
      <c r="H19" s="9">
        <v>1293.04</v>
      </c>
      <c r="I19" s="9">
        <v>1265.9000000000001</v>
      </c>
      <c r="J19" s="9">
        <v>1239.1500000000001</v>
      </c>
      <c r="K19" s="9">
        <v>1222.77</v>
      </c>
      <c r="L19" s="9">
        <v>1200.71</v>
      </c>
      <c r="M19" s="9">
        <v>1183.95</v>
      </c>
      <c r="N19" s="9">
        <v>1164.49</v>
      </c>
      <c r="O19" s="9">
        <v>1161.44</v>
      </c>
      <c r="P19" s="9">
        <v>1169.04</v>
      </c>
      <c r="Q19" s="9">
        <v>1174.0999999999999</v>
      </c>
      <c r="R19" s="9">
        <v>1157.3399999999999</v>
      </c>
      <c r="S19" s="9">
        <v>1138.3800000000001</v>
      </c>
      <c r="T19" s="9">
        <v>1134.6199999999999</v>
      </c>
      <c r="U19" s="9">
        <v>1147.49</v>
      </c>
      <c r="V19" s="9">
        <v>1134.75</v>
      </c>
      <c r="W19" s="9">
        <v>1119.51</v>
      </c>
      <c r="X19" s="9">
        <v>1104.69</v>
      </c>
      <c r="Y19" s="9">
        <v>1075.3499999999999</v>
      </c>
      <c r="Z19" s="9">
        <v>1054.47</v>
      </c>
      <c r="AA19" s="9">
        <v>1044.8499999999999</v>
      </c>
      <c r="AB19" s="9">
        <v>1019.36</v>
      </c>
      <c r="AC19" s="9">
        <v>994.24</v>
      </c>
      <c r="AD19" s="9">
        <v>957.5</v>
      </c>
      <c r="AE19" s="9">
        <v>927.66</v>
      </c>
      <c r="AF19" s="9">
        <v>937.4</v>
      </c>
      <c r="AG19" s="9">
        <v>959.87</v>
      </c>
      <c r="AH19" s="9">
        <v>985.71</v>
      </c>
      <c r="AI19" s="9">
        <v>1006.64</v>
      </c>
      <c r="AJ19" s="9">
        <v>1020.32</v>
      </c>
      <c r="AK19" s="9">
        <v>1044.33</v>
      </c>
      <c r="AL19" s="9">
        <v>1062.8900000000001</v>
      </c>
      <c r="AM19" s="9">
        <v>1088.6400000000001</v>
      </c>
      <c r="AN19" s="9">
        <v>1105.52</v>
      </c>
      <c r="AO19" s="9">
        <v>1129.3800000000001</v>
      </c>
      <c r="AP19" s="9">
        <v>1151.6500000000001</v>
      </c>
      <c r="AQ19" s="9">
        <v>1164.19</v>
      </c>
      <c r="AR19" s="9">
        <v>1154.4000000000001</v>
      </c>
      <c r="AS19" s="9">
        <v>1135.32</v>
      </c>
      <c r="AT19" s="9">
        <v>1119.52</v>
      </c>
      <c r="AU19" s="9">
        <v>1113.26</v>
      </c>
      <c r="AV19" s="9">
        <v>1127.03</v>
      </c>
      <c r="AW19" s="9">
        <v>1141.75</v>
      </c>
      <c r="AX19" s="9">
        <v>1154.23</v>
      </c>
      <c r="AY19" s="9">
        <v>1164.01</v>
      </c>
    </row>
    <row r="20" spans="2:51" x14ac:dyDescent="0.35">
      <c r="B20" s="8">
        <v>1232.51</v>
      </c>
      <c r="C20" s="8">
        <v>1239.46</v>
      </c>
      <c r="D20" s="8">
        <v>1247.68</v>
      </c>
      <c r="E20" s="9">
        <v>1257.82</v>
      </c>
      <c r="F20" s="9">
        <v>1266.67</v>
      </c>
      <c r="G20" s="9">
        <v>1286.81</v>
      </c>
      <c r="H20" s="9">
        <v>1291.51</v>
      </c>
      <c r="I20" s="9">
        <v>1264.79</v>
      </c>
      <c r="J20" s="9">
        <v>1240.44</v>
      </c>
      <c r="K20" s="9">
        <v>1222.98</v>
      </c>
      <c r="L20" s="9">
        <v>1202.83</v>
      </c>
      <c r="M20" s="9">
        <v>1191.73</v>
      </c>
      <c r="N20" s="9">
        <v>1170.49</v>
      </c>
      <c r="O20" s="9">
        <v>1153.8699999999999</v>
      </c>
      <c r="P20" s="9">
        <v>1156.3900000000001</v>
      </c>
      <c r="Q20" s="9">
        <v>1161.29</v>
      </c>
      <c r="R20" s="9">
        <v>1140.6500000000001</v>
      </c>
      <c r="S20" s="9">
        <v>1123</v>
      </c>
      <c r="T20" s="9">
        <v>1122.2</v>
      </c>
      <c r="U20" s="9">
        <v>1127.3399999999999</v>
      </c>
      <c r="V20" s="9">
        <v>1119.7</v>
      </c>
      <c r="W20" s="9">
        <v>1108</v>
      </c>
      <c r="X20" s="9">
        <v>1091.8699999999999</v>
      </c>
      <c r="Y20" s="9">
        <v>1068.8699999999999</v>
      </c>
      <c r="Z20" s="9">
        <v>1044.78</v>
      </c>
      <c r="AA20" s="9">
        <v>1026.1600000000001</v>
      </c>
      <c r="AB20" s="9">
        <v>1002.46</v>
      </c>
      <c r="AC20" s="9">
        <v>981.9</v>
      </c>
      <c r="AD20" s="9">
        <v>942.91</v>
      </c>
      <c r="AE20" s="9">
        <v>924.41</v>
      </c>
      <c r="AF20" s="9">
        <v>943.93</v>
      </c>
      <c r="AG20" s="9">
        <v>970.03</v>
      </c>
      <c r="AH20" s="9">
        <v>998.05</v>
      </c>
      <c r="AI20" s="9">
        <v>1018.99</v>
      </c>
      <c r="AJ20" s="9">
        <v>1037.75</v>
      </c>
      <c r="AK20" s="9">
        <v>1059.19</v>
      </c>
      <c r="AL20" s="9">
        <v>1072.31</v>
      </c>
      <c r="AM20" s="9">
        <v>1097.1099999999999</v>
      </c>
      <c r="AN20" s="9">
        <v>1113.1500000000001</v>
      </c>
      <c r="AO20" s="9">
        <v>1136.4100000000001</v>
      </c>
      <c r="AP20" s="9">
        <v>1156.28</v>
      </c>
      <c r="AQ20" s="9">
        <v>1158.76</v>
      </c>
      <c r="AR20" s="9">
        <v>1146.25</v>
      </c>
      <c r="AS20" s="9">
        <v>1129.33</v>
      </c>
      <c r="AT20" s="9">
        <v>1108.43</v>
      </c>
      <c r="AU20" s="9">
        <v>1115.01</v>
      </c>
      <c r="AV20" s="9">
        <v>1134.1500000000001</v>
      </c>
      <c r="AW20" s="9">
        <v>1147.25</v>
      </c>
      <c r="AX20" s="9">
        <v>1150.27</v>
      </c>
      <c r="AY20" s="9">
        <v>1151.6300000000001</v>
      </c>
    </row>
    <row r="21" spans="2:51" x14ac:dyDescent="0.35">
      <c r="B21" s="8">
        <v>1217.77</v>
      </c>
      <c r="C21" s="8">
        <v>1224.8</v>
      </c>
      <c r="D21" s="8">
        <v>1232.94</v>
      </c>
      <c r="E21" s="9">
        <v>1240.44</v>
      </c>
      <c r="F21" s="9">
        <v>1248.03</v>
      </c>
      <c r="G21" s="9">
        <v>1265.57</v>
      </c>
      <c r="H21" s="9">
        <v>1278.19</v>
      </c>
      <c r="I21" s="9">
        <v>1261.9100000000001</v>
      </c>
      <c r="J21" s="9">
        <v>1240.68</v>
      </c>
      <c r="K21" s="9">
        <v>1225.7</v>
      </c>
      <c r="L21" s="9">
        <v>1206.4100000000001</v>
      </c>
      <c r="M21" s="9">
        <v>1192.1099999999999</v>
      </c>
      <c r="N21" s="9">
        <v>1170.3900000000001</v>
      </c>
      <c r="O21" s="9">
        <v>1155.29</v>
      </c>
      <c r="P21" s="9">
        <v>1143.47</v>
      </c>
      <c r="Q21" s="9">
        <v>1142.3900000000001</v>
      </c>
      <c r="R21" s="9">
        <v>1120.69</v>
      </c>
      <c r="S21" s="9">
        <v>1106.02</v>
      </c>
      <c r="T21" s="9">
        <v>1110.18</v>
      </c>
      <c r="U21" s="9">
        <v>1112.96</v>
      </c>
      <c r="V21" s="9">
        <v>1106.44</v>
      </c>
      <c r="W21" s="9">
        <v>1089.48</v>
      </c>
      <c r="X21" s="9">
        <v>1075.19</v>
      </c>
      <c r="Y21" s="9">
        <v>1058.83</v>
      </c>
      <c r="Z21" s="9">
        <v>1036.42</v>
      </c>
      <c r="AA21" s="9">
        <v>1018.06</v>
      </c>
      <c r="AB21" s="9">
        <v>989.14</v>
      </c>
      <c r="AC21" s="9">
        <v>966.08</v>
      </c>
      <c r="AD21" s="9">
        <v>927.49</v>
      </c>
      <c r="AE21" s="9">
        <v>924.51</v>
      </c>
      <c r="AF21" s="9">
        <v>950.51</v>
      </c>
      <c r="AG21" s="9">
        <v>976.59</v>
      </c>
      <c r="AH21" s="9">
        <v>1001.99</v>
      </c>
      <c r="AI21" s="9">
        <v>1026.51</v>
      </c>
      <c r="AJ21" s="9">
        <v>1045.75</v>
      </c>
      <c r="AK21" s="9">
        <v>1072.71</v>
      </c>
      <c r="AL21" s="9">
        <v>1085.53</v>
      </c>
      <c r="AM21" s="9">
        <v>1106.27</v>
      </c>
      <c r="AN21" s="9">
        <v>1117.55</v>
      </c>
      <c r="AO21" s="9">
        <v>1127.31</v>
      </c>
      <c r="AP21" s="9">
        <v>1138.3399999999999</v>
      </c>
      <c r="AQ21" s="9">
        <v>1137.44</v>
      </c>
      <c r="AR21" s="9">
        <v>1133.75</v>
      </c>
      <c r="AS21" s="9">
        <v>1126.27</v>
      </c>
      <c r="AT21" s="9">
        <v>1108.05</v>
      </c>
      <c r="AU21" s="9">
        <v>1113.23</v>
      </c>
      <c r="AV21" s="9">
        <v>1125.51</v>
      </c>
      <c r="AW21" s="9">
        <v>1132.21</v>
      </c>
      <c r="AX21" s="9">
        <v>1135.3900000000001</v>
      </c>
      <c r="AY21" s="9">
        <v>1138.47</v>
      </c>
    </row>
    <row r="22" spans="2:51" x14ac:dyDescent="0.35">
      <c r="B22" s="8">
        <v>1199.01</v>
      </c>
      <c r="C22" s="8">
        <v>1207.74</v>
      </c>
      <c r="D22" s="8">
        <v>1217.1600000000001</v>
      </c>
      <c r="E22" s="9">
        <v>1223.68</v>
      </c>
      <c r="F22" s="9">
        <v>1230.6500000000001</v>
      </c>
      <c r="G22" s="9">
        <v>1257.0899999999999</v>
      </c>
      <c r="H22" s="9">
        <v>1266.1199999999999</v>
      </c>
      <c r="I22" s="9">
        <v>1248.42</v>
      </c>
      <c r="J22" s="9">
        <v>1228.67</v>
      </c>
      <c r="K22" s="9">
        <v>1215.21</v>
      </c>
      <c r="L22" s="9">
        <v>1198.3699999999999</v>
      </c>
      <c r="M22" s="9">
        <v>1180.21</v>
      </c>
      <c r="N22" s="9">
        <v>1158.75</v>
      </c>
      <c r="O22" s="9">
        <v>1151.06</v>
      </c>
      <c r="P22" s="9">
        <v>1137.48</v>
      </c>
      <c r="Q22" s="9">
        <v>1121.18</v>
      </c>
      <c r="R22" s="9">
        <v>1105.04</v>
      </c>
      <c r="S22" s="9">
        <v>1089.8900000000001</v>
      </c>
      <c r="T22" s="9">
        <v>1093.8499999999999</v>
      </c>
      <c r="U22" s="9">
        <v>1091.0999999999999</v>
      </c>
      <c r="V22" s="9">
        <v>1084</v>
      </c>
      <c r="W22" s="9">
        <v>1073.94</v>
      </c>
      <c r="X22" s="9">
        <v>1059.47</v>
      </c>
      <c r="Y22" s="9">
        <v>1044.47</v>
      </c>
      <c r="Z22" s="9">
        <v>1025.77</v>
      </c>
      <c r="AA22" s="9">
        <v>1004.47</v>
      </c>
      <c r="AB22" s="9">
        <v>978.94</v>
      </c>
      <c r="AC22" s="9" t="s">
        <v>42</v>
      </c>
      <c r="AD22" s="9">
        <v>921.38</v>
      </c>
      <c r="AE22" s="9">
        <v>925.92</v>
      </c>
      <c r="AF22" s="9">
        <v>955.96</v>
      </c>
      <c r="AG22" s="9">
        <v>980.27</v>
      </c>
      <c r="AH22" s="9">
        <v>1005.85</v>
      </c>
      <c r="AI22" s="9">
        <v>1032.28</v>
      </c>
      <c r="AJ22" s="9">
        <v>1054.28</v>
      </c>
      <c r="AK22" s="9">
        <v>1076.46</v>
      </c>
      <c r="AL22" s="9">
        <v>1087.56</v>
      </c>
      <c r="AM22" s="9">
        <v>1097.96</v>
      </c>
      <c r="AN22" s="9">
        <v>1101.22</v>
      </c>
      <c r="AO22" s="9">
        <v>1106.24</v>
      </c>
      <c r="AP22" s="9">
        <v>1126.3900000000001</v>
      </c>
      <c r="AQ22" s="9">
        <v>1123.77</v>
      </c>
      <c r="AR22" s="9">
        <v>1116.75</v>
      </c>
      <c r="AS22" s="9">
        <v>1116.6300000000001</v>
      </c>
      <c r="AT22" s="9">
        <v>1102.76</v>
      </c>
      <c r="AU22" s="9">
        <v>1097.5999999999999</v>
      </c>
      <c r="AV22" s="9">
        <v>1109.29</v>
      </c>
      <c r="AW22" s="9">
        <v>1116.45</v>
      </c>
      <c r="AX22" s="9">
        <v>1119.17</v>
      </c>
      <c r="AY22" s="9">
        <v>1122.32</v>
      </c>
    </row>
    <row r="23" spans="2:51" ht="16" x14ac:dyDescent="0.35">
      <c r="B23" s="8">
        <v>1187.73</v>
      </c>
      <c r="C23" s="10">
        <v>1191.98</v>
      </c>
      <c r="D23" s="8">
        <v>1196.6400000000001</v>
      </c>
      <c r="E23" s="9">
        <v>1205.1600000000001</v>
      </c>
      <c r="F23" s="9">
        <v>1220.17</v>
      </c>
      <c r="G23" s="9">
        <v>1248.79</v>
      </c>
      <c r="H23" s="9">
        <v>1257.26</v>
      </c>
      <c r="I23" s="9">
        <v>1237.4000000000001</v>
      </c>
      <c r="J23" s="9">
        <v>1215.57</v>
      </c>
      <c r="K23" s="9">
        <v>1200.23</v>
      </c>
      <c r="L23" s="9">
        <v>1186.57</v>
      </c>
      <c r="M23" s="9">
        <v>1171.8900000000001</v>
      </c>
      <c r="N23" s="9">
        <v>1148.55</v>
      </c>
      <c r="O23" s="9">
        <v>1142.1400000000001</v>
      </c>
      <c r="P23" s="9">
        <v>1138.1199999999999</v>
      </c>
      <c r="Q23" s="9">
        <v>1122.0999999999999</v>
      </c>
      <c r="R23" s="9">
        <v>1091.1199999999999</v>
      </c>
      <c r="S23" s="9">
        <v>1069.67</v>
      </c>
      <c r="T23" s="9">
        <v>1075.6300000000001</v>
      </c>
      <c r="U23" s="9">
        <v>1068.0999999999999</v>
      </c>
      <c r="V23" s="9">
        <v>1064.1199999999999</v>
      </c>
      <c r="W23" s="9">
        <v>1056.44</v>
      </c>
      <c r="X23" s="9">
        <v>1044.81</v>
      </c>
      <c r="Y23" s="9">
        <v>1023.27</v>
      </c>
      <c r="Z23" s="9">
        <v>1002.07</v>
      </c>
      <c r="AA23" s="9">
        <v>983.57</v>
      </c>
      <c r="AB23" s="9">
        <v>955.8</v>
      </c>
      <c r="AC23" s="9">
        <v>928.18</v>
      </c>
      <c r="AD23" s="9">
        <v>920.6</v>
      </c>
      <c r="AE23" s="9">
        <v>944.56</v>
      </c>
      <c r="AF23" s="9">
        <v>969.46</v>
      </c>
      <c r="AG23" s="9">
        <v>986.21</v>
      </c>
      <c r="AH23" s="9">
        <v>1011.85</v>
      </c>
      <c r="AI23" s="9">
        <v>1032.56</v>
      </c>
      <c r="AJ23" s="9">
        <v>1048.3599999999999</v>
      </c>
      <c r="AK23" s="9">
        <v>1055.18</v>
      </c>
      <c r="AL23" s="9">
        <v>1060.8599999999999</v>
      </c>
      <c r="AM23" s="9">
        <v>1068</v>
      </c>
      <c r="AN23" s="9">
        <v>1073.6199999999999</v>
      </c>
      <c r="AO23" s="9">
        <v>1097.94</v>
      </c>
      <c r="AP23" s="9">
        <v>1108.6099999999999</v>
      </c>
      <c r="AQ23" s="9">
        <v>1102.8699999999999</v>
      </c>
      <c r="AR23" s="9">
        <v>1094.97</v>
      </c>
      <c r="AS23" s="9">
        <v>1096.4100000000001</v>
      </c>
      <c r="AT23" s="9">
        <v>1093.3</v>
      </c>
      <c r="AU23" s="9">
        <v>1090.0999999999999</v>
      </c>
      <c r="AV23" s="9">
        <v>1097.9100000000001</v>
      </c>
      <c r="AW23" s="9">
        <v>1100.73</v>
      </c>
      <c r="AX23" s="9">
        <v>1103.6500000000001</v>
      </c>
      <c r="AY23" s="9">
        <v>1109.48</v>
      </c>
    </row>
    <row r="24" spans="2:51" x14ac:dyDescent="0.35">
      <c r="B24" s="8">
        <v>1179.8900000000001</v>
      </c>
      <c r="C24" s="11">
        <v>1179.46</v>
      </c>
      <c r="D24" s="8">
        <v>1181.06</v>
      </c>
      <c r="E24" s="9">
        <v>1195.7</v>
      </c>
      <c r="F24" s="9">
        <v>1214.19</v>
      </c>
      <c r="G24" s="9">
        <v>1236.03</v>
      </c>
      <c r="H24" s="9">
        <v>1247.3800000000001</v>
      </c>
      <c r="I24" s="9">
        <v>1229.76</v>
      </c>
      <c r="J24" s="9">
        <v>1211.01</v>
      </c>
      <c r="K24" s="9">
        <v>1189.23</v>
      </c>
      <c r="L24" s="9">
        <v>1169.33</v>
      </c>
      <c r="M24" s="9">
        <v>1156.6500000000001</v>
      </c>
      <c r="N24" s="9">
        <v>1142.6099999999999</v>
      </c>
      <c r="O24" s="9">
        <v>1130.92</v>
      </c>
      <c r="P24" s="9">
        <v>1129.1199999999999</v>
      </c>
      <c r="Q24" s="9" t="s">
        <v>42</v>
      </c>
      <c r="R24" s="9">
        <v>1091.5999999999999</v>
      </c>
      <c r="S24" s="9">
        <v>1055.5899999999999</v>
      </c>
      <c r="T24" s="9">
        <v>1055.81</v>
      </c>
      <c r="U24" s="9">
        <v>1044.04</v>
      </c>
      <c r="V24" s="9">
        <v>1040.1199999999999</v>
      </c>
      <c r="W24" s="9">
        <v>1034.54</v>
      </c>
      <c r="X24" s="9">
        <v>1030.8499999999999</v>
      </c>
      <c r="Y24" s="9">
        <v>1012.41</v>
      </c>
      <c r="Z24" s="9">
        <v>978.09</v>
      </c>
      <c r="AA24" s="9">
        <v>957.01</v>
      </c>
      <c r="AB24" s="9">
        <v>924.32</v>
      </c>
      <c r="AC24" s="9">
        <v>912.38</v>
      </c>
      <c r="AD24" s="9">
        <v>933.24</v>
      </c>
      <c r="AE24" s="9">
        <v>958.08</v>
      </c>
      <c r="AF24" s="9">
        <v>981.68</v>
      </c>
      <c r="AG24" s="9">
        <v>992.39</v>
      </c>
      <c r="AH24" s="9">
        <v>1005.59</v>
      </c>
      <c r="AI24" s="9">
        <v>1016.14</v>
      </c>
      <c r="AJ24" s="9">
        <v>1023.6</v>
      </c>
      <c r="AK24" s="9">
        <v>1029.98</v>
      </c>
      <c r="AL24" s="9">
        <v>1035.1400000000001</v>
      </c>
      <c r="AM24" s="9">
        <v>1042.46</v>
      </c>
      <c r="AN24" s="9">
        <v>1055.52</v>
      </c>
      <c r="AO24" s="9">
        <v>1077.8599999999999</v>
      </c>
      <c r="AP24" s="9">
        <v>1080.77</v>
      </c>
      <c r="AQ24" s="9">
        <v>1075.3900000000001</v>
      </c>
      <c r="AR24" s="9">
        <v>1073.33</v>
      </c>
      <c r="AS24" s="9" t="s">
        <v>42</v>
      </c>
      <c r="AT24" s="9">
        <v>1083.08</v>
      </c>
      <c r="AU24" s="9">
        <v>1084.94</v>
      </c>
      <c r="AV24" s="9">
        <v>1096.1500000000001</v>
      </c>
      <c r="AW24" s="9">
        <v>1104.3499999999999</v>
      </c>
      <c r="AX24" s="9">
        <v>1109.43</v>
      </c>
      <c r="AY24" s="9">
        <v>1112.48</v>
      </c>
    </row>
    <row r="25" spans="2:51" x14ac:dyDescent="0.35">
      <c r="B25" s="8">
        <v>1171.1099999999999</v>
      </c>
      <c r="C25" s="12" t="s">
        <v>42</v>
      </c>
      <c r="D25" s="8">
        <v>1168.54</v>
      </c>
      <c r="E25" s="9">
        <v>1186.96</v>
      </c>
      <c r="F25" s="9">
        <v>1204.44</v>
      </c>
      <c r="G25" s="9">
        <v>1227.52</v>
      </c>
      <c r="H25" s="9">
        <v>1236.5899999999999</v>
      </c>
      <c r="I25" s="9">
        <v>1225.1300000000001</v>
      </c>
      <c r="J25" s="9">
        <v>1202.6099999999999</v>
      </c>
      <c r="K25" s="9">
        <v>1182.33</v>
      </c>
      <c r="L25" s="9">
        <v>1158.0999999999999</v>
      </c>
      <c r="M25" s="9">
        <v>1144.1400000000001</v>
      </c>
      <c r="N25" s="9">
        <v>1132.48</v>
      </c>
      <c r="O25" s="9">
        <v>1123.27</v>
      </c>
      <c r="P25" s="9">
        <v>1114.6300000000001</v>
      </c>
      <c r="Q25" s="9">
        <v>1110.43</v>
      </c>
      <c r="R25" s="9">
        <v>1081.17</v>
      </c>
      <c r="S25" s="9">
        <v>1043.24</v>
      </c>
      <c r="T25" s="9">
        <v>1036.76</v>
      </c>
      <c r="U25" s="9">
        <v>1021.85</v>
      </c>
      <c r="V25" s="9">
        <v>1014.83</v>
      </c>
      <c r="W25" s="9">
        <v>1011.89</v>
      </c>
      <c r="X25" s="9">
        <v>1015.91</v>
      </c>
      <c r="Y25" s="9">
        <v>1002.89</v>
      </c>
      <c r="Z25" s="9">
        <v>974.18</v>
      </c>
      <c r="AA25" s="9">
        <v>945.6</v>
      </c>
      <c r="AB25" s="9">
        <v>909.6</v>
      </c>
      <c r="AC25" s="9">
        <v>918.84</v>
      </c>
      <c r="AD25" s="9">
        <v>946.5</v>
      </c>
      <c r="AE25" s="9" t="s">
        <v>42</v>
      </c>
      <c r="AF25" s="9">
        <v>967.08</v>
      </c>
      <c r="AG25" s="9">
        <v>972.87</v>
      </c>
      <c r="AH25" s="9" t="s">
        <v>42</v>
      </c>
      <c r="AI25" s="9">
        <v>987.61</v>
      </c>
      <c r="AJ25" s="9">
        <v>994.89</v>
      </c>
      <c r="AK25" s="9">
        <v>1006.6</v>
      </c>
      <c r="AL25" s="9">
        <v>1014.16</v>
      </c>
      <c r="AM25" s="9">
        <v>1026.8399999999999</v>
      </c>
      <c r="AN25" s="9">
        <v>1035.54</v>
      </c>
      <c r="AO25" s="9">
        <v>1046.6199999999999</v>
      </c>
      <c r="AP25" s="9">
        <v>1057.1400000000001</v>
      </c>
      <c r="AQ25" s="9">
        <v>1064.98</v>
      </c>
      <c r="AR25" s="9">
        <v>1077.42</v>
      </c>
      <c r="AS25" s="9">
        <v>1083.76</v>
      </c>
      <c r="AT25" s="9">
        <v>1091.97</v>
      </c>
      <c r="AU25" s="9">
        <v>1100.93</v>
      </c>
      <c r="AV25" s="9">
        <v>1111.76</v>
      </c>
      <c r="AW25" s="9">
        <v>1122.18</v>
      </c>
      <c r="AX25" s="9">
        <v>1124.1600000000001</v>
      </c>
      <c r="AY25" s="9">
        <v>1125.99</v>
      </c>
    </row>
    <row r="26" spans="2:51" x14ac:dyDescent="0.35">
      <c r="B26" s="8">
        <v>1160.1300000000001</v>
      </c>
      <c r="C26" s="11">
        <v>1151.48</v>
      </c>
      <c r="D26" s="12">
        <v>1155.9000000000001</v>
      </c>
      <c r="E26" s="9">
        <v>1175.94</v>
      </c>
      <c r="F26" s="9">
        <v>1191.3399999999999</v>
      </c>
      <c r="G26" s="9">
        <v>1218.3599999999999</v>
      </c>
      <c r="H26" s="9">
        <v>1230.93</v>
      </c>
      <c r="I26" s="9">
        <v>1222.77</v>
      </c>
      <c r="J26" s="9">
        <v>1195.33</v>
      </c>
      <c r="K26" s="9">
        <v>1177.43</v>
      </c>
      <c r="L26" s="9">
        <v>1154.56</v>
      </c>
      <c r="M26" s="9">
        <v>1142.26</v>
      </c>
      <c r="N26" s="9">
        <v>1125.18</v>
      </c>
      <c r="O26" s="9">
        <v>1110.8900000000001</v>
      </c>
      <c r="P26" s="9">
        <v>1098.69</v>
      </c>
      <c r="Q26" s="9">
        <v>1095.81</v>
      </c>
      <c r="R26" s="9">
        <v>1065.1099999999999</v>
      </c>
      <c r="S26" s="9">
        <v>1038.32</v>
      </c>
      <c r="T26" s="9">
        <v>1020</v>
      </c>
      <c r="U26" s="9">
        <v>1001.61</v>
      </c>
      <c r="V26" s="9">
        <v>987.47</v>
      </c>
      <c r="W26" s="9">
        <v>979.03</v>
      </c>
      <c r="X26" s="9">
        <v>989.93</v>
      </c>
      <c r="Y26" s="9">
        <v>995.09</v>
      </c>
      <c r="Z26" s="9">
        <v>969.84</v>
      </c>
      <c r="AA26" s="9">
        <v>939.22</v>
      </c>
      <c r="AB26" s="9">
        <v>906.82</v>
      </c>
      <c r="AC26" s="9">
        <v>928</v>
      </c>
      <c r="AD26" s="9">
        <v>944.58</v>
      </c>
      <c r="AE26" s="9">
        <v>938.92</v>
      </c>
      <c r="AF26" s="9">
        <v>946.2</v>
      </c>
      <c r="AG26" s="9">
        <v>956.15</v>
      </c>
      <c r="AH26" s="9">
        <v>968.93</v>
      </c>
      <c r="AI26" s="9">
        <v>982.35</v>
      </c>
      <c r="AJ26" s="9">
        <v>998.75</v>
      </c>
      <c r="AK26" s="9">
        <v>1018.14</v>
      </c>
      <c r="AL26" s="9">
        <v>1028.5999999999999</v>
      </c>
      <c r="AM26" s="9">
        <v>1039.3599999999999</v>
      </c>
      <c r="AN26" s="9">
        <v>1051.7</v>
      </c>
      <c r="AO26" s="9">
        <v>1066.3800000000001</v>
      </c>
      <c r="AP26" s="9">
        <v>1079</v>
      </c>
      <c r="AQ26" s="9">
        <v>1082.82</v>
      </c>
      <c r="AR26" s="9">
        <v>1092.1199999999999</v>
      </c>
      <c r="AS26" s="9">
        <v>1100.42</v>
      </c>
      <c r="AT26" s="9">
        <v>1110.81</v>
      </c>
      <c r="AU26" s="9">
        <v>1115.9100000000001</v>
      </c>
      <c r="AV26" s="9">
        <v>1123</v>
      </c>
      <c r="AW26" s="9">
        <v>1137</v>
      </c>
      <c r="AX26" s="9">
        <v>1138.6600000000001</v>
      </c>
      <c r="AY26" s="9">
        <v>1139.57</v>
      </c>
    </row>
    <row r="27" spans="2:51" x14ac:dyDescent="0.35">
      <c r="B27" s="8">
        <v>1153.8499999999999</v>
      </c>
      <c r="C27" s="8">
        <v>1142.46</v>
      </c>
      <c r="D27" s="8">
        <v>1144.74</v>
      </c>
      <c r="E27" s="9">
        <v>1164.74</v>
      </c>
      <c r="F27" s="9">
        <v>1180.02</v>
      </c>
      <c r="G27" s="9">
        <v>1202.52</v>
      </c>
      <c r="H27" s="9">
        <v>1222.99</v>
      </c>
      <c r="I27" s="9">
        <v>1222.99</v>
      </c>
      <c r="J27" s="9">
        <v>1200.4100000000001</v>
      </c>
      <c r="K27" s="9">
        <v>1182.69</v>
      </c>
      <c r="L27" s="9">
        <v>1158.28</v>
      </c>
      <c r="M27" s="9">
        <v>1145.6400000000001</v>
      </c>
      <c r="N27" s="9" t="s">
        <v>42</v>
      </c>
      <c r="O27" s="9">
        <v>1118.67</v>
      </c>
      <c r="P27" s="9">
        <v>1104.3499999999999</v>
      </c>
      <c r="Q27" s="9">
        <v>1088.77</v>
      </c>
      <c r="R27" s="9">
        <v>1054.99</v>
      </c>
      <c r="S27" s="9">
        <v>1028.9000000000001</v>
      </c>
      <c r="T27" s="9">
        <v>1014.7</v>
      </c>
      <c r="U27" s="9">
        <v>992.05</v>
      </c>
      <c r="V27" s="9">
        <v>979.15</v>
      </c>
      <c r="W27" s="9">
        <v>962.89</v>
      </c>
      <c r="X27" s="9">
        <v>961.67</v>
      </c>
      <c r="Y27" s="9">
        <v>973.17</v>
      </c>
      <c r="Z27" s="9">
        <v>957.92</v>
      </c>
      <c r="AA27" s="9">
        <v>924.68</v>
      </c>
      <c r="AB27" s="9">
        <v>907.86</v>
      </c>
      <c r="AC27" s="9">
        <v>928.82</v>
      </c>
      <c r="AD27" s="9">
        <v>927.24</v>
      </c>
      <c r="AE27" s="9">
        <v>932.94</v>
      </c>
      <c r="AF27" s="9">
        <v>961.04</v>
      </c>
      <c r="AG27" s="9">
        <v>974.31</v>
      </c>
      <c r="AH27" s="9">
        <v>992.73</v>
      </c>
      <c r="AI27" s="9">
        <v>999.77</v>
      </c>
      <c r="AJ27" s="9">
        <v>1013.15</v>
      </c>
      <c r="AK27" s="9">
        <v>1036.4000000000001</v>
      </c>
      <c r="AL27" s="9">
        <v>1050.52</v>
      </c>
      <c r="AM27" s="9">
        <v>1060.02</v>
      </c>
      <c r="AN27" s="9">
        <v>1068.46</v>
      </c>
      <c r="AO27" s="9">
        <v>1085.72</v>
      </c>
      <c r="AP27" s="9">
        <v>1098.3399999999999</v>
      </c>
      <c r="AQ27" s="9">
        <v>1103.2</v>
      </c>
      <c r="AR27" s="9">
        <v>1105.5</v>
      </c>
      <c r="AS27" s="9">
        <v>1113.22</v>
      </c>
      <c r="AT27" s="9">
        <v>1123.83</v>
      </c>
      <c r="AU27" s="9">
        <v>1129.1300000000001</v>
      </c>
      <c r="AV27" s="9">
        <v>1136.6400000000001</v>
      </c>
      <c r="AW27" s="9" t="s">
        <v>42</v>
      </c>
      <c r="AX27" s="9">
        <v>1148.72</v>
      </c>
      <c r="AY27" s="9">
        <v>1149.8699999999999</v>
      </c>
    </row>
    <row r="28" spans="2:51" x14ac:dyDescent="0.35">
      <c r="B28" s="8">
        <v>1158.79</v>
      </c>
      <c r="C28" s="11">
        <v>1141.6400000000001</v>
      </c>
      <c r="D28" s="11">
        <v>1134.58</v>
      </c>
      <c r="E28" s="9">
        <v>1152.96</v>
      </c>
      <c r="F28" s="9">
        <v>1170.76</v>
      </c>
      <c r="G28" s="9">
        <v>1189.54</v>
      </c>
      <c r="H28" s="9">
        <v>1206.29</v>
      </c>
      <c r="I28" s="9">
        <v>1222.83</v>
      </c>
      <c r="J28" s="9">
        <v>1204.6099999999999</v>
      </c>
      <c r="K28" s="9">
        <v>1189.83</v>
      </c>
      <c r="L28" s="9">
        <v>1170.3900000000001</v>
      </c>
      <c r="M28" s="9">
        <v>1153.73</v>
      </c>
      <c r="N28" s="9">
        <v>1141.51</v>
      </c>
      <c r="O28" s="9">
        <v>1131.95</v>
      </c>
      <c r="P28" s="9">
        <v>1111.83</v>
      </c>
      <c r="Q28" s="9">
        <v>1094.3</v>
      </c>
      <c r="R28" s="9">
        <v>1061.06</v>
      </c>
      <c r="S28" s="9">
        <v>1038.33</v>
      </c>
      <c r="T28" s="9">
        <v>1026.1300000000001</v>
      </c>
      <c r="U28" s="9">
        <v>1007.87</v>
      </c>
      <c r="V28" s="9">
        <v>996.91</v>
      </c>
      <c r="W28" s="9">
        <v>972.85</v>
      </c>
      <c r="X28" s="9">
        <v>958.22</v>
      </c>
      <c r="Y28" s="9">
        <v>949.9</v>
      </c>
      <c r="Z28" s="9">
        <v>947.53</v>
      </c>
      <c r="AA28" s="9">
        <v>914.71</v>
      </c>
      <c r="AB28" s="9">
        <v>904.46</v>
      </c>
      <c r="AC28" s="9">
        <v>921.72</v>
      </c>
      <c r="AD28" s="9">
        <v>916.64</v>
      </c>
      <c r="AE28" s="9">
        <v>935.4</v>
      </c>
      <c r="AF28" s="9">
        <v>966.18</v>
      </c>
      <c r="AG28" s="9">
        <v>987.45</v>
      </c>
      <c r="AH28" s="9">
        <v>1009.85</v>
      </c>
      <c r="AI28" s="9">
        <v>1021.32</v>
      </c>
      <c r="AJ28" s="9">
        <v>1028.46</v>
      </c>
      <c r="AK28" s="9">
        <v>1047.67</v>
      </c>
      <c r="AL28" s="9" t="s">
        <v>42</v>
      </c>
      <c r="AM28" s="9">
        <v>1076.75</v>
      </c>
      <c r="AN28" s="9">
        <v>1083.27</v>
      </c>
      <c r="AO28" s="9">
        <v>1098.1099999999999</v>
      </c>
      <c r="AP28" s="9">
        <v>1115.2</v>
      </c>
      <c r="AQ28" s="9">
        <v>1117.96</v>
      </c>
      <c r="AR28" s="9">
        <v>1112.51</v>
      </c>
      <c r="AS28" s="9">
        <v>1117.4100000000001</v>
      </c>
      <c r="AT28" s="9">
        <v>1127.8900000000001</v>
      </c>
      <c r="AU28" s="9">
        <v>1134.83</v>
      </c>
      <c r="AV28" s="9">
        <v>1139.56</v>
      </c>
      <c r="AW28" s="9">
        <v>1133.9000000000001</v>
      </c>
      <c r="AX28" s="9">
        <v>1134.32</v>
      </c>
      <c r="AY28" s="9">
        <v>1144.3800000000001</v>
      </c>
    </row>
    <row r="29" spans="2:51" x14ac:dyDescent="0.35">
      <c r="B29" s="8">
        <v>1157.8499999999999</v>
      </c>
      <c r="C29" s="11">
        <v>1141.0999999999999</v>
      </c>
      <c r="D29" s="8">
        <v>1130.18</v>
      </c>
      <c r="E29" s="9">
        <v>1142.02</v>
      </c>
      <c r="F29" s="9">
        <v>1157.3800000000001</v>
      </c>
      <c r="G29" s="9">
        <v>1176.76</v>
      </c>
      <c r="H29" s="9">
        <v>1191.69</v>
      </c>
      <c r="I29" s="9">
        <v>1214.17</v>
      </c>
      <c r="J29" s="9">
        <v>1206.47</v>
      </c>
      <c r="K29" s="9">
        <v>1195.8499999999999</v>
      </c>
      <c r="L29" s="9">
        <v>1177.95</v>
      </c>
      <c r="M29" s="9">
        <v>1163.19</v>
      </c>
      <c r="N29" s="9">
        <v>1145.03</v>
      </c>
      <c r="O29" s="9">
        <v>1129.6099999999999</v>
      </c>
      <c r="P29" s="9" t="s">
        <v>42</v>
      </c>
      <c r="Q29" s="9" t="s">
        <v>42</v>
      </c>
      <c r="R29" s="9">
        <v>1074.06</v>
      </c>
      <c r="S29" s="9">
        <v>1054.03</v>
      </c>
      <c r="T29" s="9">
        <v>1038.29</v>
      </c>
      <c r="U29" s="9">
        <v>1022.75</v>
      </c>
      <c r="V29" s="9">
        <v>1006.57</v>
      </c>
      <c r="W29" s="9">
        <v>989.13</v>
      </c>
      <c r="X29" s="9">
        <v>971.86</v>
      </c>
      <c r="Y29" s="9">
        <v>947.9</v>
      </c>
      <c r="Z29" s="9">
        <v>927.73</v>
      </c>
      <c r="AA29" s="9">
        <v>904.67</v>
      </c>
      <c r="AB29" s="9">
        <v>900.2</v>
      </c>
      <c r="AC29" s="9">
        <v>904.74</v>
      </c>
      <c r="AD29" s="9">
        <v>915.78</v>
      </c>
      <c r="AE29" s="9">
        <v>934.44</v>
      </c>
      <c r="AF29" s="9">
        <v>964.42</v>
      </c>
      <c r="AG29" s="9">
        <v>988.19</v>
      </c>
      <c r="AH29" s="9">
        <v>1015.01</v>
      </c>
      <c r="AI29" s="9">
        <v>1037.7</v>
      </c>
      <c r="AJ29" s="9">
        <v>1048.42</v>
      </c>
      <c r="AK29" s="9">
        <v>1064.1300000000001</v>
      </c>
      <c r="AL29" s="9">
        <v>1076.23</v>
      </c>
      <c r="AM29" s="9">
        <v>1090.1099999999999</v>
      </c>
      <c r="AN29" s="9">
        <v>1100.49</v>
      </c>
      <c r="AO29" s="9">
        <v>1113.07</v>
      </c>
      <c r="AP29" s="9">
        <v>1124.2</v>
      </c>
      <c r="AQ29" s="9">
        <v>1115.56</v>
      </c>
      <c r="AR29" s="9">
        <v>1102.69</v>
      </c>
      <c r="AS29" s="9">
        <v>1108.43</v>
      </c>
      <c r="AT29" s="9">
        <v>1122.93</v>
      </c>
      <c r="AU29" s="9">
        <v>1129.73</v>
      </c>
      <c r="AV29" s="9">
        <v>1125.46</v>
      </c>
      <c r="AW29" s="9">
        <v>1115.18</v>
      </c>
      <c r="AX29" s="9">
        <v>1114.82</v>
      </c>
      <c r="AY29" s="9">
        <v>1133.6600000000001</v>
      </c>
    </row>
    <row r="30" spans="2:51" x14ac:dyDescent="0.35">
      <c r="B30" s="8">
        <v>1152.4100000000001</v>
      </c>
      <c r="C30" s="11">
        <v>1136.98</v>
      </c>
      <c r="D30" s="8">
        <v>1123.3399999999999</v>
      </c>
      <c r="E30" s="9">
        <v>1136.1400000000001</v>
      </c>
      <c r="F30" s="9">
        <v>1149.58</v>
      </c>
      <c r="G30" s="9">
        <v>1172.3</v>
      </c>
      <c r="H30" s="9">
        <v>1188.9100000000001</v>
      </c>
      <c r="I30" s="9">
        <v>1209.6099999999999</v>
      </c>
      <c r="J30" s="9">
        <v>1205.33</v>
      </c>
      <c r="K30" s="9">
        <v>1198.23</v>
      </c>
      <c r="L30" s="9">
        <v>1182.21</v>
      </c>
      <c r="M30" s="9">
        <v>1170.23</v>
      </c>
      <c r="N30" s="9">
        <v>1148.1500000000001</v>
      </c>
      <c r="O30" s="9">
        <v>1134.51</v>
      </c>
      <c r="P30" s="9">
        <v>1118.49</v>
      </c>
      <c r="Q30" s="9">
        <v>1101.6400000000001</v>
      </c>
      <c r="R30" s="9">
        <v>1080.5</v>
      </c>
      <c r="S30" s="9">
        <v>1061.53</v>
      </c>
      <c r="T30" s="9">
        <v>1050.67</v>
      </c>
      <c r="U30" s="9">
        <v>1028.23</v>
      </c>
      <c r="V30" s="9" t="s">
        <v>42</v>
      </c>
      <c r="W30" s="9">
        <v>998.89</v>
      </c>
      <c r="X30" s="9">
        <v>973.84</v>
      </c>
      <c r="Y30" s="9">
        <v>957.02</v>
      </c>
      <c r="Z30" s="9">
        <v>938.39</v>
      </c>
      <c r="AA30" s="9">
        <v>919.51</v>
      </c>
      <c r="AB30" s="9">
        <v>897.52</v>
      </c>
      <c r="AC30" s="9">
        <v>894.98</v>
      </c>
      <c r="AD30" s="9">
        <v>915.02</v>
      </c>
      <c r="AE30" s="9">
        <v>935.1</v>
      </c>
      <c r="AF30" s="9">
        <v>963.32</v>
      </c>
      <c r="AG30" s="9">
        <v>985.89</v>
      </c>
      <c r="AH30" s="9">
        <v>1011.19</v>
      </c>
      <c r="AI30" s="9">
        <v>1039.82</v>
      </c>
      <c r="AJ30" s="9">
        <v>1054.78</v>
      </c>
      <c r="AK30" s="9">
        <v>1073.1500000000001</v>
      </c>
      <c r="AL30" s="9">
        <v>1085.43</v>
      </c>
      <c r="AM30" s="9">
        <v>1099.8699999999999</v>
      </c>
      <c r="AN30" s="9">
        <v>1112.93</v>
      </c>
      <c r="AO30" s="9">
        <v>1125.0899999999999</v>
      </c>
      <c r="AP30" s="9">
        <v>1112.94</v>
      </c>
      <c r="AQ30" s="9">
        <v>1107.5</v>
      </c>
      <c r="AR30" s="9">
        <v>1090.93</v>
      </c>
      <c r="AS30" s="9">
        <v>1101.19</v>
      </c>
      <c r="AT30" s="9" t="s">
        <v>42</v>
      </c>
      <c r="AU30" s="9">
        <v>1117.97</v>
      </c>
      <c r="AV30" s="9">
        <v>1113.08</v>
      </c>
      <c r="AW30" s="9">
        <v>1102.96</v>
      </c>
      <c r="AX30" s="9">
        <v>1106.44</v>
      </c>
      <c r="AY30" s="9">
        <v>1124.92</v>
      </c>
    </row>
    <row r="31" spans="2:51" x14ac:dyDescent="0.35">
      <c r="B31" s="8">
        <v>1143.94</v>
      </c>
      <c r="C31" s="8">
        <v>1126.6099999999999</v>
      </c>
      <c r="D31" s="8">
        <v>1115.1300000000001</v>
      </c>
      <c r="E31" s="9">
        <v>1129.4100000000001</v>
      </c>
      <c r="F31" s="9">
        <v>1144.75</v>
      </c>
      <c r="G31" s="9">
        <v>1167.07</v>
      </c>
      <c r="H31" s="9">
        <v>1185.08</v>
      </c>
      <c r="I31" s="9">
        <v>1198.78</v>
      </c>
      <c r="J31" s="9">
        <v>1195.01</v>
      </c>
      <c r="K31" s="9">
        <v>1190.6099999999999</v>
      </c>
      <c r="L31" s="9">
        <v>1183.83</v>
      </c>
      <c r="M31" s="9">
        <v>1175.43</v>
      </c>
      <c r="N31" s="9">
        <v>1156.95</v>
      </c>
      <c r="O31" s="9">
        <v>1145.3800000000001</v>
      </c>
      <c r="P31" s="9">
        <v>1126.3399999999999</v>
      </c>
      <c r="Q31" s="9">
        <v>1109.67</v>
      </c>
      <c r="R31" s="9">
        <v>1088.79</v>
      </c>
      <c r="S31" s="9">
        <v>1077.01</v>
      </c>
      <c r="T31" s="9">
        <v>1062.8699999999999</v>
      </c>
      <c r="U31" s="9">
        <v>1041.43</v>
      </c>
      <c r="V31" s="9">
        <v>1030.25</v>
      </c>
      <c r="W31" s="9">
        <v>1008.07</v>
      </c>
      <c r="X31" s="9">
        <v>998.31</v>
      </c>
      <c r="Y31" s="9">
        <v>973.67</v>
      </c>
      <c r="Z31" s="9">
        <v>951.09</v>
      </c>
      <c r="AA31" s="9">
        <v>936.13</v>
      </c>
      <c r="AB31" s="9">
        <v>909.51</v>
      </c>
      <c r="AC31" s="9">
        <v>893.39</v>
      </c>
      <c r="AD31" s="9">
        <v>913.55</v>
      </c>
      <c r="AE31" s="9">
        <v>934.27</v>
      </c>
      <c r="AF31" s="9" t="s">
        <v>42</v>
      </c>
      <c r="AG31" s="9">
        <v>983.05</v>
      </c>
      <c r="AH31" s="9">
        <v>1004.25</v>
      </c>
      <c r="AI31" s="9">
        <v>1034.17</v>
      </c>
      <c r="AJ31" s="9">
        <v>1052.53</v>
      </c>
      <c r="AK31" s="9">
        <v>1075.01</v>
      </c>
      <c r="AL31" s="9">
        <v>1090.5899999999999</v>
      </c>
      <c r="AM31" s="9">
        <v>1109.76</v>
      </c>
      <c r="AN31" s="9">
        <v>1118.3399999999999</v>
      </c>
      <c r="AO31" s="9">
        <v>1111.96</v>
      </c>
      <c r="AP31" s="9">
        <v>1090.3800000000001</v>
      </c>
      <c r="AQ31" s="9">
        <v>1083.2</v>
      </c>
      <c r="AR31" s="9">
        <v>1071.23</v>
      </c>
      <c r="AS31" s="9">
        <v>1085.4100000000001</v>
      </c>
      <c r="AT31" s="9">
        <v>1099.6099999999999</v>
      </c>
      <c r="AU31" s="9">
        <v>1099.8699999999999</v>
      </c>
      <c r="AV31" s="9">
        <v>1094.97</v>
      </c>
      <c r="AW31" s="9">
        <v>1085.49</v>
      </c>
      <c r="AX31" s="9">
        <v>1095.57</v>
      </c>
      <c r="AY31" s="9">
        <v>1113.4000000000001</v>
      </c>
    </row>
    <row r="32" spans="2:51" x14ac:dyDescent="0.35">
      <c r="B32" s="8">
        <v>1135.3</v>
      </c>
      <c r="C32" s="8">
        <v>1116.93</v>
      </c>
      <c r="D32" s="8">
        <v>1105.73</v>
      </c>
      <c r="E32" s="9">
        <v>1122.81</v>
      </c>
      <c r="F32" s="9">
        <v>1139.97</v>
      </c>
      <c r="G32" s="9">
        <v>1161.1099999999999</v>
      </c>
      <c r="H32" s="9">
        <v>1179.22</v>
      </c>
      <c r="I32" s="9">
        <v>1184.6199999999999</v>
      </c>
      <c r="J32" s="9">
        <v>1173.4100000000001</v>
      </c>
      <c r="K32" s="9">
        <v>1169.93</v>
      </c>
      <c r="L32" s="9">
        <v>1164.33</v>
      </c>
      <c r="M32" s="9">
        <v>1160.51</v>
      </c>
      <c r="N32" s="9">
        <v>1155.6300000000001</v>
      </c>
      <c r="O32" s="9">
        <v>1147.76</v>
      </c>
      <c r="P32" s="9">
        <v>1131.2</v>
      </c>
      <c r="Q32" s="9">
        <v>1118.05</v>
      </c>
      <c r="R32" s="9">
        <v>1105.25</v>
      </c>
      <c r="S32" s="9">
        <v>1091.25</v>
      </c>
      <c r="T32" s="9">
        <v>1079.1099999999999</v>
      </c>
      <c r="U32" s="9">
        <v>1061.1500000000001</v>
      </c>
      <c r="V32" s="9">
        <v>1045.0899999999999</v>
      </c>
      <c r="W32" s="9">
        <v>1028.01</v>
      </c>
      <c r="X32" s="9">
        <v>1016.21</v>
      </c>
      <c r="Y32" s="9">
        <v>988.81</v>
      </c>
      <c r="Z32" s="9">
        <v>960.09</v>
      </c>
      <c r="AA32" s="9">
        <v>945.23</v>
      </c>
      <c r="AB32" s="9">
        <v>910.05</v>
      </c>
      <c r="AC32" s="9">
        <v>885.69</v>
      </c>
      <c r="AD32" s="9">
        <v>912.11</v>
      </c>
      <c r="AE32" s="9">
        <v>933.15</v>
      </c>
      <c r="AF32" s="9">
        <v>963.13</v>
      </c>
      <c r="AG32" s="9">
        <v>980.29</v>
      </c>
      <c r="AH32" s="9">
        <v>997.13</v>
      </c>
      <c r="AI32" s="9">
        <v>1023.75</v>
      </c>
      <c r="AJ32" s="9">
        <v>1045.51</v>
      </c>
      <c r="AK32" s="9" t="s">
        <v>42</v>
      </c>
      <c r="AL32" s="9">
        <v>1085.05</v>
      </c>
      <c r="AM32" s="9">
        <v>1106.48</v>
      </c>
      <c r="AN32" s="9">
        <v>1106.82</v>
      </c>
      <c r="AO32" s="9" t="s">
        <v>42</v>
      </c>
      <c r="AP32" s="9">
        <v>1070.28</v>
      </c>
      <c r="AQ32" s="9">
        <v>1060.08</v>
      </c>
      <c r="AR32" s="9">
        <v>1050.29</v>
      </c>
      <c r="AS32" s="9">
        <v>1063.95</v>
      </c>
      <c r="AT32" s="9">
        <v>1077.55</v>
      </c>
      <c r="AU32" s="9">
        <v>1076.57</v>
      </c>
      <c r="AV32" s="9">
        <v>1072.23</v>
      </c>
      <c r="AW32" s="9">
        <v>1071.17</v>
      </c>
      <c r="AX32" s="9">
        <v>1084.55</v>
      </c>
      <c r="AY32" s="9">
        <v>1098.5</v>
      </c>
    </row>
    <row r="33" spans="2:51" x14ac:dyDescent="0.35">
      <c r="B33" s="8" t="s">
        <v>42</v>
      </c>
      <c r="C33" s="8">
        <v>1105.48</v>
      </c>
      <c r="D33" s="8">
        <v>1097.3599999999999</v>
      </c>
      <c r="E33" s="9">
        <v>1115.46</v>
      </c>
      <c r="F33" s="9">
        <v>1133.79</v>
      </c>
      <c r="G33" s="9">
        <v>1155.55</v>
      </c>
      <c r="H33" s="9">
        <v>1171.81</v>
      </c>
      <c r="I33" s="9">
        <v>1171.29</v>
      </c>
      <c r="J33" s="9">
        <v>1151.25</v>
      </c>
      <c r="K33" s="9" t="s">
        <v>42</v>
      </c>
      <c r="L33" s="9">
        <v>1147.0999999999999</v>
      </c>
      <c r="M33" s="9">
        <v>1148.42</v>
      </c>
      <c r="N33" s="9">
        <v>1144.52</v>
      </c>
      <c r="O33" s="9">
        <v>1136.94</v>
      </c>
      <c r="P33" s="9">
        <v>1126.3</v>
      </c>
      <c r="Q33" s="9">
        <v>1118.95</v>
      </c>
      <c r="R33" s="9">
        <v>1111.95</v>
      </c>
      <c r="S33" s="9">
        <v>1102.53</v>
      </c>
      <c r="T33" s="9">
        <v>1093.47</v>
      </c>
      <c r="U33" s="9">
        <v>1076.28</v>
      </c>
      <c r="V33" s="9">
        <v>1062.08</v>
      </c>
      <c r="W33" s="9">
        <v>1038.76</v>
      </c>
      <c r="X33" s="9">
        <v>1021.94</v>
      </c>
      <c r="Y33" s="9">
        <v>996.56</v>
      </c>
      <c r="Z33" s="9">
        <v>963.28</v>
      </c>
      <c r="AA33" s="9" t="s">
        <v>42</v>
      </c>
      <c r="AB33" s="9">
        <v>906.64</v>
      </c>
      <c r="AC33" s="9">
        <v>884.58</v>
      </c>
      <c r="AD33" s="9">
        <v>909.36</v>
      </c>
      <c r="AE33" s="9">
        <v>931.16</v>
      </c>
      <c r="AF33" s="9">
        <v>949.1</v>
      </c>
      <c r="AG33" s="9">
        <v>960.52</v>
      </c>
      <c r="AH33" s="9" t="s">
        <v>42</v>
      </c>
      <c r="AI33" s="9">
        <v>1013.46</v>
      </c>
      <c r="AJ33" s="9">
        <v>1037.8</v>
      </c>
      <c r="AK33" s="9" t="s">
        <v>42</v>
      </c>
      <c r="AL33" s="9">
        <v>1077.54</v>
      </c>
      <c r="AM33" s="9">
        <v>1094.53</v>
      </c>
      <c r="AN33" s="9">
        <v>1087.8699999999999</v>
      </c>
      <c r="AO33" s="9">
        <v>1071.3499999999999</v>
      </c>
      <c r="AP33" s="9">
        <v>1051.97</v>
      </c>
      <c r="AQ33" s="9">
        <v>1037.27</v>
      </c>
      <c r="AR33" s="9">
        <v>1033.58</v>
      </c>
      <c r="AS33" s="9">
        <v>1043.3</v>
      </c>
      <c r="AT33" s="9">
        <v>1050.92</v>
      </c>
      <c r="AU33" s="9">
        <v>1050.2</v>
      </c>
      <c r="AV33" s="9">
        <v>1047.79</v>
      </c>
      <c r="AW33" s="9">
        <v>1063.73</v>
      </c>
      <c r="AX33" s="9">
        <v>1072.29</v>
      </c>
      <c r="AY33" s="9">
        <v>1085.04</v>
      </c>
    </row>
    <row r="34" spans="2:51" x14ac:dyDescent="0.35">
      <c r="B34" s="8">
        <v>1119.98</v>
      </c>
      <c r="C34" s="8">
        <v>1097.26</v>
      </c>
      <c r="D34" s="8">
        <v>1092.3599999999999</v>
      </c>
      <c r="E34" s="9">
        <v>1110.3</v>
      </c>
      <c r="F34" s="9">
        <v>1127.47</v>
      </c>
      <c r="G34" s="9">
        <v>1149.1500000000001</v>
      </c>
      <c r="H34" s="9">
        <v>1164.5899999999999</v>
      </c>
      <c r="I34" s="9">
        <v>1156.33</v>
      </c>
      <c r="J34" s="9">
        <v>1134.05</v>
      </c>
      <c r="K34" s="9">
        <v>1128.67</v>
      </c>
      <c r="L34" s="9">
        <v>1130.7</v>
      </c>
      <c r="M34" s="9">
        <v>1135.96</v>
      </c>
      <c r="N34" s="9">
        <v>1132.4000000000001</v>
      </c>
      <c r="O34" s="9">
        <v>1126.3599999999999</v>
      </c>
      <c r="P34" s="9">
        <v>1116.78</v>
      </c>
      <c r="Q34" s="9">
        <v>1110.3900000000001</v>
      </c>
      <c r="R34" s="9">
        <v>1104.1099999999999</v>
      </c>
      <c r="S34" s="9">
        <v>1097.4100000000001</v>
      </c>
      <c r="T34" s="9">
        <v>1086.29</v>
      </c>
      <c r="U34" s="9">
        <v>1067.6199999999999</v>
      </c>
      <c r="V34" s="9">
        <v>1053.7</v>
      </c>
      <c r="W34" s="9">
        <v>1033.5</v>
      </c>
      <c r="X34" s="9">
        <v>1016.28</v>
      </c>
      <c r="Y34" s="9">
        <v>992.16</v>
      </c>
      <c r="Z34" s="9">
        <v>959.24</v>
      </c>
      <c r="AA34" s="9">
        <v>937.96</v>
      </c>
      <c r="AB34" s="9">
        <v>904.7</v>
      </c>
      <c r="AC34" s="9">
        <v>877.76</v>
      </c>
      <c r="AD34" s="9">
        <v>897.76</v>
      </c>
      <c r="AE34" s="9">
        <v>916.52</v>
      </c>
      <c r="AF34" s="9">
        <v>927.92</v>
      </c>
      <c r="AG34" s="9">
        <v>950.14</v>
      </c>
      <c r="AH34" s="9">
        <v>980.4</v>
      </c>
      <c r="AI34" s="9">
        <v>1007.68</v>
      </c>
      <c r="AJ34" s="9">
        <v>1027.8399999999999</v>
      </c>
      <c r="AK34" s="9">
        <v>1052.28</v>
      </c>
      <c r="AL34" s="9">
        <v>1071.42</v>
      </c>
      <c r="AM34" s="9">
        <v>1077.6500000000001</v>
      </c>
      <c r="AN34" s="9">
        <v>1065.6300000000001</v>
      </c>
      <c r="AO34" s="9">
        <v>1053.73</v>
      </c>
      <c r="AP34" s="9">
        <v>1039.3699999999999</v>
      </c>
      <c r="AQ34" s="9">
        <v>1023.19</v>
      </c>
      <c r="AR34" s="9">
        <v>1014.72</v>
      </c>
      <c r="AS34" s="9">
        <v>1022</v>
      </c>
      <c r="AT34" s="9">
        <v>1028.1199999999999</v>
      </c>
      <c r="AU34" s="9">
        <v>1026.96</v>
      </c>
      <c r="AV34" s="9">
        <v>1035.3699999999999</v>
      </c>
      <c r="AW34" s="9">
        <v>1051.75</v>
      </c>
      <c r="AX34" s="9">
        <v>1066.0899999999999</v>
      </c>
      <c r="AY34" s="9">
        <v>1084.42</v>
      </c>
    </row>
    <row r="35" spans="2:51" x14ac:dyDescent="0.35">
      <c r="B35" s="8">
        <v>1115.5</v>
      </c>
      <c r="C35" s="8">
        <v>1091.1199999999999</v>
      </c>
      <c r="D35" s="8">
        <v>1084.18</v>
      </c>
      <c r="E35" s="9">
        <v>1105.26</v>
      </c>
      <c r="F35" s="9">
        <v>1121.1300000000001</v>
      </c>
      <c r="G35" s="9">
        <v>1142.6500000000001</v>
      </c>
      <c r="H35" s="9">
        <v>1153.57</v>
      </c>
      <c r="I35" s="9">
        <v>1143.49</v>
      </c>
      <c r="J35" s="9">
        <v>1123.3699999999999</v>
      </c>
      <c r="K35" s="9">
        <v>1109.07</v>
      </c>
      <c r="L35" s="9">
        <v>1114.08</v>
      </c>
      <c r="M35" s="9">
        <v>1123.7</v>
      </c>
      <c r="N35" s="9">
        <v>1121.6199999999999</v>
      </c>
      <c r="O35" s="9" t="s">
        <v>42</v>
      </c>
      <c r="P35" s="9">
        <v>1101.74</v>
      </c>
      <c r="Q35" s="9">
        <v>1090.27</v>
      </c>
      <c r="R35" s="9">
        <v>1084.81</v>
      </c>
      <c r="S35" s="9">
        <v>1079.8499999999999</v>
      </c>
      <c r="T35" s="9">
        <v>1073.1500000000001</v>
      </c>
      <c r="U35" s="9">
        <v>1053.48</v>
      </c>
      <c r="V35" s="9">
        <v>1037.24</v>
      </c>
      <c r="W35" s="9">
        <v>1014.38</v>
      </c>
      <c r="X35" s="9">
        <v>1003.22</v>
      </c>
      <c r="Y35" s="9">
        <v>981.36</v>
      </c>
      <c r="Z35" s="9">
        <v>949.54</v>
      </c>
      <c r="AA35" s="9">
        <v>934.58</v>
      </c>
      <c r="AB35" s="9">
        <v>899.48</v>
      </c>
      <c r="AC35" s="9">
        <v>869.38</v>
      </c>
      <c r="AD35" s="9">
        <v>875.66</v>
      </c>
      <c r="AE35" s="9">
        <v>892.8</v>
      </c>
      <c r="AF35" s="9">
        <v>923.28</v>
      </c>
      <c r="AG35" s="9">
        <v>944.68</v>
      </c>
      <c r="AH35" s="9">
        <v>973.1</v>
      </c>
      <c r="AI35" s="9">
        <v>997.62</v>
      </c>
      <c r="AJ35" s="9">
        <v>1015.9</v>
      </c>
      <c r="AK35" s="9">
        <v>1044.44</v>
      </c>
      <c r="AL35" s="9" t="s">
        <v>42</v>
      </c>
      <c r="AM35" s="9">
        <v>1057.01</v>
      </c>
      <c r="AN35" s="9">
        <v>1043.03</v>
      </c>
      <c r="AO35" s="9">
        <v>1031.27</v>
      </c>
      <c r="AP35" s="9">
        <v>1024.23</v>
      </c>
      <c r="AQ35" s="9">
        <v>1008.47</v>
      </c>
      <c r="AR35" s="9">
        <v>994.32</v>
      </c>
      <c r="AS35" s="9">
        <v>1001.38</v>
      </c>
      <c r="AT35" s="9">
        <v>1006.48</v>
      </c>
      <c r="AU35" s="9">
        <v>1020.46</v>
      </c>
      <c r="AV35" s="9">
        <v>1040.3900000000001</v>
      </c>
      <c r="AW35" s="9">
        <v>1058.67</v>
      </c>
      <c r="AX35" s="9">
        <v>1072.29</v>
      </c>
      <c r="AY35" s="9">
        <v>1084.98</v>
      </c>
    </row>
    <row r="36" spans="2:51" x14ac:dyDescent="0.35">
      <c r="B36" s="8">
        <v>1109.29</v>
      </c>
      <c r="C36" s="8">
        <v>1085.26</v>
      </c>
      <c r="D36" s="8">
        <v>1074.76</v>
      </c>
      <c r="E36" s="9">
        <v>1096.8599999999999</v>
      </c>
      <c r="F36" s="9">
        <v>1111.47</v>
      </c>
      <c r="G36" s="9">
        <v>1132.31</v>
      </c>
      <c r="H36" s="9">
        <v>1137.8699999999999</v>
      </c>
      <c r="I36" s="9">
        <v>1127.23</v>
      </c>
      <c r="J36" s="9">
        <v>1109.51</v>
      </c>
      <c r="K36" s="9">
        <v>1095.23</v>
      </c>
      <c r="L36" s="9">
        <v>1104.3800000000001</v>
      </c>
      <c r="M36" s="9">
        <v>1109.82</v>
      </c>
      <c r="N36" s="9">
        <v>1107.96</v>
      </c>
      <c r="O36" s="9">
        <v>1099.51</v>
      </c>
      <c r="P36" s="9">
        <v>1082.23</v>
      </c>
      <c r="Q36" s="9">
        <v>1075.3900000000001</v>
      </c>
      <c r="R36" s="9">
        <v>1067.3900000000001</v>
      </c>
      <c r="S36" s="9">
        <v>1061.8</v>
      </c>
      <c r="T36" s="9">
        <v>1054.1199999999999</v>
      </c>
      <c r="U36" s="9">
        <v>1037.3499999999999</v>
      </c>
      <c r="V36" s="9">
        <v>1022.99</v>
      </c>
      <c r="W36" s="9">
        <v>998.21</v>
      </c>
      <c r="X36" s="9">
        <v>984.81</v>
      </c>
      <c r="Y36" s="9">
        <v>963.35</v>
      </c>
      <c r="Z36" s="9">
        <v>939.18</v>
      </c>
      <c r="AA36" s="9" t="s">
        <v>42</v>
      </c>
      <c r="AB36" s="9">
        <v>897.45</v>
      </c>
      <c r="AC36" s="9">
        <v>874.83</v>
      </c>
      <c r="AD36" s="9">
        <v>869.69</v>
      </c>
      <c r="AE36" s="9">
        <v>890.15</v>
      </c>
      <c r="AF36" s="9">
        <v>916.65</v>
      </c>
      <c r="AG36" s="9">
        <v>933.28</v>
      </c>
      <c r="AH36" s="9">
        <v>960.68</v>
      </c>
      <c r="AI36" s="9" t="s">
        <v>42</v>
      </c>
      <c r="AJ36" s="9">
        <v>1008.3</v>
      </c>
      <c r="AK36" s="9">
        <v>1036.8399999999999</v>
      </c>
      <c r="AL36" s="9">
        <v>1052.8399999999999</v>
      </c>
      <c r="AM36" s="9">
        <v>1042.2</v>
      </c>
      <c r="AN36" s="9">
        <v>1025.1199999999999</v>
      </c>
      <c r="AO36" s="9">
        <v>999.76</v>
      </c>
      <c r="AP36" s="9" t="s">
        <v>42</v>
      </c>
      <c r="AQ36" s="9">
        <v>994.71</v>
      </c>
      <c r="AR36" s="9">
        <v>976.13</v>
      </c>
      <c r="AS36" s="9">
        <v>985.49</v>
      </c>
      <c r="AT36" s="9">
        <v>1000.92</v>
      </c>
      <c r="AU36" s="9">
        <v>1023.34</v>
      </c>
      <c r="AV36" s="9">
        <v>1046.56</v>
      </c>
      <c r="AW36" s="9">
        <v>1066.8399999999999</v>
      </c>
      <c r="AX36" s="9">
        <v>1077.08</v>
      </c>
      <c r="AY36" s="9">
        <v>1075.93</v>
      </c>
    </row>
    <row r="37" spans="2:51" x14ac:dyDescent="0.35">
      <c r="B37" s="8">
        <v>1100.19</v>
      </c>
      <c r="C37" s="8">
        <v>1079.3399999999999</v>
      </c>
      <c r="D37" s="8">
        <v>1070.52</v>
      </c>
      <c r="E37" s="9">
        <v>1087.18</v>
      </c>
      <c r="F37" s="9" t="s">
        <v>42</v>
      </c>
      <c r="G37" s="9" t="s">
        <v>42</v>
      </c>
      <c r="H37" s="9">
        <v>1119.57</v>
      </c>
      <c r="I37" s="9">
        <v>1109.9100000000001</v>
      </c>
      <c r="J37" s="9">
        <v>1094.25</v>
      </c>
      <c r="K37" s="9">
        <v>1080.6500000000001</v>
      </c>
      <c r="L37" s="9">
        <v>1089.26</v>
      </c>
      <c r="M37" s="9">
        <v>1093.42</v>
      </c>
      <c r="N37" s="9">
        <v>1088.1600000000001</v>
      </c>
      <c r="O37" s="9">
        <v>1077.71</v>
      </c>
      <c r="P37" s="9">
        <v>1060.93</v>
      </c>
      <c r="Q37" s="9">
        <v>1055.69</v>
      </c>
      <c r="R37" s="9">
        <v>1045.81</v>
      </c>
      <c r="S37" s="9">
        <v>1047</v>
      </c>
      <c r="T37" s="9">
        <v>1042.6199999999999</v>
      </c>
      <c r="U37" s="9">
        <v>1022.41</v>
      </c>
      <c r="V37" s="9">
        <v>1003.99</v>
      </c>
      <c r="W37" s="9">
        <v>975.63</v>
      </c>
      <c r="X37" s="9">
        <v>962.21</v>
      </c>
      <c r="Y37" s="9">
        <v>949.63</v>
      </c>
      <c r="Z37" s="9">
        <v>927.16</v>
      </c>
      <c r="AA37" s="9">
        <v>908.56</v>
      </c>
      <c r="AB37" s="9">
        <v>881.63</v>
      </c>
      <c r="AC37" s="9">
        <v>860.93</v>
      </c>
      <c r="AD37" s="9">
        <v>878.27</v>
      </c>
      <c r="AE37" s="9">
        <v>891.23</v>
      </c>
      <c r="AF37" s="9">
        <v>911.03</v>
      </c>
      <c r="AG37" s="9">
        <v>930.7</v>
      </c>
      <c r="AH37" s="9">
        <v>958.58</v>
      </c>
      <c r="AI37" s="9">
        <v>982.32</v>
      </c>
      <c r="AJ37" s="9">
        <v>1001.28</v>
      </c>
      <c r="AK37" s="9">
        <v>1030.96</v>
      </c>
      <c r="AL37" s="9">
        <v>1041.1400000000001</v>
      </c>
      <c r="AM37" s="9">
        <v>1025</v>
      </c>
      <c r="AN37" s="9">
        <v>1011.44</v>
      </c>
      <c r="AO37" s="9">
        <v>998.94</v>
      </c>
      <c r="AP37" s="9">
        <v>979.61</v>
      </c>
      <c r="AQ37" s="9">
        <v>977.79</v>
      </c>
      <c r="AR37" s="9">
        <v>966.89</v>
      </c>
      <c r="AS37" s="9">
        <v>973.47</v>
      </c>
      <c r="AT37" s="9" t="s">
        <v>42</v>
      </c>
      <c r="AU37" s="9">
        <v>1019.92</v>
      </c>
      <c r="AV37" s="9">
        <v>1046.76</v>
      </c>
      <c r="AW37" s="9">
        <v>1070.0999999999999</v>
      </c>
      <c r="AX37" s="9">
        <v>1073.24</v>
      </c>
      <c r="AY37" s="9">
        <v>1061.1099999999999</v>
      </c>
    </row>
    <row r="38" spans="2:51" x14ac:dyDescent="0.35">
      <c r="B38" s="8">
        <v>1085.43</v>
      </c>
      <c r="C38" s="8">
        <v>1069.82</v>
      </c>
      <c r="D38" s="8">
        <v>1060.76</v>
      </c>
      <c r="E38" s="9">
        <v>1068.6600000000001</v>
      </c>
      <c r="F38" s="9">
        <v>1081.6099999999999</v>
      </c>
      <c r="G38" s="9">
        <v>1092.21</v>
      </c>
      <c r="H38" s="9">
        <v>1097.81</v>
      </c>
      <c r="I38" s="9">
        <v>1092.8900000000001</v>
      </c>
      <c r="J38" s="9">
        <v>1075.21</v>
      </c>
      <c r="K38" s="9">
        <v>1063.07</v>
      </c>
      <c r="L38" s="9">
        <v>1070.98</v>
      </c>
      <c r="M38" s="9">
        <v>1072.58</v>
      </c>
      <c r="N38" s="9">
        <v>1065.6400000000001</v>
      </c>
      <c r="O38" s="9">
        <v>1051.3699999999999</v>
      </c>
      <c r="P38" s="9" t="s">
        <v>42</v>
      </c>
      <c r="Q38" s="9">
        <v>1031.1300000000001</v>
      </c>
      <c r="R38" s="9">
        <v>1020.77</v>
      </c>
      <c r="S38" s="9">
        <v>1026.7</v>
      </c>
      <c r="T38" s="9">
        <v>1028.9000000000001</v>
      </c>
      <c r="U38" s="9">
        <v>1014.19</v>
      </c>
      <c r="V38" s="9">
        <v>996.93</v>
      </c>
      <c r="W38" s="9">
        <v>970.81</v>
      </c>
      <c r="X38" s="9">
        <v>954.07</v>
      </c>
      <c r="Y38" s="9">
        <v>928.19</v>
      </c>
      <c r="Z38" s="9">
        <v>920.82</v>
      </c>
      <c r="AA38" s="9">
        <v>900.6</v>
      </c>
      <c r="AB38" s="9">
        <v>863.21</v>
      </c>
      <c r="AC38" s="9">
        <v>867.99</v>
      </c>
      <c r="AD38" s="9">
        <v>898.13</v>
      </c>
      <c r="AE38" s="9">
        <v>913.11</v>
      </c>
      <c r="AF38" s="9">
        <v>926.17</v>
      </c>
      <c r="AG38" s="9">
        <v>936.5</v>
      </c>
      <c r="AH38" s="9">
        <v>957.34</v>
      </c>
      <c r="AI38" s="9">
        <v>980.82</v>
      </c>
      <c r="AJ38" s="9">
        <v>999.9</v>
      </c>
      <c r="AK38" s="9">
        <v>1026.82</v>
      </c>
      <c r="AL38" s="9">
        <v>1019.04</v>
      </c>
      <c r="AM38" s="9" t="s">
        <v>42</v>
      </c>
      <c r="AN38" s="9">
        <v>996.3</v>
      </c>
      <c r="AO38" s="9">
        <v>984.46</v>
      </c>
      <c r="AP38" s="9">
        <v>968.41</v>
      </c>
      <c r="AQ38" s="9">
        <v>962.81</v>
      </c>
      <c r="AR38" s="9">
        <v>959.15</v>
      </c>
      <c r="AS38" s="9">
        <v>971.01</v>
      </c>
      <c r="AT38" s="9" t="s">
        <v>42</v>
      </c>
      <c r="AU38" s="9">
        <v>1017.74</v>
      </c>
      <c r="AV38" s="9">
        <v>1046.48</v>
      </c>
      <c r="AW38" s="9">
        <v>1062.0999999999999</v>
      </c>
      <c r="AX38" s="9">
        <v>1053.02</v>
      </c>
      <c r="AY38" s="9">
        <v>1039.57</v>
      </c>
    </row>
    <row r="39" spans="2:51" x14ac:dyDescent="0.35">
      <c r="B39" s="8">
        <v>1060.68</v>
      </c>
      <c r="C39" s="8">
        <v>1046.8599999999999</v>
      </c>
      <c r="D39" s="8">
        <v>1053.08</v>
      </c>
      <c r="E39" s="9">
        <v>1045.0999999999999</v>
      </c>
      <c r="F39" s="9">
        <v>1054.6099999999999</v>
      </c>
      <c r="G39" s="9">
        <v>1073.6500000000001</v>
      </c>
      <c r="H39" s="9">
        <v>1078.67</v>
      </c>
      <c r="I39" s="9">
        <v>1070.77</v>
      </c>
      <c r="J39" s="9">
        <v>1047.72</v>
      </c>
      <c r="K39" s="9">
        <v>1051.06</v>
      </c>
      <c r="L39" s="9" t="s">
        <v>42</v>
      </c>
      <c r="M39" s="9">
        <v>1048.27</v>
      </c>
      <c r="N39" s="9">
        <v>1039.69</v>
      </c>
      <c r="O39" s="9">
        <v>1029.45</v>
      </c>
      <c r="P39" s="9">
        <v>1012.95</v>
      </c>
      <c r="Q39" s="9">
        <v>1007.36</v>
      </c>
      <c r="R39" s="9">
        <v>1002.46</v>
      </c>
      <c r="S39" s="9">
        <v>1007.41</v>
      </c>
      <c r="T39" s="9">
        <v>1017.97</v>
      </c>
      <c r="U39" s="9">
        <v>1007.91</v>
      </c>
      <c r="V39" s="9">
        <v>993.51</v>
      </c>
      <c r="W39" s="9">
        <v>968.01</v>
      </c>
      <c r="X39" s="9">
        <v>952.45</v>
      </c>
      <c r="Y39" s="9">
        <v>923.71</v>
      </c>
      <c r="Z39" s="9">
        <v>902.42</v>
      </c>
      <c r="AA39" s="9">
        <v>889.16</v>
      </c>
      <c r="AB39" s="9">
        <v>853.56</v>
      </c>
      <c r="AC39" s="9">
        <v>870.36</v>
      </c>
      <c r="AD39" s="9">
        <v>900.39</v>
      </c>
      <c r="AE39" s="9">
        <v>919.15</v>
      </c>
      <c r="AF39" s="9">
        <v>937.31</v>
      </c>
      <c r="AG39" s="9">
        <v>951.23</v>
      </c>
      <c r="AH39" s="9">
        <v>967.69</v>
      </c>
      <c r="AI39" s="9">
        <v>984.81</v>
      </c>
      <c r="AJ39" s="9">
        <v>1001.63</v>
      </c>
      <c r="AK39" s="9">
        <v>1015.92</v>
      </c>
      <c r="AL39" s="9">
        <v>1002.06</v>
      </c>
      <c r="AM39" s="9">
        <v>981.73</v>
      </c>
      <c r="AN39" s="9">
        <v>976.87</v>
      </c>
      <c r="AO39" s="9">
        <v>970.15</v>
      </c>
      <c r="AP39" s="9">
        <v>956.78</v>
      </c>
      <c r="AQ39" s="9">
        <v>945.7</v>
      </c>
      <c r="AR39" s="9">
        <v>950.39</v>
      </c>
      <c r="AS39" s="9">
        <v>969.51</v>
      </c>
      <c r="AT39" s="9">
        <v>994.74</v>
      </c>
      <c r="AU39" s="9">
        <v>1015.6</v>
      </c>
      <c r="AV39" s="9">
        <v>1044.93</v>
      </c>
      <c r="AW39" s="9">
        <v>1046.6500000000001</v>
      </c>
      <c r="AX39" s="9">
        <v>1035.29</v>
      </c>
      <c r="AY39" s="9">
        <v>1022.68</v>
      </c>
    </row>
    <row r="40" spans="2:51" x14ac:dyDescent="0.35">
      <c r="B40" s="8">
        <v>1078.18</v>
      </c>
      <c r="C40" s="8">
        <v>1051.5</v>
      </c>
      <c r="D40" s="8">
        <v>1040.78</v>
      </c>
      <c r="E40" s="9" t="s">
        <v>42</v>
      </c>
      <c r="F40" s="9">
        <v>1039.67</v>
      </c>
      <c r="G40" s="9">
        <v>1060.6300000000001</v>
      </c>
      <c r="H40" s="9">
        <v>1061.1500000000001</v>
      </c>
      <c r="I40" s="9">
        <v>1044.29</v>
      </c>
      <c r="J40" s="9">
        <v>1029.18</v>
      </c>
      <c r="K40" s="9">
        <v>1041.56</v>
      </c>
      <c r="L40" s="9">
        <v>1035.99</v>
      </c>
      <c r="M40" s="9">
        <v>1031.29</v>
      </c>
      <c r="N40" s="9">
        <v>1018.99</v>
      </c>
      <c r="O40" s="9">
        <v>1009.03</v>
      </c>
      <c r="P40" s="9">
        <v>998.39</v>
      </c>
      <c r="Q40" s="9">
        <v>987.72</v>
      </c>
      <c r="R40" s="9">
        <v>984.06</v>
      </c>
      <c r="S40" s="9">
        <v>996.31</v>
      </c>
      <c r="T40" s="9">
        <v>1005.85</v>
      </c>
      <c r="U40" s="9">
        <v>998.81</v>
      </c>
      <c r="V40" s="9">
        <v>985.43</v>
      </c>
      <c r="W40" s="9">
        <v>964.13</v>
      </c>
      <c r="X40" s="9">
        <v>947.09</v>
      </c>
      <c r="Y40" s="9">
        <v>920.03</v>
      </c>
      <c r="Z40" s="9" t="s">
        <v>42</v>
      </c>
      <c r="AA40" s="9">
        <v>866.24</v>
      </c>
      <c r="AB40" s="9">
        <v>852.28</v>
      </c>
      <c r="AC40" s="9">
        <v>869.76</v>
      </c>
      <c r="AD40" s="9">
        <v>897.47</v>
      </c>
      <c r="AE40" s="9">
        <v>919.51</v>
      </c>
      <c r="AF40" s="9">
        <v>940.01</v>
      </c>
      <c r="AG40" s="9">
        <v>954.55</v>
      </c>
      <c r="AH40" s="9">
        <v>974.07</v>
      </c>
      <c r="AI40" s="9">
        <v>992.29</v>
      </c>
      <c r="AJ40" s="9">
        <v>1004.57</v>
      </c>
      <c r="AK40" s="9">
        <v>1000.62</v>
      </c>
      <c r="AL40" s="9">
        <v>987.08</v>
      </c>
      <c r="AM40" s="9">
        <v>967.95</v>
      </c>
      <c r="AN40" s="9">
        <v>957.07</v>
      </c>
      <c r="AO40" s="9">
        <v>951.65</v>
      </c>
      <c r="AP40" s="9">
        <v>941.48</v>
      </c>
      <c r="AQ40" s="9">
        <v>930.26</v>
      </c>
      <c r="AR40" s="9">
        <v>949.81</v>
      </c>
      <c r="AS40" s="9">
        <v>967.83</v>
      </c>
      <c r="AT40" s="9">
        <v>992.3</v>
      </c>
      <c r="AU40" s="9">
        <v>1014.38</v>
      </c>
      <c r="AV40" s="9">
        <v>1033.93</v>
      </c>
      <c r="AW40" s="9">
        <v>1024.73</v>
      </c>
      <c r="AX40" s="9">
        <v>1016.55</v>
      </c>
      <c r="AY40" s="9">
        <v>1005.04</v>
      </c>
    </row>
    <row r="41" spans="2:51" x14ac:dyDescent="0.35">
      <c r="B41" s="8">
        <v>1100.78</v>
      </c>
      <c r="C41" s="8">
        <v>1065.99</v>
      </c>
      <c r="D41" s="8">
        <v>1040.1300000000001</v>
      </c>
      <c r="E41" s="9">
        <v>1025.9100000000001</v>
      </c>
      <c r="F41" s="9">
        <v>1029.03</v>
      </c>
      <c r="G41" s="9">
        <v>1043.1099999999999</v>
      </c>
      <c r="H41" s="9">
        <v>1041.76</v>
      </c>
      <c r="I41" s="9">
        <v>1021.78</v>
      </c>
      <c r="J41" s="9" t="s">
        <v>42</v>
      </c>
      <c r="K41" s="9">
        <v>1020.01</v>
      </c>
      <c r="L41" s="9">
        <v>1013.78</v>
      </c>
      <c r="M41" s="9">
        <v>1008.58</v>
      </c>
      <c r="N41" s="9">
        <v>996.76</v>
      </c>
      <c r="O41" s="9">
        <v>985.41</v>
      </c>
      <c r="P41" s="9">
        <v>979.35</v>
      </c>
      <c r="Q41" s="9">
        <v>971.26</v>
      </c>
      <c r="R41" s="9">
        <v>964.1</v>
      </c>
      <c r="S41" s="9">
        <v>982.54</v>
      </c>
      <c r="T41" s="9">
        <v>987.04</v>
      </c>
      <c r="U41" s="9" t="s">
        <v>42</v>
      </c>
      <c r="V41" s="9">
        <v>976.09</v>
      </c>
      <c r="W41" s="9">
        <v>953.87</v>
      </c>
      <c r="X41" s="9">
        <v>932.44</v>
      </c>
      <c r="Y41" s="9">
        <v>906.46</v>
      </c>
      <c r="Z41" s="9">
        <v>870.29</v>
      </c>
      <c r="AA41" s="9">
        <v>849.09</v>
      </c>
      <c r="AB41" s="9">
        <v>861.82</v>
      </c>
      <c r="AC41" s="9">
        <v>877.3</v>
      </c>
      <c r="AD41" s="9">
        <v>899.49</v>
      </c>
      <c r="AE41" s="9">
        <v>912.29</v>
      </c>
      <c r="AF41" s="9">
        <v>932.31</v>
      </c>
      <c r="AG41" s="9">
        <v>944.2</v>
      </c>
      <c r="AH41" s="9">
        <v>966.6</v>
      </c>
      <c r="AI41" s="9">
        <v>986.28</v>
      </c>
      <c r="AJ41" s="9">
        <v>999.2</v>
      </c>
      <c r="AK41" s="9">
        <v>998.24</v>
      </c>
      <c r="AL41" s="9">
        <v>981.32</v>
      </c>
      <c r="AM41" s="9">
        <v>960.72</v>
      </c>
      <c r="AN41" s="9">
        <v>947.48</v>
      </c>
      <c r="AO41" s="9">
        <v>934.34</v>
      </c>
      <c r="AP41" s="9">
        <v>925.95</v>
      </c>
      <c r="AQ41" s="9">
        <v>926.21</v>
      </c>
      <c r="AR41" s="9">
        <v>949.31</v>
      </c>
      <c r="AS41" s="9">
        <v>966.11</v>
      </c>
      <c r="AT41" s="9">
        <v>991.17</v>
      </c>
      <c r="AU41" s="9">
        <v>1011.19</v>
      </c>
      <c r="AV41" s="9">
        <v>1016.86</v>
      </c>
      <c r="AW41" s="9">
        <v>1006.8</v>
      </c>
      <c r="AX41" s="9">
        <v>997.04</v>
      </c>
      <c r="AY41" s="9">
        <v>989.1</v>
      </c>
    </row>
    <row r="42" spans="2:51" x14ac:dyDescent="0.35">
      <c r="B42" s="8">
        <v>1109.48</v>
      </c>
      <c r="C42" s="8">
        <v>1075.45</v>
      </c>
      <c r="D42" s="8">
        <v>1046.99</v>
      </c>
      <c r="E42" s="9">
        <v>1025.83</v>
      </c>
      <c r="F42" s="9">
        <v>1022.57</v>
      </c>
      <c r="G42" s="9">
        <v>1031.6500000000001</v>
      </c>
      <c r="H42" s="9" t="s">
        <v>42</v>
      </c>
      <c r="I42" s="9">
        <v>1008.46</v>
      </c>
      <c r="J42" s="9">
        <v>1004.21</v>
      </c>
      <c r="K42" s="9">
        <v>1004.59</v>
      </c>
      <c r="L42" s="9">
        <v>999.52</v>
      </c>
      <c r="M42" s="9">
        <v>994.2</v>
      </c>
      <c r="N42" s="9">
        <v>983.68</v>
      </c>
      <c r="O42" s="9">
        <v>972.19</v>
      </c>
      <c r="P42" s="9">
        <v>966.49</v>
      </c>
      <c r="Q42" s="9">
        <v>959.26</v>
      </c>
      <c r="R42" s="9">
        <v>951.14</v>
      </c>
      <c r="S42" s="9">
        <v>966.94</v>
      </c>
      <c r="T42" s="9">
        <v>970.32</v>
      </c>
      <c r="U42" s="9">
        <v>974.43</v>
      </c>
      <c r="V42" s="9">
        <v>967.49</v>
      </c>
      <c r="W42" s="9">
        <v>942.61</v>
      </c>
      <c r="X42" s="9">
        <v>921.72</v>
      </c>
      <c r="Y42" s="9">
        <v>896.92</v>
      </c>
      <c r="Z42" s="9">
        <v>861.71</v>
      </c>
      <c r="AA42" s="9">
        <v>843.57</v>
      </c>
      <c r="AB42" s="9">
        <v>868.16</v>
      </c>
      <c r="AC42" s="9">
        <v>881.78</v>
      </c>
      <c r="AD42" s="9">
        <v>896.77</v>
      </c>
      <c r="AE42" s="9">
        <v>904.75</v>
      </c>
      <c r="AF42" s="9" t="s">
        <v>42</v>
      </c>
      <c r="AG42" s="9">
        <v>930.04</v>
      </c>
      <c r="AH42" s="9">
        <v>952.74</v>
      </c>
      <c r="AI42" s="9" t="s">
        <v>42</v>
      </c>
      <c r="AJ42" s="9">
        <v>993.48</v>
      </c>
      <c r="AK42" s="9">
        <v>998.8</v>
      </c>
      <c r="AL42" s="9">
        <v>983.18</v>
      </c>
      <c r="AM42" s="9">
        <v>962.82</v>
      </c>
      <c r="AN42" s="9">
        <v>948.94</v>
      </c>
      <c r="AO42" s="9">
        <v>929.64</v>
      </c>
      <c r="AP42" s="9">
        <v>913.55</v>
      </c>
      <c r="AQ42" s="9">
        <v>926.07</v>
      </c>
      <c r="AR42" s="9">
        <v>948.37</v>
      </c>
      <c r="AS42" s="9">
        <v>964.87</v>
      </c>
      <c r="AT42" s="9">
        <v>990.41</v>
      </c>
      <c r="AU42" s="9">
        <v>1007.61</v>
      </c>
      <c r="AV42" s="9">
        <v>1006.7</v>
      </c>
      <c r="AW42" s="9">
        <v>995.36</v>
      </c>
      <c r="AX42" s="9">
        <v>980.42</v>
      </c>
      <c r="AY42" s="9">
        <v>987.48</v>
      </c>
    </row>
    <row r="43" spans="2:51" x14ac:dyDescent="0.35">
      <c r="B43" s="8">
        <v>1114.54</v>
      </c>
      <c r="C43" s="8">
        <v>1083.69</v>
      </c>
      <c r="D43" s="8">
        <v>1059.95</v>
      </c>
      <c r="E43" s="9">
        <v>1042.45</v>
      </c>
      <c r="F43" s="9">
        <v>1024.01</v>
      </c>
      <c r="G43" s="9">
        <v>1012.17</v>
      </c>
      <c r="H43" s="9">
        <v>1010.68</v>
      </c>
      <c r="I43" s="9">
        <v>995.42</v>
      </c>
      <c r="J43" s="9">
        <v>983.83</v>
      </c>
      <c r="K43" s="9">
        <v>981.53</v>
      </c>
      <c r="L43" s="9">
        <v>975.7</v>
      </c>
      <c r="M43" s="9">
        <v>972.42</v>
      </c>
      <c r="N43" s="9">
        <v>965.94</v>
      </c>
      <c r="O43" s="9">
        <v>956.65</v>
      </c>
      <c r="P43" s="9">
        <v>944.13</v>
      </c>
      <c r="Q43" s="9">
        <v>935.82</v>
      </c>
      <c r="R43" s="9">
        <v>931.64</v>
      </c>
      <c r="S43" s="9">
        <v>940.42</v>
      </c>
      <c r="T43" s="9">
        <v>951.08</v>
      </c>
      <c r="U43" s="9">
        <v>958.45</v>
      </c>
      <c r="V43" s="9">
        <v>954.91</v>
      </c>
      <c r="W43" s="9">
        <v>928.89</v>
      </c>
      <c r="X43" s="9">
        <v>906.66</v>
      </c>
      <c r="Y43" s="9">
        <v>879.48</v>
      </c>
      <c r="Z43" s="9">
        <v>846.89</v>
      </c>
      <c r="AA43" s="9">
        <v>841.15</v>
      </c>
      <c r="AB43" s="9">
        <v>864.6</v>
      </c>
      <c r="AC43" s="9">
        <v>872.66</v>
      </c>
      <c r="AD43" s="9">
        <v>871.09</v>
      </c>
      <c r="AE43" s="9">
        <v>871.41</v>
      </c>
      <c r="AF43" s="9">
        <v>889.69</v>
      </c>
      <c r="AG43" s="9">
        <v>912.38</v>
      </c>
      <c r="AH43" s="9">
        <v>937.14</v>
      </c>
      <c r="AI43" s="9">
        <v>968.48</v>
      </c>
      <c r="AJ43" s="9">
        <v>984.84</v>
      </c>
      <c r="AK43" s="9">
        <v>993.74</v>
      </c>
      <c r="AL43" s="9">
        <v>981.08</v>
      </c>
      <c r="AM43" s="9">
        <v>963.7</v>
      </c>
      <c r="AN43" s="9">
        <v>947.62</v>
      </c>
      <c r="AO43" s="9">
        <v>924.92</v>
      </c>
      <c r="AP43" s="9">
        <v>909.91</v>
      </c>
      <c r="AQ43" s="9">
        <v>924.83</v>
      </c>
      <c r="AR43" s="9">
        <v>946.93</v>
      </c>
      <c r="AS43" s="9">
        <v>962.83</v>
      </c>
      <c r="AT43" s="9">
        <v>989.07</v>
      </c>
      <c r="AU43" s="9">
        <v>1000.75</v>
      </c>
      <c r="AV43" s="9">
        <v>991.42</v>
      </c>
      <c r="AW43" s="9">
        <v>976.84</v>
      </c>
      <c r="AX43" s="9">
        <v>966.5</v>
      </c>
      <c r="AY43" s="9">
        <v>972.62</v>
      </c>
    </row>
    <row r="44" spans="2:51" x14ac:dyDescent="0.35">
      <c r="B44" s="8">
        <v>1117.43</v>
      </c>
      <c r="C44" s="8">
        <v>1088.1500000000001</v>
      </c>
      <c r="D44" s="8">
        <v>1077.05</v>
      </c>
      <c r="E44" s="9">
        <v>1051.4100000000001</v>
      </c>
      <c r="F44" s="9">
        <v>1031.97</v>
      </c>
      <c r="G44" s="9">
        <v>1010.85</v>
      </c>
      <c r="H44" s="9">
        <v>998.72</v>
      </c>
      <c r="I44" s="9">
        <v>986.52</v>
      </c>
      <c r="J44" s="9">
        <v>965.53</v>
      </c>
      <c r="K44" s="9">
        <v>958.11</v>
      </c>
      <c r="L44" s="9">
        <v>950.99</v>
      </c>
      <c r="M44" s="9">
        <v>956.25</v>
      </c>
      <c r="N44" s="9" t="s">
        <v>42</v>
      </c>
      <c r="O44" s="9">
        <v>938.19</v>
      </c>
      <c r="P44" s="9">
        <v>915.57</v>
      </c>
      <c r="Q44" s="9">
        <v>906.09</v>
      </c>
      <c r="R44" s="9">
        <v>902.69</v>
      </c>
      <c r="S44" s="9">
        <v>911.58</v>
      </c>
      <c r="T44" s="9">
        <v>922.48</v>
      </c>
      <c r="U44" s="9">
        <v>935.71</v>
      </c>
      <c r="V44" s="9">
        <v>936.71</v>
      </c>
      <c r="W44" s="9">
        <v>918.23</v>
      </c>
      <c r="X44" s="9">
        <v>899.5</v>
      </c>
      <c r="Y44" s="9">
        <v>868.82</v>
      </c>
      <c r="Z44" s="9">
        <v>843.47</v>
      </c>
      <c r="AA44" s="9">
        <v>835.59</v>
      </c>
      <c r="AB44" s="9">
        <v>828.78</v>
      </c>
      <c r="AC44" s="9">
        <v>828.76</v>
      </c>
      <c r="AD44" s="9">
        <v>822.97</v>
      </c>
      <c r="AE44" s="9">
        <v>834.77</v>
      </c>
      <c r="AF44" s="9">
        <v>877.27</v>
      </c>
      <c r="AG44" s="9">
        <v>901.76</v>
      </c>
      <c r="AH44" s="9">
        <v>929.72</v>
      </c>
      <c r="AI44" s="9">
        <v>960.92</v>
      </c>
      <c r="AJ44" s="9">
        <v>977.28</v>
      </c>
      <c r="AK44" s="9">
        <v>982.37</v>
      </c>
      <c r="AL44" s="9">
        <v>971.43</v>
      </c>
      <c r="AM44" s="9">
        <v>954.89</v>
      </c>
      <c r="AN44" s="9">
        <v>939.63</v>
      </c>
      <c r="AO44" s="9">
        <v>915.75</v>
      </c>
      <c r="AP44" s="9">
        <v>900.47</v>
      </c>
      <c r="AQ44" s="9">
        <v>920.83</v>
      </c>
      <c r="AR44" s="9">
        <v>945.02</v>
      </c>
      <c r="AS44" s="9">
        <v>961.5</v>
      </c>
      <c r="AT44" s="9">
        <v>987.12</v>
      </c>
      <c r="AU44" s="9">
        <v>988.8</v>
      </c>
      <c r="AV44" s="9">
        <v>977.94</v>
      </c>
      <c r="AW44" s="9">
        <v>965.9</v>
      </c>
      <c r="AX44" s="9">
        <v>957.42</v>
      </c>
      <c r="AY44" s="9">
        <v>965.53</v>
      </c>
    </row>
    <row r="45" spans="2:51" x14ac:dyDescent="0.35">
      <c r="B45" s="8">
        <v>1127.29</v>
      </c>
      <c r="C45" s="8">
        <v>1103.27</v>
      </c>
      <c r="D45" s="8">
        <v>1085.1099999999999</v>
      </c>
      <c r="E45" s="9">
        <v>1068.47</v>
      </c>
      <c r="F45" s="9">
        <v>1051.3900000000001</v>
      </c>
      <c r="G45" s="9">
        <v>1030.25</v>
      </c>
      <c r="H45" s="9">
        <v>1011.18</v>
      </c>
      <c r="I45" s="9">
        <v>988.76</v>
      </c>
      <c r="J45" s="9">
        <v>963.77</v>
      </c>
      <c r="K45" s="9">
        <v>965.25</v>
      </c>
      <c r="L45" s="9">
        <v>954.17</v>
      </c>
      <c r="M45" s="9" t="s">
        <v>42</v>
      </c>
      <c r="N45" s="9">
        <v>931.03</v>
      </c>
      <c r="O45" s="9">
        <v>912.63</v>
      </c>
      <c r="P45" s="9">
        <v>901.27</v>
      </c>
      <c r="Q45" s="9">
        <v>907.47</v>
      </c>
      <c r="R45" s="9">
        <v>887.51</v>
      </c>
      <c r="S45" s="9">
        <v>876.92</v>
      </c>
      <c r="T45" s="9">
        <v>888.56</v>
      </c>
      <c r="U45" s="9">
        <v>900.97</v>
      </c>
      <c r="V45" s="9">
        <v>908.13</v>
      </c>
      <c r="W45" s="9">
        <v>909.57</v>
      </c>
      <c r="X45" s="9" t="s">
        <v>42</v>
      </c>
      <c r="Y45" s="9">
        <v>884.36</v>
      </c>
      <c r="Z45" s="9">
        <v>870.25</v>
      </c>
      <c r="AA45" s="9" t="s">
        <v>42</v>
      </c>
      <c r="AB45" s="9">
        <v>855.1</v>
      </c>
      <c r="AC45" s="9">
        <v>847.3</v>
      </c>
      <c r="AD45" s="9">
        <v>824.05</v>
      </c>
      <c r="AE45" s="9">
        <v>826.87</v>
      </c>
      <c r="AF45" s="9">
        <v>867.47</v>
      </c>
      <c r="AG45" s="9">
        <v>891.38</v>
      </c>
      <c r="AH45" s="9">
        <v>924.1</v>
      </c>
      <c r="AI45" s="9">
        <v>952.84</v>
      </c>
      <c r="AJ45" s="9">
        <v>970.18</v>
      </c>
      <c r="AK45" s="9">
        <v>969.15</v>
      </c>
      <c r="AL45" s="9">
        <v>957.87</v>
      </c>
      <c r="AM45" s="9">
        <v>941.37</v>
      </c>
      <c r="AN45" s="9">
        <v>927.21</v>
      </c>
      <c r="AO45" s="9">
        <v>905.29</v>
      </c>
      <c r="AP45" s="9">
        <v>892.23</v>
      </c>
      <c r="AQ45" s="9">
        <v>915.43</v>
      </c>
      <c r="AR45" s="9">
        <v>942.64</v>
      </c>
      <c r="AS45" s="9">
        <v>959.82</v>
      </c>
      <c r="AT45" s="9">
        <v>978.14</v>
      </c>
      <c r="AU45" s="9">
        <v>975.12</v>
      </c>
      <c r="AV45" s="9">
        <v>964.86</v>
      </c>
      <c r="AW45" s="9">
        <v>952</v>
      </c>
      <c r="AX45" s="9">
        <v>948.06</v>
      </c>
      <c r="AY45" s="9" t="s">
        <v>42</v>
      </c>
    </row>
    <row r="46" spans="2:51" x14ac:dyDescent="0.35">
      <c r="B46" s="8">
        <v>1145.72</v>
      </c>
      <c r="C46" s="8">
        <v>1120.8499999999999</v>
      </c>
      <c r="D46" s="8">
        <v>1105.47</v>
      </c>
      <c r="E46" s="9">
        <v>1081.53</v>
      </c>
      <c r="F46" s="9">
        <v>1065.05</v>
      </c>
      <c r="G46" s="9">
        <v>1043.51</v>
      </c>
      <c r="H46" s="9">
        <v>1026.04</v>
      </c>
      <c r="I46" s="9">
        <v>1001.54</v>
      </c>
      <c r="J46" s="9">
        <v>984.69</v>
      </c>
      <c r="K46" s="9">
        <v>995.85</v>
      </c>
      <c r="L46" s="9" t="s">
        <v>42</v>
      </c>
      <c r="M46" s="9">
        <v>952.99</v>
      </c>
      <c r="N46" s="9" t="s">
        <v>42</v>
      </c>
      <c r="O46" s="9">
        <v>910.99</v>
      </c>
      <c r="P46" s="9">
        <v>928.29</v>
      </c>
      <c r="Q46" s="9" t="s">
        <v>42</v>
      </c>
      <c r="R46" s="9">
        <v>901.85</v>
      </c>
      <c r="S46" s="9">
        <v>885.94</v>
      </c>
      <c r="T46" s="9">
        <v>870.68</v>
      </c>
      <c r="U46" s="9">
        <v>868.63</v>
      </c>
      <c r="V46" s="9">
        <v>878.33</v>
      </c>
      <c r="W46" s="9">
        <v>889.93</v>
      </c>
      <c r="X46" s="9">
        <v>895</v>
      </c>
      <c r="Y46" s="9">
        <v>897.28</v>
      </c>
      <c r="Z46" s="9">
        <v>892.01</v>
      </c>
      <c r="AA46" s="9">
        <v>884.25</v>
      </c>
      <c r="AB46" s="9">
        <v>871.48</v>
      </c>
      <c r="AC46" s="9">
        <v>855.78</v>
      </c>
      <c r="AD46" s="9">
        <v>816.55</v>
      </c>
      <c r="AE46" s="9">
        <v>832.93</v>
      </c>
      <c r="AF46" s="9">
        <v>868.67</v>
      </c>
      <c r="AG46" s="9">
        <v>893.12</v>
      </c>
      <c r="AH46" s="9">
        <v>922.68</v>
      </c>
      <c r="AI46" s="9">
        <v>948.78</v>
      </c>
      <c r="AJ46" s="9">
        <v>963.6</v>
      </c>
      <c r="AK46" s="9">
        <v>956.61</v>
      </c>
      <c r="AL46" s="9">
        <v>944.11</v>
      </c>
      <c r="AM46" s="9">
        <v>925.01</v>
      </c>
      <c r="AN46" s="9">
        <v>911.21</v>
      </c>
      <c r="AO46" s="9">
        <v>889.63</v>
      </c>
      <c r="AP46" s="9">
        <v>887.69</v>
      </c>
      <c r="AQ46" s="9">
        <v>907.75</v>
      </c>
      <c r="AR46" s="9">
        <v>937.94</v>
      </c>
      <c r="AS46" s="9">
        <v>954.7</v>
      </c>
      <c r="AT46" s="9">
        <v>963.46</v>
      </c>
      <c r="AU46" s="9">
        <v>958.68</v>
      </c>
      <c r="AV46" s="9">
        <v>946.64</v>
      </c>
      <c r="AW46" s="9">
        <v>935.8</v>
      </c>
      <c r="AX46" s="9">
        <v>944.8</v>
      </c>
      <c r="AY46" s="9">
        <v>967.01</v>
      </c>
    </row>
    <row r="47" spans="2:51" x14ac:dyDescent="0.35">
      <c r="B47" s="8">
        <v>1160.6099999999999</v>
      </c>
      <c r="C47" s="8">
        <v>1135.8800000000001</v>
      </c>
      <c r="D47" s="8">
        <v>1120</v>
      </c>
      <c r="E47" s="9">
        <v>1093.92</v>
      </c>
      <c r="F47" s="9">
        <v>1076.46</v>
      </c>
      <c r="G47" s="9">
        <v>1052.32</v>
      </c>
      <c r="H47" s="9">
        <v>1035.3</v>
      </c>
      <c r="I47" s="9">
        <v>1026.28</v>
      </c>
      <c r="J47" s="9">
        <v>1016.97</v>
      </c>
      <c r="K47" s="9">
        <v>1017.63</v>
      </c>
      <c r="L47" s="9">
        <v>1004.08</v>
      </c>
      <c r="M47" s="9">
        <v>982.46</v>
      </c>
      <c r="N47" s="9" t="s">
        <v>42</v>
      </c>
      <c r="O47" s="9">
        <v>942.73</v>
      </c>
      <c r="P47" s="9">
        <v>950.17</v>
      </c>
      <c r="Q47" s="9">
        <v>948.3</v>
      </c>
      <c r="R47" s="9">
        <v>929.52</v>
      </c>
      <c r="S47" s="9">
        <v>906.21</v>
      </c>
      <c r="T47" s="9">
        <v>897.13</v>
      </c>
      <c r="U47" s="9">
        <v>856.4</v>
      </c>
      <c r="V47" s="9">
        <v>847.04</v>
      </c>
      <c r="W47" s="9">
        <v>855.16</v>
      </c>
      <c r="X47" s="9">
        <v>860.8</v>
      </c>
      <c r="Y47" s="9">
        <v>867.44</v>
      </c>
      <c r="Z47" s="9">
        <v>872.79</v>
      </c>
      <c r="AA47" s="9">
        <v>873.39</v>
      </c>
      <c r="AB47" s="9">
        <v>862.6</v>
      </c>
      <c r="AC47" s="9">
        <v>842.28</v>
      </c>
      <c r="AD47" s="9">
        <v>815.8</v>
      </c>
      <c r="AE47" s="9">
        <v>842.32</v>
      </c>
      <c r="AF47" s="9">
        <v>872.26</v>
      </c>
      <c r="AG47" s="9">
        <v>894.45</v>
      </c>
      <c r="AH47" s="9">
        <v>925.79</v>
      </c>
      <c r="AI47" s="9">
        <v>947.68</v>
      </c>
      <c r="AJ47" s="9">
        <v>957.8</v>
      </c>
      <c r="AK47" s="9">
        <v>943.46</v>
      </c>
      <c r="AL47" s="9">
        <v>928.82</v>
      </c>
      <c r="AM47" s="9">
        <v>906.74</v>
      </c>
      <c r="AN47" s="9">
        <v>888.24</v>
      </c>
      <c r="AO47" s="9">
        <v>866.2</v>
      </c>
      <c r="AP47" s="9">
        <v>882.57</v>
      </c>
      <c r="AQ47" s="9">
        <v>902.31</v>
      </c>
      <c r="AR47" s="9">
        <v>932.7</v>
      </c>
      <c r="AS47" s="9">
        <v>948.62</v>
      </c>
      <c r="AT47" s="9">
        <v>945.98</v>
      </c>
      <c r="AU47" s="9">
        <v>935.58</v>
      </c>
      <c r="AV47" s="9">
        <v>922.03</v>
      </c>
      <c r="AW47" s="9">
        <v>927.29</v>
      </c>
      <c r="AX47" s="9">
        <v>946.39</v>
      </c>
      <c r="AY47" s="9">
        <v>964.81</v>
      </c>
    </row>
    <row r="48" spans="2:51" x14ac:dyDescent="0.35">
      <c r="B48" s="8">
        <v>1176.99</v>
      </c>
      <c r="C48" s="8" t="s">
        <v>42</v>
      </c>
      <c r="D48" s="8">
        <v>1132.98</v>
      </c>
      <c r="E48" s="9">
        <v>1107.0999999999999</v>
      </c>
      <c r="F48" s="9">
        <v>1088.6600000000001</v>
      </c>
      <c r="G48" s="9" t="s">
        <v>42</v>
      </c>
      <c r="H48" s="9">
        <v>1066.8800000000001</v>
      </c>
      <c r="I48" s="9">
        <v>1051.3599999999999</v>
      </c>
      <c r="J48" s="9">
        <v>1049.81</v>
      </c>
      <c r="K48" s="9">
        <v>1031.81</v>
      </c>
      <c r="L48" s="9">
        <v>1015.68</v>
      </c>
      <c r="M48" s="9">
        <v>998.3</v>
      </c>
      <c r="N48" s="9">
        <v>972.52</v>
      </c>
      <c r="O48" s="9">
        <v>976.31</v>
      </c>
      <c r="P48" s="9">
        <v>969.21</v>
      </c>
      <c r="Q48" s="9" t="s">
        <v>42</v>
      </c>
      <c r="R48" s="9">
        <v>949.42</v>
      </c>
      <c r="S48" s="9">
        <v>932.93</v>
      </c>
      <c r="T48" s="9">
        <v>915.11</v>
      </c>
      <c r="U48" s="9">
        <v>873.4</v>
      </c>
      <c r="V48" s="9" t="s">
        <v>42</v>
      </c>
      <c r="W48" s="9">
        <v>840.34</v>
      </c>
      <c r="X48" s="9">
        <v>831.78</v>
      </c>
      <c r="Y48" s="9">
        <v>834.78</v>
      </c>
      <c r="Z48" s="9">
        <v>834.65</v>
      </c>
      <c r="AA48" s="9">
        <v>834.03</v>
      </c>
      <c r="AB48" s="9">
        <v>835.46</v>
      </c>
      <c r="AC48" s="9">
        <v>810.12</v>
      </c>
      <c r="AD48" s="9">
        <v>844</v>
      </c>
      <c r="AE48" s="9">
        <v>862.1</v>
      </c>
      <c r="AF48" s="9">
        <v>890</v>
      </c>
      <c r="AG48" s="9">
        <v>906.93</v>
      </c>
      <c r="AH48" s="9" t="s">
        <v>42</v>
      </c>
      <c r="AI48" s="9">
        <v>946.62</v>
      </c>
      <c r="AJ48" s="9">
        <v>948.82</v>
      </c>
      <c r="AK48" s="9">
        <v>931.72</v>
      </c>
      <c r="AL48" s="9">
        <v>912.36</v>
      </c>
      <c r="AM48" s="9">
        <v>888.62</v>
      </c>
      <c r="AN48" s="9">
        <v>870.2</v>
      </c>
      <c r="AO48" s="9">
        <v>854.24</v>
      </c>
      <c r="AP48" s="9">
        <v>877.65</v>
      </c>
      <c r="AQ48" s="9">
        <v>893.33</v>
      </c>
      <c r="AR48" s="9" t="s">
        <v>42</v>
      </c>
      <c r="AS48" s="9">
        <v>936.42</v>
      </c>
      <c r="AT48" s="9">
        <v>925.58</v>
      </c>
      <c r="AU48" s="9" t="s">
        <v>42</v>
      </c>
      <c r="AV48" s="9">
        <v>902.61</v>
      </c>
      <c r="AW48" s="9">
        <v>926.39</v>
      </c>
      <c r="AX48" s="9">
        <v>942.65</v>
      </c>
      <c r="AY48" s="9">
        <v>953.11</v>
      </c>
    </row>
    <row r="49" spans="2:51" x14ac:dyDescent="0.35">
      <c r="B49" s="8">
        <v>1196.69</v>
      </c>
      <c r="C49" s="8">
        <v>1169.32</v>
      </c>
      <c r="D49" s="8">
        <v>1150.22</v>
      </c>
      <c r="E49" s="9">
        <v>1125.0999999999999</v>
      </c>
      <c r="F49" s="9">
        <v>1102.74</v>
      </c>
      <c r="G49" s="9">
        <v>1098.6400000000001</v>
      </c>
      <c r="H49" s="9">
        <v>1094.3800000000001</v>
      </c>
      <c r="I49" s="9">
        <v>1083.3399999999999</v>
      </c>
      <c r="J49" s="9">
        <v>1082.8699999999999</v>
      </c>
      <c r="K49" s="9">
        <v>1073.75</v>
      </c>
      <c r="L49" s="9">
        <v>1025.3</v>
      </c>
      <c r="M49" s="9">
        <v>1015.48</v>
      </c>
      <c r="N49" s="9">
        <v>1011.66</v>
      </c>
      <c r="O49" s="9">
        <v>1006.63</v>
      </c>
      <c r="P49" s="9">
        <v>995.61</v>
      </c>
      <c r="Q49" s="9">
        <v>979.24</v>
      </c>
      <c r="R49" s="9">
        <v>970.08</v>
      </c>
      <c r="S49" s="9">
        <v>956.37</v>
      </c>
      <c r="T49" s="9">
        <v>933.85</v>
      </c>
      <c r="U49" s="9">
        <v>896.9</v>
      </c>
      <c r="V49" s="9">
        <v>877.96</v>
      </c>
      <c r="W49" s="9">
        <v>871.4</v>
      </c>
      <c r="X49" s="9">
        <v>842.42</v>
      </c>
      <c r="Y49" s="9">
        <v>809.78</v>
      </c>
      <c r="Z49" s="9">
        <v>802.75</v>
      </c>
      <c r="AA49" s="9">
        <v>802.25</v>
      </c>
      <c r="AB49" s="9">
        <v>809.3</v>
      </c>
      <c r="AC49" s="9">
        <v>824.6</v>
      </c>
      <c r="AD49" s="9">
        <v>854.46</v>
      </c>
      <c r="AE49" s="9">
        <v>874.54</v>
      </c>
      <c r="AF49" s="9">
        <v>896.34</v>
      </c>
      <c r="AG49" s="9">
        <v>913.73</v>
      </c>
      <c r="AH49" s="9" t="s">
        <v>42</v>
      </c>
      <c r="AI49" s="9">
        <v>942.12</v>
      </c>
      <c r="AJ49" s="9">
        <v>939.38</v>
      </c>
      <c r="AK49" s="9">
        <v>921.9</v>
      </c>
      <c r="AL49" s="9" t="s">
        <v>42</v>
      </c>
      <c r="AM49" s="9" t="s">
        <v>42</v>
      </c>
      <c r="AN49" s="9">
        <v>854.7</v>
      </c>
      <c r="AO49" s="9">
        <v>846.34</v>
      </c>
      <c r="AP49" s="9">
        <v>873.43</v>
      </c>
      <c r="AQ49" s="9">
        <v>889.19</v>
      </c>
      <c r="AR49" s="9">
        <v>913.16</v>
      </c>
      <c r="AS49" s="9">
        <v>916.96</v>
      </c>
      <c r="AT49" s="9">
        <v>899.68</v>
      </c>
      <c r="AU49" s="9">
        <v>890.2</v>
      </c>
      <c r="AV49" s="9" t="s">
        <v>42</v>
      </c>
      <c r="AW49" s="9">
        <v>911.99</v>
      </c>
      <c r="AX49" s="9">
        <v>920.55</v>
      </c>
      <c r="AY49" s="9">
        <v>927.91</v>
      </c>
    </row>
    <row r="50" spans="2:51" x14ac:dyDescent="0.35">
      <c r="B50" s="8">
        <v>1216.3399999999999</v>
      </c>
      <c r="C50" s="8">
        <v>1188.24</v>
      </c>
      <c r="D50" s="8">
        <v>1167.02</v>
      </c>
      <c r="E50" s="9">
        <v>1140.44</v>
      </c>
      <c r="F50" s="9">
        <v>1130.6600000000001</v>
      </c>
      <c r="G50" s="9">
        <v>1130.04</v>
      </c>
      <c r="H50" s="9">
        <v>1123.71</v>
      </c>
      <c r="I50" s="9">
        <v>1110.03</v>
      </c>
      <c r="J50" s="9">
        <v>1112.07</v>
      </c>
      <c r="K50" s="9">
        <v>1105.71</v>
      </c>
      <c r="L50" s="9">
        <v>1081.72</v>
      </c>
      <c r="M50" s="9">
        <v>1066.52</v>
      </c>
      <c r="N50" s="9">
        <v>1041</v>
      </c>
      <c r="O50" s="9">
        <v>1025.3800000000001</v>
      </c>
      <c r="P50" s="9">
        <v>1013.12</v>
      </c>
      <c r="Q50" s="9">
        <v>1008.54</v>
      </c>
      <c r="R50" s="9">
        <v>996.14</v>
      </c>
      <c r="S50" s="9" t="s">
        <v>42</v>
      </c>
      <c r="T50" s="9">
        <v>956.45</v>
      </c>
      <c r="U50" s="9">
        <v>916.06</v>
      </c>
      <c r="V50" s="9">
        <v>907.54</v>
      </c>
      <c r="W50" s="9">
        <v>882.72</v>
      </c>
      <c r="X50" s="9">
        <v>851.32</v>
      </c>
      <c r="Y50" s="9">
        <v>810.02</v>
      </c>
      <c r="Z50" s="9">
        <v>799.42</v>
      </c>
      <c r="AA50" s="9">
        <v>808.42</v>
      </c>
      <c r="AB50" s="9">
        <v>817.55</v>
      </c>
      <c r="AC50" s="9">
        <v>823.11</v>
      </c>
      <c r="AD50" s="9">
        <v>848.11</v>
      </c>
      <c r="AE50" s="9">
        <v>869.43</v>
      </c>
      <c r="AF50" s="9">
        <v>892.31</v>
      </c>
      <c r="AG50" s="9">
        <v>911.08</v>
      </c>
      <c r="AH50" s="9">
        <v>929.24</v>
      </c>
      <c r="AI50" s="9">
        <v>933</v>
      </c>
      <c r="AJ50" s="9">
        <v>927.1</v>
      </c>
      <c r="AK50" s="9">
        <v>909.94</v>
      </c>
      <c r="AL50" s="9">
        <v>895.94</v>
      </c>
      <c r="AM50" s="9">
        <v>861.54</v>
      </c>
      <c r="AN50" s="9">
        <v>842.86</v>
      </c>
      <c r="AO50" s="9">
        <v>842.94</v>
      </c>
      <c r="AP50" s="9">
        <v>868.93</v>
      </c>
      <c r="AQ50" s="9">
        <v>886.35</v>
      </c>
      <c r="AR50" s="9">
        <v>892.76</v>
      </c>
      <c r="AS50" s="9">
        <v>875.12</v>
      </c>
      <c r="AT50" s="9">
        <v>861.45</v>
      </c>
      <c r="AU50" s="9">
        <v>855.89</v>
      </c>
      <c r="AV50" s="9">
        <v>877.08</v>
      </c>
      <c r="AW50" s="9">
        <v>874.26</v>
      </c>
      <c r="AX50" s="9">
        <v>877.3</v>
      </c>
      <c r="AY50" s="9">
        <v>894.96</v>
      </c>
    </row>
    <row r="51" spans="2:51" x14ac:dyDescent="0.35">
      <c r="B51" s="8">
        <v>1228.6600000000001</v>
      </c>
      <c r="C51" s="8">
        <v>1198.76</v>
      </c>
      <c r="D51" s="8">
        <v>1182.0999999999999</v>
      </c>
      <c r="E51" s="9">
        <v>1167.5</v>
      </c>
      <c r="F51" s="9">
        <v>1159.42</v>
      </c>
      <c r="G51" s="9">
        <v>1155.1199999999999</v>
      </c>
      <c r="H51" s="9">
        <v>1148.83</v>
      </c>
      <c r="I51" s="9">
        <v>1142.1500000000001</v>
      </c>
      <c r="J51" s="9">
        <v>1141.05</v>
      </c>
      <c r="K51" s="9">
        <v>1131.19</v>
      </c>
      <c r="L51" s="9">
        <v>1110.0999999999999</v>
      </c>
      <c r="M51" s="9">
        <v>1107.06</v>
      </c>
      <c r="N51" s="9">
        <v>1094.68</v>
      </c>
      <c r="O51" s="9">
        <v>1070.82</v>
      </c>
      <c r="P51" s="9">
        <v>1033.26</v>
      </c>
      <c r="Q51" s="9">
        <v>1026.9000000000001</v>
      </c>
      <c r="R51" s="9">
        <v>1012.18</v>
      </c>
      <c r="S51" s="9">
        <v>995.85</v>
      </c>
      <c r="T51" s="9">
        <v>976.17</v>
      </c>
      <c r="U51" s="9">
        <v>945.02</v>
      </c>
      <c r="V51" s="9">
        <v>929.08</v>
      </c>
      <c r="W51" s="9">
        <v>898.12</v>
      </c>
      <c r="X51" s="9">
        <v>865.68</v>
      </c>
      <c r="Y51" s="9">
        <v>846.48</v>
      </c>
      <c r="Z51" s="9">
        <v>806.86</v>
      </c>
      <c r="AA51" s="9">
        <v>795.24</v>
      </c>
      <c r="AB51" s="9">
        <v>794.87</v>
      </c>
      <c r="AC51" s="9">
        <v>805.93</v>
      </c>
      <c r="AD51" s="9">
        <v>834.49</v>
      </c>
      <c r="AE51" s="9">
        <v>856.31</v>
      </c>
      <c r="AF51" s="9">
        <v>879.79</v>
      </c>
      <c r="AG51" s="9">
        <v>895.96</v>
      </c>
      <c r="AH51" s="9">
        <v>917.58</v>
      </c>
      <c r="AI51" s="9">
        <v>919.74</v>
      </c>
      <c r="AJ51" s="9">
        <v>910.46</v>
      </c>
      <c r="AK51" s="9">
        <v>892.38</v>
      </c>
      <c r="AL51" s="9">
        <v>874.26</v>
      </c>
      <c r="AM51" s="9">
        <v>851.06</v>
      </c>
      <c r="AN51" s="9">
        <v>828.44</v>
      </c>
      <c r="AO51" s="9">
        <v>839.96</v>
      </c>
      <c r="AP51" s="9">
        <v>861.41</v>
      </c>
      <c r="AQ51" s="9">
        <v>870.81</v>
      </c>
      <c r="AR51" s="9">
        <v>854.02</v>
      </c>
      <c r="AS51" s="9">
        <v>840.64</v>
      </c>
      <c r="AT51" s="9">
        <v>821.09</v>
      </c>
      <c r="AU51" s="9">
        <v>817.65</v>
      </c>
      <c r="AV51" s="9">
        <v>845.04</v>
      </c>
      <c r="AW51" s="9">
        <v>844.88</v>
      </c>
      <c r="AX51" s="9">
        <v>845.18</v>
      </c>
      <c r="AY51" s="9">
        <v>859.58</v>
      </c>
    </row>
    <row r="52" spans="2:51" x14ac:dyDescent="0.35">
      <c r="B52" s="8">
        <v>1240.31</v>
      </c>
      <c r="C52" s="8">
        <v>1219.0999999999999</v>
      </c>
      <c r="D52" s="8">
        <v>1204.76</v>
      </c>
      <c r="E52" s="9">
        <v>1197</v>
      </c>
      <c r="F52" s="9">
        <v>1194.9000000000001</v>
      </c>
      <c r="G52" s="9">
        <v>1187.5999999999999</v>
      </c>
      <c r="H52" s="9">
        <v>1180.31</v>
      </c>
      <c r="I52" s="9">
        <v>1173.67</v>
      </c>
      <c r="J52" s="9">
        <v>1170.07</v>
      </c>
      <c r="K52" s="9">
        <v>1155.95</v>
      </c>
      <c r="L52" s="9">
        <v>1137.1600000000001</v>
      </c>
      <c r="M52" s="9">
        <v>1134.68</v>
      </c>
      <c r="N52" s="9">
        <v>1117.6199999999999</v>
      </c>
      <c r="O52" s="9">
        <v>1100.76</v>
      </c>
      <c r="P52" s="9" t="s">
        <v>42</v>
      </c>
      <c r="Q52" s="9">
        <v>1049.55</v>
      </c>
      <c r="R52" s="9">
        <v>1027.49</v>
      </c>
      <c r="S52" s="9">
        <v>1007.59</v>
      </c>
      <c r="T52" s="9">
        <v>992.93</v>
      </c>
      <c r="U52" s="9">
        <v>969.23</v>
      </c>
      <c r="V52" s="9">
        <v>947.49</v>
      </c>
      <c r="W52" s="9">
        <v>921.27</v>
      </c>
      <c r="X52" s="9">
        <v>896.07</v>
      </c>
      <c r="Y52" s="9">
        <v>877.41</v>
      </c>
      <c r="Z52" s="9" t="s">
        <v>42</v>
      </c>
      <c r="AA52" s="9">
        <v>824.74</v>
      </c>
      <c r="AB52" s="9">
        <v>793.12</v>
      </c>
      <c r="AC52" s="9">
        <v>788.74</v>
      </c>
      <c r="AD52" s="9" t="s">
        <v>42</v>
      </c>
      <c r="AE52" s="9">
        <v>838.1</v>
      </c>
      <c r="AF52" s="9">
        <v>866.66</v>
      </c>
      <c r="AG52" s="9">
        <v>881.43</v>
      </c>
      <c r="AH52" s="9">
        <v>902.09</v>
      </c>
      <c r="AI52" s="9">
        <v>908.21</v>
      </c>
      <c r="AJ52" s="9">
        <v>897.53</v>
      </c>
      <c r="AK52" s="9">
        <v>873.77</v>
      </c>
      <c r="AL52" s="9">
        <v>857.07</v>
      </c>
      <c r="AM52" s="9">
        <v>830.5</v>
      </c>
      <c r="AN52" s="9">
        <v>812.88</v>
      </c>
      <c r="AO52" s="9">
        <v>835.9</v>
      </c>
      <c r="AP52" s="9">
        <v>850.1</v>
      </c>
      <c r="AQ52" s="9" t="s">
        <v>42</v>
      </c>
      <c r="AR52" s="9">
        <v>815.57</v>
      </c>
      <c r="AS52" s="9" t="s">
        <v>42</v>
      </c>
      <c r="AT52" s="9">
        <v>779.29</v>
      </c>
      <c r="AU52" s="9">
        <v>788.19</v>
      </c>
      <c r="AV52" s="9">
        <v>805.47</v>
      </c>
      <c r="AW52" s="9">
        <v>809.07</v>
      </c>
      <c r="AX52" s="9">
        <v>818.51</v>
      </c>
      <c r="AY52" s="9">
        <v>840.83</v>
      </c>
    </row>
    <row r="53" spans="2:51" x14ac:dyDescent="0.35">
      <c r="B53" s="8">
        <v>1259.3499999999999</v>
      </c>
      <c r="C53" s="8">
        <v>1238.76</v>
      </c>
      <c r="D53" s="8">
        <v>1232.7</v>
      </c>
      <c r="E53" s="9" t="s">
        <v>42</v>
      </c>
      <c r="F53" s="9">
        <v>1226.46</v>
      </c>
      <c r="G53" s="9" t="s">
        <v>42</v>
      </c>
      <c r="H53" s="9">
        <v>1212.53</v>
      </c>
      <c r="I53" s="9">
        <v>1206.01</v>
      </c>
      <c r="J53" s="9">
        <v>1193.45</v>
      </c>
      <c r="K53" s="9">
        <v>1179.3499999999999</v>
      </c>
      <c r="L53" s="9">
        <v>1160.92</v>
      </c>
      <c r="M53" s="9">
        <v>1151.68</v>
      </c>
      <c r="N53" s="9">
        <v>1135.02</v>
      </c>
      <c r="O53" s="9">
        <v>1119.56</v>
      </c>
      <c r="P53" s="9">
        <v>1091.0999999999999</v>
      </c>
      <c r="Q53" s="9">
        <v>1068.47</v>
      </c>
      <c r="R53" s="9">
        <v>1042.95</v>
      </c>
      <c r="S53" s="9">
        <v>1021.65</v>
      </c>
      <c r="T53" s="9">
        <v>1006.29</v>
      </c>
      <c r="U53" s="9">
        <v>981.51</v>
      </c>
      <c r="V53" s="9">
        <v>963.83</v>
      </c>
      <c r="W53" s="9">
        <v>935.03</v>
      </c>
      <c r="X53" s="9">
        <v>921.61</v>
      </c>
      <c r="Y53" s="9">
        <v>903.21</v>
      </c>
      <c r="Z53" s="9">
        <v>871.76</v>
      </c>
      <c r="AA53" s="9">
        <v>850.34</v>
      </c>
      <c r="AB53" s="9">
        <v>810.66</v>
      </c>
      <c r="AC53" s="9">
        <v>790.52</v>
      </c>
      <c r="AD53" s="9">
        <v>789.5</v>
      </c>
      <c r="AE53" s="9">
        <v>817.6</v>
      </c>
      <c r="AF53" s="9">
        <v>851</v>
      </c>
      <c r="AG53" s="9">
        <v>867.63</v>
      </c>
      <c r="AH53" s="9">
        <v>888.65</v>
      </c>
      <c r="AI53" s="9">
        <v>898.67</v>
      </c>
      <c r="AJ53" s="9">
        <v>890.43</v>
      </c>
      <c r="AK53" s="9">
        <v>864.41</v>
      </c>
      <c r="AL53" s="9">
        <v>844.61</v>
      </c>
      <c r="AM53" s="9" t="s">
        <v>42</v>
      </c>
      <c r="AN53" s="9">
        <v>798.26</v>
      </c>
      <c r="AO53" s="9">
        <v>822.52</v>
      </c>
      <c r="AP53" s="9">
        <v>817.54</v>
      </c>
      <c r="AQ53" s="9">
        <v>799.78</v>
      </c>
      <c r="AR53" s="9">
        <v>782.23</v>
      </c>
      <c r="AS53" s="9">
        <v>761.53</v>
      </c>
      <c r="AT53" s="9">
        <v>746.89</v>
      </c>
      <c r="AU53" s="9">
        <v>766.79</v>
      </c>
      <c r="AV53" s="9">
        <v>777.89</v>
      </c>
      <c r="AW53" s="9">
        <v>790.57</v>
      </c>
      <c r="AX53" s="9">
        <v>801.95</v>
      </c>
      <c r="AY53" s="9">
        <v>826.15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QQB1AHQAaABvAHIAOgAgACAAIAAgACAAIAAgAFAAYQB0AHIAaQBjAGsAXABuAC8ALwBGAHUAbgBjAHQAaQBvAG4AOgAgACAAIAAgACAAVABlAHIAcgBhAGkAbgC7A1wAbgAvAC8ARABhAHQAZQA6ACAAIAAgACAAIAAgACAAIAAgADkALwAzADAALwAyADAAMgA1AFwAbgAvAC8AVgBlAHIAcwBpAG8AbgA6ACAAIAAgACAAIAAgADEALgAwAFwAbgBcAG4ALwAvACAAUgBlAHQAdQByAG4AIAB0AGUAcgByAGEAaQBuACAAYQBuAGEAbAB5AHMAaQBzACAAbQBlAHQAcgBpAGMAcwAgAGIAeQAgAHMAdQBwAHAAbAB5AGkAbgBnACAAcwBxAHUAYQByAGUAIABlAGwAZQB2AGEAdABpAG8AbgAgAG0AYQB0AHIAaQBjAGUAcwAuAFwAbgBcAG4ALwAvAC0ALQBUAGUAcgByAGEAaQBuALsDIABNAGUAdAByAGkAYwBzAC0ALQBcAG4ALwAvAFQAaABlACAAYwBvAHIAZQAgAHQAZQByAHIAYQBpAG4AIABmAHUAbgBjAHQAaQBvAG4AIAB3AGgAaQBjAGgAIAByAGUAdAB1AHIAbgBzACAAYQAgAHMAcABlAGMAaQBmAGkAYwAgAG0AZQB0AHIAaQBjADoAXABuAFwAbgAvAC8AUwBsAG8AcABlACAAKABSAGEAZABpAGEAbgBzACkAOgAgACAAIAAgACAAUwB0AGUAZQBwAGUAcwB0ACAAZABvAHcAbgBoAGkAbABsACAAZABlAHMAYwBlAG4AdAAgACgAcgBhAGQAaQBhAG4AcwApAFwAbgAvAC8AUwBsAG8AcABlACAAKABEAGUAZwByAGUAZQBzACkAOgAgACAAIAAgACAAUwBsAG8AcABlACAAYQBuAGcAbABlACAAaQBuACAAZABlAGcAcgBlAGUAcwBcAG4ALwAvAEEAcwBwAGUAYwB0ACAAKABSAGEAZABpAGEAbgBzACkAOgAgACAAIAAgAEMAbwBtAHAAYQBzAHMAIABkAGkAcgBlAGMAdABpAG8AbgAgAG8AZgAgAHMAdABlAGUAcABlAHMAdAAgAHMAbABvAHAAZQBcAG4ALwAvAEMAdQByAHYAYQB0AHUAcgBlADoAIAAgACAAIAAgACAAIAAgACAAIAAgAFMAZQBjAG8AbgBkACAAZABlAHIAaQB2AGEAdABpAHYAZQAgAG8AZgAgAGUAbABlAHYAYQB0AGkAbwBuACAAcwB1AHIAZgBhAGMAZQBcAG4ALwAvAFAAcgBvAGYAaQBsAGUAIABDAHUAcgB2AGEAdAB1AHIAZQA6ACAAIAAgAEMAdQByAHYAYQB0AHUAcgBlACAAYQBsAG8AbgBnACAAcwBsAG8AcABlACAAZABpAHIAZQBjAHQAaQBvAG4AXABuAC8ALwBHAHIAYQBkAGkAZQBuAHQAIABNAGEAZwBuAGkAdAB1AGQAZQA6ACAAIABUAGUAcgByAGEAaQBuACAAcwB0AGUAZQBwAG4AZQBzAHMAIABtAGEAZwBuAGkAdAB1AGQAZQBcAG4ALwAvAFIAbwB1AGcAaABuAGUAcwBzADoAIAAgACAAIAAgACAAIAAgACAAIAAgAEUAbABlAHYAYQB0AGkAbwBuACAAdgBhAHIAaQBhAGIAaQBsAGkAdAB5ACAAaQBuACAAbgBlAGkAZwBoAGIAbwByAGgAbwBvAGQAXABuAC8ALwBaAFQAUABJADoAIAAgACAAIAAgACAAIAAgACAAIAAgACAAIAAgACAAIABSAGUAbABhAHQAaQB2AGUAIABlAGwAZQB2AGEAdABpAG8AbgAgACgAWgAtAHMAYwBvAHIAZQApAFwAbgAvAC8AQwBsAGEAcwBzAGkAZgBpAGMAYQB0AGkAbwBuADoAIAAgACAAIAAgACAAVABlAHIAcgBhAGkAbgAgAHQAeQBwAGUAIABiAGEAcwBlAGQAIABvAG4AIABzAGwAbwBwAGUAIAArACAAWgBUAFAASQBcAG4AXABuAC8ALwBQAGEAcgBhAG0AZQB0AGUAcgBzADoAXABuAC8ALwBEAEUATQBTAHEAdQBhAHIAZQA6ACAAIAAgACAAIAAgACAAIAAgACAAIABNAGEAdAByAGkAeAAgAG8AZgAgAGUAbABlAHYAYQB0AGkAbwBuACAAdgBhAGwAdQBlAHMAXABuAC8ALwBjAGUAbABsAHMAaQB6AGUAOgAgACAAIAAgACAAIAAgACAAIAAgACAAIABIAG8AcgBpAHoAbwBuAHQAYQBsACAAcgBlAHMAbwBsAHUAdABpAG8AbgAgAGkAbgAgAG0AZQB0AGUAcgBzACAAKABlAC4AZwAuACwAIAAzADAAKQBcAG4ALwAvAGYAdQBuAGMAdABpAG8AbgA6ACAAIAAgACAAIAAgACAAIAAgACAAIAAgAFQAZQByAHIAYQBpAG4AIABtAGUAdAByAGkAYwA6ACAAWgBUAFAASQAsACAAQQBzAHAAZQBjAHQAUgAsACAAZQB0AGMALgBcAG4ALwAvAFsAYQB6AGkAbQB1AHQAaABdADoAIAAgACAAIAAgACAAIAAgACAAIAAgAE8AcAB0AGkAbwBuAGEAbAAgAC0AIABTAHUAbgAgAGQAaQByAGUAYwB0AGkAbwBuACAAZgBvAHIAIABoAGkAbABsAHMAaABhAGQAZQBcAG4ALwAvAFsAYQBsAHQAaQB0AHUAZABlAF0AOgAgACAAIAAgACAAIAAgACAAIAAgAE8AcAB0AGkAbwBuAGEAbAAgAC0AIABTAHUAbgAgAGEAbgBnAGwAZQAgAGYAbwByACAAaABpAGwAbABzAGgAYQBkAGUAXABuAC8ALwBbAHoAXwBmAGEAYwB0AG8AcgBdADoAIAAgACAAIAAgACAAIAAgACAAIABPAHAAdABpAG8AbgBhAGwAIAAtACAAVgBlAHIAdABpAGMAYQBsACAAZQB4AGEAZwBnAGUAcgBhAHQAaQBvAG4AXABuAFwAbgBcAG4AVABlAHIAcgBhAGkAbgC7AyAAPQBcAG4ATABBAE0AQgBEAEEAKABcAG4AIAAgACAAIABEAEUATQAsAFwAbgAgACAAIAAgAGMAZQBsAGwAcwBpAHoAZQAsAFwAbgAgACAAIAAgAGYAdQBuAGMAdABpAG8AbgAsAFwAbgAgACAAIAAgAFsAYQB6AGkAbQB1AHQAaABdACwAXABuACAAIAAgACAAWwBhAGwAdABpAHQAdQBkAGUAXQAsACAAXABuACAAIAAgACAAWwB6AF8AZgBhAGMAdABvAHIAXQAsAFwAbgBcAG4AIAAgACAAIAAvAC8AVgBhAGwAaQBkAGEAdABlACAAaQBuAHAAdQB0AHMAXABuAFYAYQBsAGkAZABhAHQAZQC7AygARABFAE0ALABjAGUAbABsAHMAaQB6AGUALABmAHUAbgBjAHQAaQBvAG4ALABhAHoAaQBtAHUAdABoACwAYQBsAHQAaQB0AHUAZABlACwAegBfAGYAYQBjAHQAbwByACwAXABuACAAIAAgACAAXABuACAAIAAgACAATABFAFQAKABcAG4AIAAgACAAIAAvAC8ARABpAG0AZQBuAHMAaQBvAG4AcwBcAG4AIAAgACAAIAAgACAAIAAgAGQAaQBtACwAIAAgACAAIAAgACAAIAAgACAAIAAgACAAUgBPAFcAUwAoAEQARQBNACkALABcAG4AIAAgACAAIAAvAC8AUABhAGQAIABEAEUATQBcAG4AIAAgACAAIAAgACAAIAAgAE0ALAAgACAAIAAgACAAIAAgACAAIAAgACAAIAAgACAAUABhAGQAuwMoAEQARQBNACwAZABpAG0AKQAsAFwAbgAgACAAIAAgAC8ALwBPAHAAdABpAG8AbgBhAGwAIABwAGEAcgBhAG0AZQB0AGUAcgBzAFwAbgAgACAAIAAgACAAIAAgACAAYQB6AGkAbQB1AHQAaAAsACAAIAAgACAAIAAgACAAIABDAGwAYQBtAHAAuwMoAGEAegBpAG0AdQB0AGgALAAwACwAMwA2ADAALAAzADEANQApACwAXABuACAAIAAgACAAIAAgACAAIABhAGwAdABpAHQAdQBkAGUALAAgACAAIAAgACAAIAAgAEMAbABhAG0AcAC7AygAYQBsAHQAaQB0AHUAZABlACwAMAAsADkAMAAsADQANQApACwAXABuACAAIAAgACAAIAAgACAAIAB6AF8AZgBhAGMAdABvAHIALAAgACAAIAAgACAAIAAgAEkARgAoAEkAUwBPAE0ASQBUAFQARQBEACgAegBfAGYAYQBjAHQAbwByACkALAAwAC4AMwAwADQAOAAsAHoAXwBmAGEAYwB0AG8AcgApACwAXABuACAAIAAgACAAIAAgACAAIAB6AGUAbgBpAHQAaAAsACAAIAAgACAAIAAgACAAIAAgADkAMAAgAC0AIABhAGwAdABpAHQAdQBkAGUALABcAG4AIAAgACAAIAAgACAAIAAgAHoAZQBuAGkAdABoAF8AcgBhAGQALAAgACAAIAAgACAAUgBBAEQASQBBAE4AUwAoAHoAZQBuAGkAdABoACkALABcAG4AIAAgACAAIAAgACAAIAAgAGEAegBpAG0AdQB0AGgAXwByAGEAZAAsACAAIAAgACAAUgBBAEQASQBBAE4AUwAoAGEAegBpAG0AdQB0AGgAIAArACAAOQAwACkALABcAG4AIAAgACAAIAAvAC8ATQBvAG8AcgBlACAAbgBlAGkAZwBoAGIAbwByAGgAbwBvAGQAXABuACAAIAAgACAAIAAgACAAIABhACwAIAAgACAAIAAgACAAIAAgACAAIAAgACAAIAAgAEQAUgBPAFAAKABNACwAIAAtADIALAAgAC0AMgApACwAIAAgACAAIAAgACAAIAAgACAAIAAgACAAIAAgACAAIAAgACAAIAAvAC8ATgBXAFwAbgAgACAAIAAgACAAIAAgACAAYgAsACAAIAAgACAAIAAgACAAIAAgACAAIAAgACAAIABUAEEASwBFACgARABSAE8AUAAoAE0ALAAgACwAIAAxACkALAAgAGQAaQBtACwAIABkAGkAbQApACwAIAAgACAAIAAgACAALwAvAE4AXABuACAAIAAgACAAIAAgACAAIABjACwAIAAgACAAIAAgACAAIAAgACAAIAAgACAAIAAgAFQAQQBLAEUAKABEAFIATwBQACgATQAsACAALAAgADIAKQAsACAAZABpAG0AKQAsACAAIAAgACAAIAAgACAAIAAgACAAIAAvAC8ATgBFAFwAbgAgACAAIAAgACAAIAAgACAAZAAsACAAIAAgACAAIAAgACAAIAAgACAAIAAgACAAIABUAEEASwBFACgARABSAE8AUAAoAE0ALAAgADEALAAgAC0AMQApACwAIABkAGkAbQAsACAAZABpAG0AKQAsACAAIAAgACAALwAvAFcAXABuACAAIAAgACAAIAAgACAAIABlACwAIAAgACAAIAAgACAAIAAgACAAIAAgACAAIAAgAFQAQQBLAEUAKABEAFIATwBQACgATQAsACAAMQAsACAAMQApACwAIABkAGkAbQAsACAAZABpAG0AKQAsACAAIAAgACAAIAAvAC8AQwBlAG4AdABlAHIAXABuACAAIAAgACAAIAAgACAAIABmACwAIAAgACAAIAAgACAAIAAgACAAIAAgACAAIAAgAFQAQQBLAEUAKABEAFIATwBQACgATQAsACAAMQAsACAAMQApACwAIABkAGkAbQAsACAALQBkAGkAbQApACwAIAAgACAAIAAvAC8ARQBcAG4AIAAgACAAIAAgACAAIAAgAGcALAAgACAAIAAgACAAIAAgACAAIAAgACAAIAAgACAAVABBAEsARQAoAEQAUgBPAFAAKABNACwAIAAxACwAIAAtADEAKQAsACAALQBkAGkAbQAsACAAZABpAG0AKQAsACAAIAAgAC8ALwBTAFcAXABuACAAIAAgACAAIAAgACAAIABoACwAIAAgACAAIAAgACAAIAAgACAAIAAgACAAIAAgAFQAQQBLAEUAKABEAFIATwBQACgATQAsACAAMQAsACAALQAxACkALAAgAC0AZABpAG0ALAAgAC0AZABpAG0AKQAsACAAIAAvAC8AUwBcAG4AIAAgACAAIAAgACAAIAAgAGkALAAgACAAIAAgACAAIAAgACAAIAAgACAAIAAgACAAVABBAEsARQAoAEQAUgBPAFAAKABNACwAIAAxACwAIAAxACkALAAgAC0AZABpAG0ALAAgAC0AZABpAG0AKQAsACAAIAAgAC8ALwBTAEUAXABuAFwAbgAgACAAIAAgAC8ALwAtAC0ARgBpAHIAcwB0ACAAbwByAGQAZQByACAAZABlAHIAaQB2AGEAdABpAHYAZQBzAC0ALQBcAG4AIAAgACAAIAAvAC8AUwBsAG8AcABlACAAaQBuACAAdABoAGUAIABlAGEAcwB0AC0AdwBlAHMAdAAgAGQAaQByAGUAYwB0AGkAbwBuAFwAbgAgACAAIAAgACAAIAAgACAAZAB6AF8AZAB4ACwAIAAgACAAIAAgACAAIAAgACAAIABEAGUAZgBlAHIAuwMoACgAKABjACAAKwAgADIAIAAqACAAZgAgACsAIABpACkAIAAtACAAKABhACAAKwAgADIAIAAqACAAZAAgACsAIABnACkAKQAgAC8AIAAoADgAIAAqACAAYwBlAGwAbABzAGkAegBlACkAKQAsAFwAbgAgACAAIAAgAC8ALwBTAGwAbwBwAGUAIABpAG4AIAB0AGgAZQAgAG4AbwByAHQAaAAtAHMAbwB1AHQAaAAgAGQAaQByAGUAYwB0AGkAbwBuAFwAbgAgACAAIAAgACAAIAAgACAAZAB6AF8AZAB5ACwAIAAgACAAIAAgACAAIAAgACAAIABEAGUAZgBlAHIAuwMoACgAKABnACAAKwAgADIAIAAqACAAaAAgACsAIABpACkAIAAtACAAKABhACAAKwAgADIAIAAqACAAYgAgACsAIABjACkAKQAgAC8AIAAoADgAIAAqACAAYwBlAGwAbABzAGkAegBlACkAKQAsAFwAbgBcAG4AIAAgACAAIAAvAC8ALQAtAFMAZQBjAG8AbgBkACAAbwByAGQAZQByACAAZABlAHIAaQB2AGEAdABpAHYAZQBzAC0ALQBcAG4AIAAgACAAIAAvAC8AQwB1AHIAdgBhAHQAdQByAGUAIABhAGwAbwBuAGcAIAB0AGgAZQAgAFgAIABhAHgAaQBzAFwAbgAgACAAIAAgACAAIAAgACAAZAB6AF8AZAB4AHgALAAgACAAIAAgACAAIAAgACAAIABEAGUAZgBlAHIAuwMoACgAZAAqAC0AMQArAGUAKgAyACsAZgAqAC0AMQApAC8AKABjAGUAbABsAHMAaQB6AGUAXgAyACkAKQAsAFwAbgBcAG4AIAAgACAAIAAvAC8AQwB1AHIAdgBhAHQAdQByAGUAIABhAGwAbwBuAGcAIAB0AGgAZQAgAFkAIABhAHgAaQBzAFwAbgAgACAAIAAgACAAIAAgACAAZAB6AF8AZAB5AHkALAAgACAAIAAgACAAIAAgACAAIABEAGUAZgBlAHIAuwMoACgAYgAqAC0AMQArAGUAKgAyACsAaAAqAC0AMQApAC8AKABjAGUAbABsAHMAaQB6AGUAXgAyACkAKQAsAFwAbgBcAG4AIAAgACAAIAAvAC8ATQBpAHgAZQBkACAAcwBlAGMAbwBuAGQAIABvAHIAZABlAHIAIAAtACAARABpAGEAZwBvAG4AYQBsACAAQwB1AHIAdgBhAHQAdQByAGUAIAAUICAAdAB3AGkAcwB0ACAAbwByACAAcwBhAGQAZABsAGUALQBsAGkAawBlACAAZgBlAGEAdAB1AHIAZQBzAFwAbgAgACAAIAAgACAAIAAgACAAZAB6AF8AZAB4AHkALAAgACAAIAAgACAAIAAgACAAIABEAGUAZgBlAHIAuwMoACgAYwArAGcALQBhACsAaQApAC8AKAA0ACoAYwBlAGwAbABzAGkAegBlAF4AMgApACkALABcAG4AXABuACAAIAAgACAALwAvAFMAdABlAGUAcABlAHMAdAAgAGQAbwB3AG4AaABpAGwAbAAgAGQAZQBzAGMAZQBuAHQAIABmAHIAbwBtACAAZQBhAGMAaAAgAGMAZQBsAGwAIABpAG4AIAByAGEAZABpAGEAbgBzAC4AXABuACAAIAAgACAAIAAgACAAIABTAGwAbwBwAGUAUgAsACAAIAAgACAAIAAgACAAIAAgAEEAVABBAE4AKAB6AF8AZgBhAGMAdABvAHIAIAAqACAAUwBRAFIAVAAoAGQAegBfAGQAeAAoACkAIABeACAAMgAgACsAIABkAHoAXwBkAHkAKAApACAAXgAgADIAKQApACwAXABuAFwAbgAgACAAIAAgAC8ALwBTAGwAbwBwAGUAIABpAG4AIABkAGUAZwByAGUAZQBzAFwAbgAgACAAIAAgACAAIAAgACAAUwBsAG8AcABlAEQAZQBnACwAIAAgACAAIAAgACAAIABEAEUARwBSAEUARQBTACgAUwBsAG8AcABlAFIAKQAsAFwAbgBcAG4AIAAgACAAIAAvAC8ARABpAHIAZQBjAHQAaQBvAG4AIAB0AGgAZQAgAHMAdABlAGUAcABlAHMAdAAgAGQAbwB3AG4AcwBsAG8AcABlACAAZABpAHIAZQBjAHQAaQBvAG4AIABpAHMAIABmAGEAYwBpAG4AZwAgAGkAbgAgAHIAYQBkAGkAYQBuAHMALgBcAG4AIAAgACAAIAAgACAAIAAgAEEAcwBwAGUAYwB0AFIALAAgACAAIAAgACAAIAAgACAASQBGACgAKABkAHoAXwBkAHgAKAApAD0AMAApACoAKAAgAGQAegBfAGQAeQAoACkAPQAwACkALAAgAC0AMQAsACAATQBPAEQAKABBAFQAQQBOADIAKABkAHoAXwBkAHkAKAApACwAIAAtAGQAegBfAGQAeAAoACkAKQAsACAAMgAgACoAIABQAEkAKAApACkAKQAsAFwAbgBcAG4AIAAgACAAIAAvAC8ASABpAGwAbABzAGgAYQBkAGUAXABuACAAIAAgACAAIAAgACAAIABpAGwAbAB1AG0AaQBuAGEAdABpAG8AbgAsACAAIAAgAEMATwBTACgAegBlAG4AaQB0AGgAXwByAGEAZAApACAAKgAgAEMATwBTACgAUwBsAG8AcABlAFIAKQAgACsAIABTAEkATgAoAHoAZQBuAGkAdABoAF8AcgBhAGQAKQAgACoAXABuACAAIAAgACAAIAAgACAAIAAgACAAIAAgACAAIAAgACAAIAAgACAAIAAgACAAIAAgAFMASQBOACgAUwBsAG8AcABlAFIAKQAgACoAIABDAE8AUwAoAGEAegBpAG0AdQB0AGgAXwByAGEAZAAgAC0AIABBAHMAcABlAGMAdABSACkALABcAG4AXABuACAAIAAgACAALwAvAEgAaQBsAGwAcwBoAGEAZABlACAALQAgAG4AZQBnAGEAdABpAHYAZQAgAHYAYQBsAHUAZQBzACAAYgBlAGMAbwBtAGUAIAAwACAALQAgAHYAYQBsAHUAZQBzACAAPgAgADEAIABiAGUAYwBvAG0AZQAgADEALgBcAG4AIAAgACAAIAAgACAAIAAgAEgAaQBsAGwAcwBoAGEAZABlACwAIAAgACAAIAAgACAAUgBPAFUATgBEACgASQBGACgAaQBsAGwAdQBtAGkAbgBhAHQAaQBvAG4AIAA8ACAAMAAsACAAMAAsAFwAbgAgACAAIAAgACAAIAAgACAAIAAgACAAIAAgACAAIAAgACAAIAAgACAAIAAgACAAIAAgACAAIAAgACAAIABJAEYAKABpAGwAbAB1AG0AaQBuAGEAdABpAG8AbgAgAD4AIAAxACwAIAAxACwAIABpAGwAbAB1AG0AaQBuAGEAdABpAG8AbgApACkAKgAyADUANQAsADAAKQAsAFwAbgAgACAAIAAgAC8ALwBDAHUAcgB2AGEAdAB1AHIAZQBcAG4AIAAgACAAIAAgACAAIAAgAEMAdQByAHYAYQB0AHUAcgBlACwAIAAgACAAIAAgACAAZAB6AF8AZAB4AHgAKAApACsAZAB6AF8AZAB5AHkAKAApACwAXABuAFwAbgAgACAAIAAgAC8ALwBQAHIAbwBmAGkAbABlACAAQwB1AHIAdgBhAHQAdQByAGUAXABuACAAIAAgACAAIAAgACAAIABQAHIAbwBDAHUAcgB2AGEAdAB1AHIAZQAsACAAIAAgAC0AMQAwADAAIAAqACAAKABkAHoAXwBkAHgAeAAoACkAIAAqACAAKABDAE8AUwAoAEEAcwBwAGUAYwB0AFIAKQApAF4AMgAgACsAMgAgACoAXABuACAAIAAgACAAIAAgACAAIAAgACAAIAAgACAAIAAgACAAIAAgACAAIAAgACAAIAAgAGQAegBfAGQAeAB5ACgAKQAgACoAIABDAE8AUwAoAEEAcwBwAGUAYwB0AFIAKQAgACoAIABTAEkATgAoAEEAcwBwAGUAYwB0AFIAKQAgACsAXABuACAAIAAgACAAIAAgACAAIAAgACAAIAAgACAAIAAgACAAIAAgACAAIAAgACAAIAAgAGQAegBfAGQAeQB5ACgAKQAgACoAIAAoAFMASQBOACgAQQBzAHAAZQBjAHQAUgApACkAXgAyACkALABcAG4AXABuACAAIAAgACAALwAvAEcAcgBhAGQAaQBlAG4AdAAgAE0AYQBnAG4AaQB0AHUAZABlACAALQAgAHEAdQBhAG4AdABpAGYAaQBlAHMAIABoAG8AdwAgAHMAdABlAGUAcAAgAHQAaABlACAAdABlAHIAcgBhAGkAbgAgAGkAcwAgAGEAdAAgAGUAYQBjAGgAIABwAG8AaQBuAHQALgBcAG4AIAAgACAAIAAgACAAIAAgAEcAcgBhAGQAaQBlAG4AdABNAGEAZwAsACAAIAAgACAAUwBRAFIAVAAoAGQAegBfAGQAeAAoACkAXgAyACAAKwAgAGQAegBfAGQAeQAoACkAXgAyACkALABcAG4AXABuACAAIAAgACAALwAvAFIAbwB1AGcAaABuAGUAcwBzACAAbwBmACAAbABhAG4AZABcAG4AIAAgACAAIAAgACAAIAAgAFIAbwB1AGcAaABuAGUAcwBzACwAIAAgACAAIAAgACAAUwBRAFIAVAAoACgAYgAtAGUAKQBeADIAKwAoAGQALQBlACkAXgAyACsAKABmAC0AZQApAF4AMgArACgAaAAtAGUAKQBeADIAKQAsAFwAbgBcAG4AIAAgACAAIAAvAC8AVABvAHAAbwBnAHIAYQBwAGgAaQBjACAAUABvAHMAaQB0AGkAbwBuACAASQBuAGQAZQB4ACAAKABUAFAASQApACAAZgBvAHIAIABjAGwAYQBzAHMAaQBmAGkAYwBhAHQAaQBvAG4AXABuACAAIAAgACAAIAAgACAAIABaAFQAUABJACwAIAAgACAAIAAgACAAIAAgACAAIAAgACgAZQAtAEEAVgBFAFIAQQBHAEUAKABhACwAYgAsAGMALABkACwAZgAsAGcALABoACwAaQApACkALwAoAFMAVABEAEUAVgAoAGEALABiACwAYwAsAGQALABmACwAZwAsAGgALABpACkAKQAsAFwAbgAgACAAIAAgACAAIAAgACAAcgBvAHcALAAgACAAIAAgACAAIAAgACAAIAAgACAAIABYAE0AQQBUAEMASAAoAFoAVABQAEkALABTAGMAYQBsAGUAXwBaAFQAUABJACwAMQAsADIAKQAsAFwAbgAgACAAIAAgACAAIAAgACAAYwBvAGwALAAgACAAIAAgACAAIAAgACAAIAAgACAAIABYAE0AQQBUAEMASAAoAFMAbABvAHAAZQBEAGUAZwAsAFMAYwBhAGwAZQBfAFMAbABvAHAAZQAsADEALAAyACkALABcAG4AXABuACAAIAAgACAALwAvAFQAZQByAHIAYQBpAG4AIABjAGwAYQBzAHMAaQBmAGkAYwBhAHQAaQBvAG4AXABuACAAIAAgACAAIAAgACAAIABDAGwAYQBzAHMAaQBmAHkALAAgACAAIAAgACAAIAAgAEkATgBEAEUAWAAoAEMAbABhAHMAcwBfAFQAeQBwAGUAcwAsAHIAbwB3ACwAYwBvAGwAKQAsAFwAbgBcAG4AIAAgACAAIAAvAC8AUwBlAGwAZQBjAHQAIABtAGUAdAByAGkAYwAgAC0AIABkAGUAZgBhAHUAbAB0AHMAIAB0AG8AIABDAGwAYQBzAHMAaQBmAHkAIAB0AGUAcgByAGEAaQBuACAAaQBmACAAZQByAHIAbwByAC4AXABuACAAIAAgACAAIAAgACAAIABtAGUAdAByAGkAYwAsACAAIAAgACAAIAAgACAAIAAgAEkARgBFAFIAUgBPAFIAKABYAE0AQQBUAEMASAAoAGYAdQBuAGMAdABpAG8AbgAsAEYAdQBuAGMAdABpAG8AbgBzACkALAAyACkALABcAG4AIAAgACAAIAAgACAAIAAgAHMAZQBsAGUAYwB0AGkAbwBuACwAIAAgACAAIAAgACAAQwBIAE8ATwBTAEUAKABtAGUAdAByAGkAYwAsAEEAcwBwAGUAYwB0AFIALABDAGwAYQBzAHMAaQBmAHkALABDAHUAcgB2AGEAdAB1AHIAZQAsAFwAbgAgACAAIAAgACAAIAAgACAAIAAgACAAIAAgACAAIAAgACAAIAAgACAAIAAgACAAIAAgACAAIAAgACAAIAAgAEcAcgBhAGQAaQBlAG4AdABNAGEAZwAsAEgAaQBsAGwAcwBoAGEAZABlACwAUAByAG8AQwB1AHIAdgBhAHQAdQByAGUALABcAG4AIAAgACAAIAAgACAAIAAgACAAIAAgACAAIAAgACAAIAAgACAAIAAgACAAIAAgACAAIAAgACAAIAAgACAAIABSAG8AdQBnAGgAbgBlAHMAcwAsAFMAbABvAHAAZQBEAGUAZwAsAFMAbABvAHAAZQBSACwAWgBUAFAASQApACwAXABuACAAIAAgACAALwAvAEQAZQBsAGkAdgBlAHIAIABhAG4AYQBsAHkAcwBpAHMAIAAgACAAXABuACAAIAAgACAAIAAgACAAIABkAGUAbABpAHYAZQByAHkALAAgACAAIAAgACAAIAAgAEkARgBFAFIAUgBPAFIAKABzAGUAbABlAGMAdABpAG8AbgAsAFwAIgBcACIAKQAsAFwAbgAgACAAIAAgACAAIAAgACAAZABlAGwAaQB2AGUAcgB5AFwAbgAgACAAIAAgACAAIAAgACAAKQApACkAOwBcAG4AXABuAC8ALwAtAC0AVQB0AGkAbABpAHQAaQBlAHMALQAtAC0ALQAtAC0ALQAtAC0ALQAtAC0ALQAtAC0ALQAtAC0ALQAtAC0ALQAtAC0ALQAtAC0ALQAtAC0ALQAtAC0ALQAtAC0ALQAtAC0ALQAtAC0ALQAtAC0ALQAtAC0ALQAtAC0ALQAtAC0ALQAtAC0ALQAtAC0ALQAtAC0ALQAtAC0ALQAtAC0ALQAtAFwAbgBcAG4ALwAvAC0ALQAtAC0ALQAtAC0ALQAtAC0ALQAtAC0ALQAtAC0ALQAtAC0ALQAtAC0ALQAtAC0ALQAtAC0ALQAtAC0ALQAtAC0ALQAtAC0ALQAtAFwAbgAvAC8AQwBsAGEAbQBwALsDXABuAC8ALwAtAC0ALQAtAC0ALQAtAC0ALQAtAC0ALQAtAC0ALQAtAC0ALQAtAC0ALQAtAC0ALQAtAC0ALQAtAC0ALQAtAC0ALQAtAC0ALQAtAC0ALQBcAG4ALwAvAEQAZQB0AGUAcgBtAGkAbgBlACAAaQBmACAAcwBjAGEAbABhAHIAIABpAHMAIAB3AGkAdABoAGkAbgAgAHQAaAByAGUAcwBoAG8AbABkAC4AXABuAFwAbgBDAGwAYQBtAHAAuwMgAD0AXABuAEwAQQBNAEIARABBACgAcABhAHIAYQBtACwAbQBpAG4ALABtAGEAeAAsAGYAYQBsAGwAYgBhAGMAawAsAFwAbgAgACAAIAAgACAAIAAgACAASQBGACgASQBTAE8ATQBJAFQAVABFAEQAKABwAGEAcgBhAG0AKQAsAGYAYQBsAGwAYgBhAGMAawAsAFwAbgAgACAAIAAgACAAIAAgACAASQBGACgAQQBOAEQAKABwAGEAcgBhAG0APgBtAGkAbgAsAHAAYQByAGEAbQA8AD0AbQBhAHgAKQAsAHAAYQByAGEAbQAsAGYAYQBsAGwAYgBhAGMAawApACkAKQA7AFwAbgBcAG4ALwAvAC0ALQAtAC0ALQAtAC0ALQAtAC0ALQAtAC0ALQAtAC0ALQAtAC0ALQAtAC0ALQAtAC0ALQAtAC0ALQAtAC0ALQAtAC0ALQAtAC0ALQAtAFwAbgAvAC8ARABlAGYAZQByALsDXABuAC8ALwAtAC0ALQAtAC0ALQAtAC0ALQAtAC0ALQAtAC0ALQAtAC0ALQAtAC0ALQAtAC0ALQAtAC0ALQAtAC0ALQAtAC0ALQAtAC0ALQAtAC0ALQBcAG4ALwAvAFQAaAB1AG4AawAgAHQAbwAgAGQAZQBsAGEAeQAgAGUAYQBnAGUAcgAgAGUAdgBhAHUAbABhAHQAaQBvAG4AcwAuAFwAbgBcAG4ARABlAGYAZQByALsDIAA9ACAATABBAE0AQgBEAEEAKAB4ACwATABBAE0AQgBEAEEAKAB4ACkAKQA7AFwAbgBcAG4ALwAvAC0ALQAtAC0ALQAtAC0ALQAtAC0ALQAtAC0ALQAtAC0ALQAtAC0ALQAtAC0ALQAtAC0ALQAtAC0ALQAtAC0ALQAtAC0ALQAtAC0ALQAtAFwAbgAvAC8AUABhAGQAuwNcAG4ALwAvAC0ALQAtAC0ALQAtAC0ALQAtAC0ALQAtAC0ALQAtAC0ALQAtAC0ALQAtAC0ALQAtAC0ALQAtAC0ALQAtAC0ALQAtAC0ALQAtAC0ALQAtAFwAbgAvAC8AUABhAGQAIABhACAARABFAE0AIABtAGEAdAByAGkAeAAgAHQAbwAgAGUAbgBzAHUAcgBlACAAZQBhAGMAaAAgAGMAZQBsAGwAIABoAGEAcwAgAGEAIABmAHUAbABsACAATQBvAG8AcgBlACAAbgBlAGkAZwBoAGIAbwByAGgAbwBvAGQALgBcAG4AXABuAFAAYQBkALsDIAA9AFwAbgBMAEEATQBCAEQAQQAoAFwAbgAgACAAIAAgAG0AYQB0AHIAaQB4ACwAXABuACAAIAAgACAAZABpAG0ALABcAG4AIAAgACAAIABMAEUAVAAoAFwAbgAgACAAIAAgACAAIAAgACAAYQAsAEUAWABQAEEATgBEACgAXAAiAFwAIgAsACwAZABpAG0AKwAyACwAXAAiAFwAIgApACwAXABuACAAIAAgACAAIAAgACAAIABiACwARQBYAFAAQQBOAEQAKABcACIAXAAiACwAZABpAG0ALAAsAFwAIgBcACIAKQAsAFwAbgAgACAAIAAgACAAIAAgACAAcABhAGQAZABlAGQALABWAFMAVABBAEMASwAoAGEALABIAFMAVABBAEMASwAoAGIALABtAGEAdAByAGkAeAAsAGIAKQAsAGEAKQAsAFwAbgAgACAAIAAgACAAIAAgACAAcABhAGQAZABlAGQAKQApADsAXABuAFwAbgAvAC8ALQAtAC0ALQAtAC0ALQAtAC0ALQAtAC0ALQAtAC0ALQAtAC0ALQAtAC0ALQAtAC0ALQAtAC0ALQAtAC0ALQAtAC0ALQAtAC0ALQAtAC0AXABuAC8ALwBDAG8AbwByAGQAaQBuAGEAdABlAHMAuwNcAG4ALwAvAC0ALQAtAC0ALQAtAC0ALQAtAC0ALQAtAC0ALQAtAC0ALQAtAC0ALQAtAC0ALQAtAC0ALQAtAC0ALQAtAC0ALQAtAC0ALQAtAC0ALQAtAFwAbgAvAC8ARwBlAG4AZQByAGEAdABlACAAYQAgAHMAcQB1AGEAcgBlACAAbQBhAHQAcgBpAHgAIABvAGYAIABkAGUAYwBpAG0AYQBsACAAYwBvAG8AcgBkAGkAbgBhAHQAZQBzACAAYgB5ACAAcAByAG8AdgBpAGQAaQBuAGcAIABzAHQAYQByAHQAaQBuAGcAXABuAC8ALwBsAGEAdABpAHQAdQBkAGUAIABhAG4AZAAgAGwAbwBuAGcAaQB0AHUAZABlACAAYwBvAG8AcgBkAGkAbgBhAHQAZQBzAC4AXABuAC8ALwBQAHIAZQBjAGkAcwBpAG8AbgAgAG8AZgAgAGMAbwBvAHIAZABpAG4AYQB0AGUAcwA6ACAAMQAgAG0AXABuAFwAbgBDAG8AbwByAGQAaQBuAGEAdABlAHMAuwMgAD0AXABuAEwAQQBNAEIARABBACgAXABuACAAIAAgACAAbABhAHQAaQB0AHUAZABlACwAIAAgACAALwAvAHMAdABhAHIAdABpAG4AZwAgAGwAYQB0AGkAdAB1AGQAZQBcAG4AIAAgACAAIABsAG8AbgBnAGkAdAB1AGQAZQAsACAAIAAvAC8AcwB0AGEAcgB0AGkAbgBnACAAbABvAG4AZwBpAHQAdQBkAGUAXABuACAAIAAgACAAbgAsACAAIAAgACAAIAAgACAAIAAgACAALwAvAGQAaQBtAGUAbgBzAGkAbwBuAHMAIABvAGYAIABtAGEAdAByAGkAeABcAG4AIAAgACAAIABbAHMAaABhAHAAZQBdACwAIAAgACAAIAAvAC8ASQBmACAAbwBtAGkAdAB0AGUAZAAgAHIAZQB0AHUAcgBuAHMAIABtAGEAdAByAGkAeAAuACAASQBmACAAaQBuAGMAbAB1AGQAZQBkACAAcgBlAHQAdQByAG4AcwAgAHYAZQBjAHQAbwByAC4AXABuACAAIAAgACAAXABuACAAIAAgACAALwAvAFYAYQBsAGkAZABhAHQAZQAgAGkAbgBwAHUAdABzACAAIAAgACAAXABuACAAIAAgACAASQBGACgATwBSACgATgBPAFQAKABBAE4ARAAoAGwAYQB0AGkAdAB1AGQAZQA+AD0ALQA5ADAALABsAGEAdABpAHQAdQBkAGUAPAA9ADkAMAApACkALABcAG4AIAAgACAAIAAgACAAIAAgACAAIABOAE8AVAAoAEEATgBEACgAbABvAG4AZwBpAHQAdQBkAGUAPgA9AC0AMQA4ADAALABsAG8AbgBnAGkAdAB1AGQAZQA8AD0AMQA5ADAAKQApACkALABcACIAIwBDAE8ATwBSAEQASQBOAEEAVABFAFMAIQBcACIALABcAG4AIAAgACAAIABMAEUAVAAoAFwAbgAgACAAIAAgACAAIAAgACAAeAAsACAAbABhAHQAaQB0AHUAZABlACAAKwAgAFMARQBRAFUARQBOAEMARQAoAG4ALAAgACwAIAAwACwAIAAxACkAIAAqACAAMAAuADAAMAAwADIANwAsAFwAbgAgACAAIAAgACAAIAAgACAAeQAsACAAbABvAG4AZwBpAHQAdQBkAGUAIAArACAAUwBFAFEAVQBFAE4AQwBFACgALAAgAG4ALAAgADAALAAgADEAKQAgACoAIAAwAC4AMAAwADAAMwAzACwAXABuACAAIAAgACAAIAAgACAAIABkAGUAbABpAHYAZQByACwASQBGACgASQBTAE8ATQBJAFQAVABFAEQAKABzAGgAYQBwAGUAKQAsAHkAIAAmACAAXAAiACwAXAAiACAAJgAgAHgALABUAE8AQwBPAEwAKAB5ACAAJgAgAFwAIgAsAFwAIgAgACYAIAB4ACkAKQAsAFwAbgAgACAAIAAgACAAIAAgACAAZABlAGwAaQB2AGUAcgBcAG4AIAAgACAAIAAgACAAIAAgACkAKQApADsAXABuAFwAbgAvAC8ALQAtAC0ALQAtAC0ALQAtAC0ALQAtAC0ALQAtAC0ALQAtAC0ALQAtAC0ALQAtAC0ALQAtAC0ALQAtAC0ALQAtAC0ALQAtAC0ALQAtAC0AXABuAC8ALwBTAHUAbQBtAGEAcgBpAHoAZQC7A1wAbgAvAC8ALQAtAC0ALQAtAC0ALQAtAC0ALQAtAC0ALQAtAC0ALQAtAC0ALQAtAC0ALQAtAC0ALQAtAC0ALQAtAC0ALQAtAC0ALQAtAC0ALQAtAC0AXABuAC8ALwBTAHUAbQBtAGEAcgBpAHoAZQAgAHYAaQBzAHUAYQBsAGkAegBhAHQAaQBvAG4AIABzAHAAaQBsAGwALgAgAFUAcwBlAGQAIAB0AG8AIABvAGIAdABhAGkAbgAgAHMAaQBtAHAAbABlACAAbQBlAHQAcgBpAGMAcwAgAGEAdAAgAHMAaABlAGUAdABcAG4ALwAvAGwAZQB2AGUAbAAgAGYAbwByACAAZQBhAGMAaAAgAHYAaQBzAHUAYQBsAGkAegBhAHQAaQBvAG4AIAAoAFQAZQByAHIAYQBpAG4AIABjAGwAYQBzAHMAaQBmAGkAYwBhAHQAaQBvAG4AIABuAG8AdAAgAGkAbgBjAGwAdQBkAGUAZAApAC4AXABuAFwAbgBTAHUAbQBtAGEAcgBpAHoAZQC7AyAAPQBcAG4ATABBAE0AQgBEAEEAKABcAG4AIAAgACAAIAAgACAAIAAgAHYAaQBzAHUAYQBsAGkAegBhAHQAaQBvAG4AXwBkAGEAdABhACwAIAAvAC8AcwBoAGUAZQB0ACAAbABlAHYAZQBsACAAcwBwAGkAbABsAFwAbgAgACAAIAAgAEwARQBUACgAXABuACAAIAAgACAAIAAgACAAIABsAGEAYgBlAGwAcwAsACAAIAAgACAAIAB7AFwAIgBNAEkATgBcACIALAAgAFwAIgBNAEEAWABcACIALAAgAFwAIgBBAFYARwBcACIALAAgAFwAIgBTAFQARABFAFYAXAAiAH0ALABcAG4AIAAgACAAIAAgACAAIAAgAHYAZQBjAHQAbwByACwAIAAgACAAIAAgAFQATwBDAE8ATAAoAHYAaQBzAHUAYQBsAGkAegBhAHQAaQBvAG4AXwBkAGEAdABhACwAIAAyACkALABcAG4AIAAgACAAIAAgACAAIAAgAHMAdQBtAG0AYQByAHkALAAgACAAIAAgAFYAUwBUAEEAQwBLACgAbABhAGIAZQBsAHMALABIAFMAVABBAEMASwAoAE0ASQBOACgAdgBlAGMAdABvAHIAKQAsAE0AQQBYACgAdgBlAGMAdABvAHIAKQAsAFwAbgAgACAAIAAgACAAIAAgACAAIAAgACAAIAAgACAAIAAgACAAIAAgACAAQQBWAEUAUgBBAEcARQAoAHYAZQBjAHQAbwByACkALABTAFQARABFAFYAKAB2AGUAYwB0AG8AcgApACkAKQAsAFwAbgAgACAAIAAgACAAIAAgACAAZABlAGwAaQB2AGUAcgAsACAAIAAgACAASQBGACgAZgBuAF8AaQBuAHAAdQB0AD0AXAAiAEMAbABhAHMAcwBpAGYAeQBcACIALABcACIAXAAiACwASQBGAEUAUgBSAE8AUgAoAHMAdQBtAG0AYQByAHkALABcACIALQBcACIAKQApACwAXABuACAAIAAgACAAIAAgACAAIABkAGUAbABpAHYAZQByAFwAbgAgACAAIAAgACAAIAAgACAAKQApADsAXABuAFwAbgAvAC8ARQByAHIAbwByACAASABhAG4AZABsAGkAbgBnACAAJgAgAFYAYQBsAGkAZABhAHQAaQBvAG4ALQAtAC0ALQAtAC0ALQAtAC0ALQAtAC0ALQAtAC0ALQAtAC0ALQAtAC0ALQAtAC0ALQAtAC0ALQAtAC0ALQAtAC0ALQAtAC0ALQAtAC0ALQAtAC0ALQAtAC0ALQAtAC0ALQAtAC0ALQAtAC0ALQAtAC0ALQAtAFwAbgBcAG4ALwAvAFYAYQBsAGkAZABhAHQAZQC7A1wAbgAvAC8AQwBoAGUAYwBrACAAaQBuAHAAdQB0AHMAIABmAG8AcgAgAFQAZQByAHIAYQBpAG4AuwMuACAAUABsAGUAYQBzAGUAIABzAGUAZQAgAFQAZQByAHIAYQBpAG4AuwMgAGYAbwByACAAcABhAHIAYQBtAGUAdABlAHIAIABkAGUAcwBjAHIAaQBwAHQAaQBvAG4AcwAuAFwAbgBcAG4AVgBhAGwAaQBkAGEAdABlALsDIAA9AFwAbgBMAEEATQBCAEQAQQAoACAAIAAgAFwAbgAgACAAIAAgAEQARQBNACwAIAAgACAAIAAgACAAIAAgACAAIAAgACAAXABuACAAIAAgACAAYwBlAGwAbABzAGkAegBlACwAIAAgACAAIAAgACAAIABcAG4AIAAgACAAIABmAHUAbgBjAHQAaQBvAG4ALAAgACAAIAAgACAAIAAgAFwAbgAgACAAIAAgAFsAYQB6AGkAbQB1AHQAaABdACwAIAAgACAAIAAgACAAXABuACAAIAAgACAAWwBhAGwAdABpAHQAdQBkAGUAXQAsACAAIAAgACAAIABcAG4AIAAgACAAIABbAHoAXwBmAGEAYwB0AG8AcgBdACwAXABuACAAIAAgACAAWwBvAG4AXwB2AGEAbABpAGQAXQAsAFwAbgBcAG4ALwAvAEwAbwBnAGkAYwAgAGcAYQB0AGUAXABuACAAIAAgACAASQBGACgARABFAE0AXwBlAHIAcgBvAHIAPQAgACAAIAAgACAAIAAgACAAIAAgACAAIAAgACAAIAAgACAAIAAgAFwAIgBQAGwAZQBhAHMAZQAgAGkAbgBwAHUAdAAgAEQARQBNAFwAIgAsAFwAIgAjAEQARQBNACEAXAAiACwAXABuACAAIAAgACAASQBGACgAUgBPAFcAUwAoAEQARQBNACkAPAA+AEMATwBMAFUATQBOAFMAKABEAEUATQApACwAIAAgACAAIAAgAFwAIgAjAFMAUQBVAEEAUgBFAC0ATQBBAFQAUgBJAFgAIQBcACIALABcAG4AIAAgACAAIABJAEYAKABOAE8AVAAoAEkAUwBOAFUATQBCAEUAUgAoAGEAegBpAG0AdQB0AGgAKwAwACkAKQAsACAAIAAgACAAXAAiACMAQQBaAEkATQBVAFQASAAhAFwAIgAsAFwAbgAgACAAIAAgAEkARgAoAE4ATwBUACgASQBTAE4AVQBNAEIARQBSACgAYQBsAHQAaQB0AHUAZABlACsAMAApACkALAAgACAAIABcACIAIwBBAEwAVABJAFQAVQBEAEUAIQBcACIALABcAG4AIAAgACAAIABJAEYAKABOAE8AVAAoAEkAUwBOAFUATQBCAEUAUgAoAGMAZQBsAGwAcwBpAHoAZQArADAAKQApACwAIAAgACAAXAAiACMAQwBFAEwATABTAEkAWgBFACEAXAAiACwAXABuACAAIAAgACAASQBGACgATgBPAFQAKABJAFMATgBVAE0AQgBFAFIAKAB6AF8AZgBhAGMAdABvAHIAKwAwACkAKQAsACAAIAAgAFwAIgAjAFoARgBBAEMAVABPAFIAIQBcACIALABcAG4AIAAgACAAIABvAG4AXwB2AGEAbABpAGQAIAAgAFwAbgApACkAKQApACkAKQApADsAXABuAFwAbgAvAC8AUQB1AGEAbABpAHQAeQC7A1wAbgAvAC8AQwBoAGUAYwBrACAAdABoAGUAIABxAHUAYQBsAGkAdAB5ACAAbwBmACAAdABoAGUAIABEAEUATQBfAGkAbgBwAHUAdAAgAG0AYQB0AHIAaQB4ACAAYQBuAGQAIABwAHIAbwB2AGkAZABlACAAcwB1AG0AbQBhAHIAeQAgAHMAdABhAHQAcwAuAFwAbgBcAG4AUQB1AGEAbABpAHQAeQC7AyAAPQBcAG4ATABBAE0AQgBEAEEAKABcAG4AIAAgACAAIAAgACAAIAAgAEQARQBNACwAXABuACAAIAAgACAATABFAFQAKABcAG4AIAAgACAAIAAvAC8AQQBzAHMAaQBnAG4AIABoAGUAYQBkAGUAcgBzAFwAbgAgACAAIAAgACAAIAAgACAAaABlAGEAZABlAHIAXwBhACwAIAAgACAAewBcACIAQQByAHIAYQB5AFwAIgAsAFwAIgBBAGwAbAAgAG4AdQBtAGIAZQByAHMAXAAiACwAXABuACAAIAAgACAAIAAgACAAIAAgACAAIAAgACAAIAAgACAAIAAgACAAIABcACIAUwBxAHUAYQByAGUAIABHAHIAaQBkAD8AXAAiACwAXAAiACcATgBvACAARABhAHQAYQAnACAAZQBuAHQAcgBpAGUAcwBcACIAfQAsAFwAbgAgACAAIAAgACAAIAAgACAAaABlAGEAZABlAHIAXwBiACwAIAAgACAAewBcACIATQBpAG4AIABFAGwAZQB2AGEAdABpAG8AbgBcACIALABcACIATQBhAHgAIABFAGwAZQB2AGEAdABpAG8AbgBcACIALABcAG4AIAAgACAAIAAgACAAIAAgACAAIAAgACAAIAAgACAAIAAgACAAIAAgAFwAIgBBAHYAZwAgAEUAbABlAHYAYQB0AGkAbwBuAFwAIgAsAFwAIgBFAGwAZQB2AGEAdABpAG8AbgAgAEUAbgB0AHIAaQBlAHMAXAAiAH0ALABcAG4AIAAgACAAIAAvAC8AUQB1AGEAbABpAHQAeQAgAGMAaABlAGMAawBzAFwAbgAgACAAIAAgACAAIAAgACAASQBzAEEAcgByAGEAeQA/ACwAIAAgACAASQBGACgAVABZAFAARQAoAEQARQBNACkAPQA2ADQALABcACIA/gBcACIALABcACIAeABcACIAKQAsAFwAbgAgACAAIAAgACAAIAAgACAAbgB1AG0AYgBlAHIAcwAsACAAIAAgACAASQBGACgAQQBOAEQAKABJAFMATgBVAE0AQgBFAFIAKABEAEUATQApACkALABcACIA/gBcACIALABcACIAeABcACIAKQAsAFwAbgAgACAAIAAgACAAIAAgACAAbgBvAF8AZABhAHQAYQAsACAAIAAgACAAUwBVAE0AKABOACgARABFAE0APQBcACIALQA5ADkAOQA5AKAASQBuAHYAYQBsAGkAZABcACIAKQApACwAIAAgACAAIAAgACAAIAAgACAAIAAgACAAIAAgACAAIAAgACAAIAAgACAAIAAgACAAIAAgAFwAbgAgACAAIAAgACAAIAAgACAAZABpAG0AZQBuAHMAaQBvAG4AcwAsACAASQBGACgAUgBPAFcAUwAoAEQARQBNACkAPQBDAE8ATABVAE0ATgBTACgARABFAE0AKQAsAFwAIgD+AFwAIgAsAFwAIgB4AFwAIgApACwAIAAgACAAIAAgACAAXABuACAAIAAgACAAIAAgACAAIABjAGgAZQBjAGsAcwAsACAAIAAgACAAIABIAFMAVABBAEMASwAoAEkAcwBBAHIAcgBhAHkAPwAsAG4AdQBtAGIAZQByAHMALABkAGkAbQBlAG4AcwBpAG8AbgBzACwAbgBvAF8AZABhAHQAYQApACwAXABuACAAIAAgACAALwAvAE8AYgB0AGEAaQBuACAAYQBuAGQAIABkAGUAbABpAHYAZQByACAAcwB0AGEAdABzACAAXABuACAAIAAgACAAIAAgACAAIABzAHQAYQB0AHMALAAgACAAIAAgACAAIABIAFMAVABBAEMASwAoAE0ASQBOACgARABFAE0AKQAsAE0AQQBYACgARABFAE0AKQAsAEEAVgBFAFIAQQBHAEUAKABEAEUATQApACwAQwBPAFUATgBUACgARABFAE0AKQApACwAXABuACAAIAAgACAAIAAgACAAIABkAGUAbABpAHYAZQByACwAIAAgACAAIABWAFMAVABBAEMASwAoAGgAZQBhAGQAZQByAF8AYQAsAGMAaABlAGMAawBzACwAaABlAGEAZABlAHIAXwBiACwAcwB0AGEAdABzACkALAAgACAAIAAgACAAIAAgACAAIAAgACAAIAAgACAAIAAgACAAIAAgAFwAbgAgACAAIAAgACAAIAAgACAAZgBpAG4AYQBsACwAIAAgACAAIAAgACAASQBGAEUAUgBSAE8AUgAoAGQAZQBsAGkAdgBlAHIALABcACIAUABsAGUAYQBzAGUAIABpAG4AcAB1AHQAIABEAEUATQBcACIAKQAsAFwAbgAgACAAIAAgACAAIAAgACAAZgBpAG4AYQBsACkAKQA7AFwAbgBcAG4ALwAvAC0ALQBOAGEAbQBlAGQAIABpAHQAZQBtAHMALQAtAFwAbgAgACAAIAAgAFwAbgAgACAAIAAgAC8ALwBBAHIAcgBhAHkAIABjAG8AbgBzAHQAYQBuAHQAcwAgAHUAcwBlAGQAIAB0AG8AIABsAG8AbwBrAHUAcAAgAHQAZQByAHIAYQBpAG4AIABjAGwAYQBzAHMAIAB0AHkAcABlAHMAIAB0AGgAcgBvAHUAZwBoACAAYQBwAHAAcgBvAHgAaQBtAGEAdABlAFwAbgAgACAAIAAgAC8ALwBtAGEAdABjAGgAaQBuAGcAIABvAGYAIABaAFQAUABJACAAYQBuAGQAIABTAGwAbwBwAGUALgBcAG4AIAAgACAAIABcAG4AIAAgACAAIABTAGMAYQBsAGUAXwBaAFQAUABJACAAPQAgAHsALQAxADsALQAwAC4ANQA7ADAALgA1ADsANQA7ADEAMAB9ADsAXABuACAAIAAgACAAUwBjAGEAbABlAF8AUwBsAG8AcABlACAAPQAgAHsAMAAsADUALAAxADAAMAB9ADsAXABuACAAIAAgACAAQwBsAGEAcwBzAF8AVAB5AHAAZQBzACAAPQAgAHsAXAAiAFAAaQB0AFwAIgAsAFwAIgBWAGEAbABsAGUAeQBcACIALABcACIAVgBhAGwAbABlAHkAXAAiADsAXABuACAAIAAgACAAIAAgACAAIAAgACAAIAAgACAAIAAgACAAIAAgACAAXAAiAEYAbwBvAHQAcwBsAG8AcABlAFwAIgAsAFwAIgBIAG8AbABsAG8AdwBcACIALABcACIASABvAGwAbABvAHcAXAAiADsAXABuACAAIAAgACAAIAAgACAAIAAgACAAIAAgACAAIAAgACAAIAAgACAAXAAiAEYAbABhAHQAXAAiACwAXAAiAFMAbABvAHAAZQBcACIALABcACIAUwBsAG8AcABlAFwAIgA7AFwAbgAgACAAIAAgACAAIAAgACAAIAAgACAAIAAgACAAIAAgACAAIAAgAFwAIgBTAHAAdQByAFwAIgAsAFwAIgBTAGgAbwB1AGwAZABlAHIAXAAiACwAXAAiAFMAaABvAHUAbABkAGUAcgBcACIAOwBcAG4AIAAgACAAIAAgACAAIAAgACAAIAAgACAAIAAgACAAIAAgACAAIABcACIAUABlAGEAawBcACIALABcACIAUgBpAGQAZwBlAFwAIgAsAFwAIgBSAGkAZABnAGUAXAAiAH0AOwBcAG4AXABuACAAIAAgACAALwAvAE8AYgB0AGEAaQBuACAAdABpAHQAbABlACAAYQBuAGQAIABkAGkAbQBlAG4AcwBpAG8AbgBzACAAbwBmACAARABFAE0ALgBcAG4AIAAgACAAIABEAEUATQBfAFQAaQB0AGwAZQAgAD0AIABcAG4AIAAgACAAIABMAEUAVAAoAFwAbgAgACAAIAAgACAAIAAgACAAdABpAHQAbABlACwAIAAgACAAIAAgACAAVABFAFgAVABBAEYAVABFAFIAKABGAE8AUgBNAFUATABBAFQARQBYAFQAKABJAG4AcAB1AHQAIQAkAEcAJAA3ACkALABcACIAPQBcACIALAAsACwALABcACIALQBcACIAKQAsAFwAbgAgACAAIAAgACAAIAAgACAAZABlAG0AXwBkAGUAdABhAGkAbABzACwAWABMAE8ATwBLAFUAUAAoAHQAaQB0AGwAZQAsAEQARQBNAF8ATABpAGIAcgBhAHIAeQAsAEQARQBNAF8ARABlAHQAYQBpAGwAcwAsAFwAIgBcACIAKQAsAFwAbgAgACAAIAAgACAAIAAgACAAbABhAHQAXwBsAG8AbgAsACAAIAAgACAAVABBAEsARQAoAGQAZQBtAF8AZABlAHQAYQBpAGwAcwAsACwAMQApACwAXABuACAAIAAgACAAIAAgACAAIABkAGkAbQAsACAAIAAgACAAIAAgACAAIABUAEEASwBFACgAZABlAG0AXwBkAGUAdABhAGkAbABzACwALAAtADEAKQAsAFwAbgAgACAAIAAgACAAIAAgACAAcwBxAF8AawBtACwAIAAgACAAIAAgACAALQAtAFQARQBYAFQAQgBFAEYATwBSAEUAKABkAGkAbQAsAFwAIgB4AFwAIgAsACwALAAsAFwAIgBcACIAKQAvADIAMAAmAFwAIgAgAHMAcQAgAGsAbQBcACIALABcAG4AIAAgACAAIAAgACAAIAAgAGQAZQBsAGkAdgBlAHIALAAgACAAIAAgAEkARgBFAFIAUgBPAFIAKABWAFMAVABBAEMASwAoAEgAUwBUAEEAQwBLACgAdABpAHQAbABlACwAZABpAG0AKQAsAEgAUwBUAEEAQwBLACgAbABhAHQAXwBsAG8AbgAsAHMAcQBfAGsAbQApACkALABcACIALQBcACIAKQAsAFwAbgAgACAAIAAgACAAIAAgACAAZABlAGwAaQB2AGUAcgApADsAXABuAFwAbgAgACAAIAAgAC8ALwBEAGkAcwBwAGwAYQB5ACAAYwBvAHUAbgB0AHMAIABmAG8AcgAgAFQAZQByAHIAYQBpAG4AIAB0AHkAcABlAHMALgBcAG4AIAAgACAAIAB0AGUAcgByAGEAaQBuAF8AcwB1AG0AbQBhAHIAeQAgAD0AXABuACAAIAAgACAATABFAFQAKABcAG4AIAAgACAAIAAgACAAIAAgAE0ALAAgACAAIAAgACAAIABUAGUAcgByAGEAaQBuALsDKABEAEUATQBfAGkAbgBwAHUAdAAsAGMAZQBsAGwAcwBpAHoAZQBfAGkAbgBwAHUAdAAsACAAXAAiAEMAbABhAHMAcwBpAGYAeQBcACIAKQAsACAAIAAgAC8ALwBPAGIAdABhAGkAbgAgAHQAZQByAHIAYQBpAG4AIABjAGwAYQBzAHMAaQBmAGkAYwBhAHQAaQBvAG4AXABuACAAIAAgACAAIAAgACAAIABWACwAIAAgACAAIAAgACAAVABPAEMATwBMACgARABSAE8AUAAoAEQAUgBPAFAAKABNACwAMQAsADEAKQAsAC0AMQAsAC0AMQApACwAMgApACwAIAAgACAAIAAgACAAIAAgACAAIAAgACAAIAAgACAAIAAgAC8ALwBEAGkAcwBjAGEAcgBkACAAcABhAGQAZABpAG4AZwAgAGEAbgBkACAAcwBoAGEAcABlACAAYQBzACAAdgBlAGMAdABvAHIAXABuACAAIAAgACAAIAAgACAAIABjAGwAZQBhAG4AZQBkACwASQBGACgAVgA9AFwAIgBcACIALABcACIAIABOAG8AIABEAGEAdABhACAAXAAiACwAVgApACwAIAAgACAAIAAgACAAIAAgACAAIAAgACAAIAAgACAAIAAgACAAIAAgACAAIAAgACAAIAAgACAALwAvAFIAZQB0AHUAcgBuACAAXAAiACAATgBvACAARABhAHQAYQAgAFwAIgAgAGkAbgAgAHAAbABhAGMAZQAgAG8AZgAgAGIAbABhAG4AawBzAFwAbgAgACAAIAAgACAAIAAgACAAYQBnAGcALAAgACAAIAAgAEkARgBFAFIAUgBPAFIAKABHAFIATwBVAFAAQgBZACgAYwBsAGUAYQBuAGUAZAAsACAAYwBsAGUAYQBuAGUAZAAsACAAQwBPAFUATgBUAEEALAAsADAAKQAsAFwAIgBcACIAKQAsAFwAbgAgACAAIAAgACAAIAAgACAAYQBnAGcAKQA7AFwAbgAgACAAIAAgAFwAbgAgACAAIAAgAC8ALwBSAGUAdAB1AHIAbgAgAHMAcABpAGwAbAAgAGYAcgBvAG0AIABBAG4AYQBsAHkAegBlACAAcwBoAGUAZQB0ACAAaQBmACAAYwBoAGUAYwBrAGIAbwB4ACAAaQBzACAAYwBoAGUAYwBrAGUAZAAgAG8AbgAgAEUAeABwAG8AcgB0ACAAcwBoAGUAZQB0AC4AXABuACAAIAAgACAARQB4AHAAbwByAHQAIAA9ACAAIAAgACAASQBGAEUAUgBSAE8AUgAoAEkARgAoAEUAeABwAG8AcgB0AD8ALABBAG4AYQBsAHkAegBlACEAJABIACQAMgAjACwAXAAiAC0AXAAiACkALABcACIALQBcACIAKQA7AFwAbgBcAG4AIAAgACAAIAAvAC8ARgB1AG4AYwB0AGkAbwBuAHMAIAAtACAAdQBzAGUAZAAgAGYAbwByACAAbQBhAHQAYwBoAGkAbgBnACAAaQBuACAAVABlAHIAcgBhAGkAbgC7AyAAdABvACAAcAB1AGwAbAAgAHMAcABlAGMAaQBmAGkAZQBkACAAbQBlAHQAcgBpAGMALgBcAG4AIAAgACAAIABGAHUAbgBjAHQAaQBvAG4AcwAgACAAPQAgAHsAXAAiAEEAcwBwAGUAYwB0ACAAKAByAGEAZABpAGEAbgBzACkAXAAiADsAXAAiAEMAbABhAHMAcwBpAGYAeQBcACIAOwBcACIAQwB1AHIAdgBhAHQAdQByAGUAXAAiADsAXABuACAAIAAgACAAIAAgACAAIAAgACAAIAAgACAAIAAgACAAIABcACIARwByAGEAZABpAGUAbgB0ACAATQBhAGcAbgBpAHQAdQBkAGUAXAAiADsAXAAiAEgAaQBsAGwAcwBoAGEAZABlAFwAIgA7AFwAIgBQAHIAbwBmAGkAbABlACAAQwB1AHIAdgBhAHQAdQByAGUAXAAiADsAXABuACAAIAAgACAAIAAgACAAIAAgACAAIAAgACAAIAAgACAAIABcACIAUgBvAHUAZwBoAG4AZQBzAHMAXAAiADsAXAAiAFMAbABvAHAAZQAgACgAZABlAGcAcgBlAGUAcwApAFwAIgA7AFwAIgBTAGwAbwBwAGUAIAAoAHIAYQBkAGkAYQBuAHMAKQBcACIAOwBcACIAWgBUAFAASQBcACIAfQA7AFwAbgAgACAAIAAgAFwAbgAgACAAIAAgAC8ALwBFAHIAcgBvAHIAIAByAGUAcABvAHIAdAAgAGYAbwByACAAQQBuAGEAbAB5AHoAZQAgAHMAaABlAGUAdAAuAFwAbgAgACAAIAAgAEUAcgByAG8AcgBSAGUAcABvAHIAdAAgAD0ASQBGACgATABFAEYAVAAoAEEAbgBhAGwAeQB6AGUAIQAkAEgAJAAyACkAPQBcACIAIwBcACIALABBAG4AYQBsAHkAegBlACEAJABIACQAMgAsAFwAIgAtAFwAIgApADsAXABuACAAIAAgACAAXABuACIAfQAsAHsAIgBwAGEAdABoACIAOgAiAC8AcAByAG8AagBlAGMAdABzAC8ARABFAE0AIgAsACIAdABlAHgAdAAiADoAIgAvAC8ARABFAE0AcwAgAHMAdABvAHIAZQBkACAAYQBzACAAYQByAHIAYQB5ACAAYwBvAG4AcwB0AGEAbgB0AHMAXABuAFwAbgAvAC8AQgBhAGQAbABhAG4AZABzACwAIABTAEQAIAA0ADMALgA4ADUANQA0ACwALQAxADAAMgAuADMAMwA5ADcAXABuAEIAYQBkAGwAYQBuAGQAcwA9AHsAXABuACAAIAAgACAAOAAwADYALgA2ADQALAAgADgAMAA5AC4AMQAsACAAOAAwADkALgAxADYALAAgADgAMAA5AC4AOAA5ACwAIAA4ADEAMAAuADYANwAsACAAOAAxADAALgA3ADIALAAgADgAMQAxAC4AMgAyACwAIAA4ADAAOQAuADIANQAsACAAOAAwADkALgA1ACwAIAA4ADEAMAAuADUAMwAsACAAOAAwADkALgAzADYALAAgADgAMAA5AC4ANQAyACwAIAA4ADAAOAAuADkANgAsACAAOAAxADAALgAyADIALAAgADgAMQAyAC4AMQAzACwAIAA4ADEAMwAuADIAMwAsACAAOAAxADIALgA3ADMALAAgADgAMQAyAC4AOAA0ACwAIAA4ADEAMgAuADgANAAsACAAOAAxADMALgAyADsAXABuACAAIAAgACAAOAAwADgALgA2ADcALAAgADgAMAA5AC4AMwA2ACwAIAA4ADAAOAAuADkANQAsACAAOAAwADgALgA3ADcALAAgADgAMAA5AC4AOAA2ACwAIAA4ADEAMAAuADEAOQAsACAAOAAwADkALgA1ADgALAAgADgAMAA5AC4AMAA0ACwAIAA4ADAAOQAuADIAMQAsACAAOAAwADkALgAyADcALAAgADgAMAA5AC4ANwA2ACwAIAA4ADAAOQAuADMANgAsACAAOAAwADkALgAyADcALAAgADgAMQAwAC4ANQAyACwAIAA4ADEAMAAuADkAOAAsACAAOAAxADEALgA5ACwAIAA4ADEAMgAuADgAMQAsACAAOAAxADIALgA3ADYALAAgADgAMQAzAC4AMQAsACAAOAAxADMALgAxADUAOwBcAG4AIAAgACAAIAA4ADAANQAuADkAOAAsACAAOAAwADYALgA1ADIALAAgADgAMAA3AC4ANAAxACwAIAA4ADAAOAAuADIAOQAsACAAOAAxADAALgAzADUALAAgADgAMQAwAC4ANQA3ACwAIAA4ADAAOAAuADgAOQAsACAAOAAwADkALgAwADIALAAgADgAMAA4AC4AOQA0ACwAIAA4ADAAOQAuADIAOAAsACAAOAAwADkALgA0ADQALAAgADgAMAA4AC4AMAA3ACwAIAA4ADAAOQAuADIAOQAsACAAOAAxADIALgA4ADUALAAgADgAMQAxAC4AMgAsACAAOAAxADMALgA3ACwAIAA4ADEANAAuADIAMwAsACAAOAAxADMALgA0ADIALAAgADgAMQAyAC4AOAAsACAAOAAxADMALgA2ADMAOwBcAG4AIAAgACAAIAA4ADAANQAuADkANgAsACAAOAAwADYALgAxADgALAAgADgAMAA2AC4AMgA4ACwAIAA4ADAANgAuADYANwAsACAAOAAwADgALgA0ADUALAAgADgAMQAwAC4AOAA4ACwAIAA4ADAAOAAuADkANwAsACAAOAAwADgALgA4ADMALAAgADgAMAA4AC4ANwAxACwAIAA4ADAAOAAuADcANgAsACAAOAAwADkALgAzACwAIAA4ADAAOQAuADEAMQAsACAAOAAwADkALgAxADEALAAgADgAMQA0AC4AOAAxACwAIAA4ADEAMgAuADEANQAsACAAOAAxADUALgA3ADUALAAgADgAMQA3AC4AOQA3ACwAIAA4ADEANAAuADgAMgAsACAAOAAxADUALgA5ADYALAAgADgAMQA2AC4AMwA2ADsAXABuACAAIAAgACAAOAAwADYALgAxADgALAAgADgAMAA2AC4AMgA0ACwAIAA4ADAANgAuADUAMgAsACAAOAAwADYALgA4ADcALAAgADgAMAA2AC4ANQA2ACwAIAA4ADAAOQAuADMANAAsACAAOAAxADAALgAwADQALAAgADgAMAA5AC4AMgA3ACwAIAA4ADAAOAAuADcANQAsACAAOAAwADgALgA3ADUALAAgADgAMAA4AC4AOAA0ACwAIAA4ADAAOAAuADkAMQAsACAAOAAxADMALgAzADcALAAgADgAMQA1AC4AMAA3ACwAIAA4ADEAMwAsACAAOAAxADUALgAyADEALAAgADgAMQA2AC4ANQA0ACwAIAA4ADEANgAuADUAMwAsACAAOAAxADkALgAxADgALAAgADgAMgAwAC4AMQAyADsAXABuACAAIAAgACAAOAAwADcALgA0ADcALAAgADgAMAA2AC4AMwA0ACwAIAA4ADAANgAuADYANgAsACAAOAAwADYALgA5ADYALAAgADgAMAA3AC4AMQA2ACwAIAA4ADAANwAuADEAOAAsACAAOAAwADgALgAzADcALAAgADgAMAA4AC4ANgAyACwAIAA4ADAAOAAuADYAOAAsACAAOAAwADcALgA5ADcALAAgADgAMAA3AC4ANAA4ACwAIAA4ADEANgAuADIAOQAsACAAOAAxADYALgAyADMALAAgADgAMQA1AC4AMwA0ACwAIAA4ADEANAAuADIAMwAsACAAOAAxADQALgA0ADkALAAgADgAMQA1AC4AMQA4ACwAIAA4ADEANgAuADgANgAsACAAOAAxADgALgA2ADcALAAgADgAMQA4AC4AOQA1ADsAXABuACAAIAAgACAAOAAwADcALgAwADQALAAgADgAMAA2AC4ANgAyACwAIAA4ADAANgAuADgAMwAsACAAOAAwADcALAAgADgAMAA3AC4AMgA1ACwAIAA4ADAANgAuADQANAAsACAAOAAwADcALgA2ACwAIAA4ADAAOAAuADEAMgAsACAAOAAwADgALgAzADQALAAgADgAMAA4AC4AMQA1ACwAIAA4ADAANwAuADAANQAsACAAOAAxADcALgA4ACwAIAA4ADEANwAuADcAMQAsACAAOAAxADgALgA4ADcALAAgADgAMQA1AC4ANwA3ACwAIAA4ADEANAAuADUAMgAsACAAOAAxADUALgAwADcALAAgADgAMQA3AC4ANwAxACwAIAA4ADEANwAuADIAOQAsACAAOAAxADgALgA4ADUAOwBcAG4AIAAgACAAIAA4ADAAOAAuADEANgAsACAAOAAwADYALgA1ADkALAAgADgAMAA3AC4AMQA3ACwAIAA4ADAANwAuADEAMgAsACAAOAAwADgALgAwADcALAAgADgAMAA3AC4ANQA0ACwAIAA4ADAANwAuADYAMQAsACAAOAAwADcALgA1ADEALAAgADgAMAA4AC4AMAA4ACwAIAA4ADAANwAuADkALAAgADgAMgAwAC4AMwA5ACwAIAA4ADEANwAuADgAMQAsACAAOAAxADcALgA1ADcALAAgADgAMQA3AC4AMAA5ACwAIAA4ADEANQAuADIANAAsACAAOAAxADQALgA5ADYALAAgADgAMQA1AC4AMwA5ACwAIAA4ADEANgAuADQAMQAsACAAOAAxADcALgA4ADcALAAgADgAMQA4AC4AOAA3ADsAXABuACAAIAAgACAAOAAxADEALgA0ADYALAAgADgAMAA2AC4ANgAxACwAIAA4ADAANgAuADgAOAAsACAAOAAwADcALgAzADIALAAgADgAMQAwAC4AMgAyACwAIAA4ADAANwAuADgANQAsACAAOAAwADgALgA0ACwAIAA4ADEAMgAuADgAMgAsACAAOAAxADYALgA3ADEALAAgADgAMQA3AC4AMwA3ACwAIAA4ADEANwAuADgAMwAsACAAOAAxADcALgA5ADMALAAgADgAMQA3AC4ANAAxACwAIAA4ADEANgAuADQANAAsACAAOAAxADUALgA1ADYALAAgADgAMQA1AC4ANQA0ACwAIAA4ADEANgAuADAAMgAsACAAOAAxADcALgA0ADgALAAgADgAMQA3AC4AMwAyACwAIAA4ADEANgAuADQAOwBcAG4AIAAgACAAIAA4ADEAMwAuADEANgAsACAAOAAxADMALgA0ADgALAAgADgAMQAwAC4ANwA1ACwAIAA4ADEAMQAuADAANQAsACAAOAAxADYALgA0ADkALAAgADgAMQA2AC4ANwAyACwAIAA4ADEANgAuADUANQAsACAAOAAxADYALgA4ADUALAAgADgAMQA3AC4AMgAxACwAIAA4ADEANwAuADUAMQAsACAAOAAxADcALgA4ADcALAAgADgAMQA3AC4ANgA5ACwAIAA4ADEANwAuADIANgAsACAAOAAxADcALAAgADgAMQA1AC4AOAA3ACwAIAA4ADEANgAuADEANQAsACAAOAAxADYALgA4ADEALAAgADgAMQA3AC4AMgA2ACwAIAA4ADEANgAuADkANAAsACAAOAAxADYALgA1ADQAOwBcAG4AIAAgACAAIAA4ADEAMwAuADgANAAsACAAOAAxADQALgAwADIALAAgADgAMQA0AC4AOAA2ACwAIAA4ADEANQAuADkAMQAsACAAOAAxADcALgAwADUALAAgADgAMQA3AC4AMwA2ACwAIAA4ADEANwAuADQANgAsACAAOAAxADcALgA2ADgALAAgADgAMQA4AC4AMQA0ACwAIAA4ADEAOAAuADIALAAgADgAMQA3AC4AOQA5ACwAIAA4ADEANwAuADgAOQAsACAAOAAxADcALgA0ADkALAAgADgAMQA2AC4AOAA3ACwAIAA4ADEANgAuADUANwAsACAAOAAxADcALgA4ADUALAAgADgAMQA3AC4ANQA1ACwAIAA4ADEANwAuADIAOAAsACAAOAAxADYALgA4ADkALAAgADgAMQA2AC4ANQAyADsAXABuACAAIAAgACAAOAAxADMALgA1ADMALAAgADgAMQA0AC4AOAA5ACwAIAA4ADEANQAuADcAOQAsACAAOAAxADYALgA1ADUALAAgADgAMQA3AC4AMwA1ACwAIAA4ADEANwAuADgAMwAsACAAOAAxADgALgAxACwAIAA4ADEAOAAuADIAMQAsACAAOAAxADgALgA2ADEALAAgADgAMQA4AC4AMgA3ACwAIAA4ADEAOAAuADEAOAAsACAAOAAxADcALgA1ACwAIAA4ADEANwAuADAAMgAsACAAOAAxADYALgA4ADgALAAgADgAMQA3AC4AMQA0ACwAIAA4ADEANwAuADUALAAgADgAMQA4AC4AMAAzACwAIAA4ADEANwAuADgAMQAsACAAOAAxADYALgA5ADUALAAgADgAMQA1AC4AOAA5ADsAXABuACAAIAAgACAAOAAxADQALgAzADYALAAgADgAMQA1AC4AMgA2ACwAIAA4ADEANQAuADEANQAsACAAOAAxADYALgAxADYALAAgADgAMQA3AC4AMgA3ACwAIAA4ADEANwAuADgANAAsACAAOAAxADgALgA0ADIALAAgADgAMQA4AC4ANgAxACwAIAA4ADEAOAAuADUAOAAsACAAOAAxADgALgAzADEALAAgADgAMQA4AC4AMAA5ACwAIAA4ADEANwAuADYANAAsACAAOAAxADcALgAxADMALAAgADgAMQA3AC4AMQA0ACwAIAA4ADEANwAuADUAMQAsACAAOAAxADcALgA5ACwAIAA4ADEAOAAuADEANgAsACAAOAAxADcALgA4ADYALAAgADgAMQA2AC4ANgA3ACwAIAA4ADEANQAuADkANQA7AFwAbgAgACAAIAAgADgAMQAzAC4ANAAsACAAOAAxADQALgAxADUALAAgADgAMQA1AC4AMwA3ACwAIAA4ADEANgAuADIAOQAsACAAOAAxADcALgAwADIALAAgADgAMQA4AC4AMQAyACwAIAA4ADEAOAAuADIANgAsACAAOAAxADgALgA2ADQALAAgADgAMQA4AC4AOQA1ACwAIAA4ADEAOAAuADcAOQAsACAAOAAxADgALgA0ADUALAAgADgAMQA3AC4ANwA1ACwAIAA4ADEANwAuADQANwAsACAAOAAxADcALgA0ADYALAAgADgAMQA3AC4AOAAxACwAIAA4ADEAOAAuADAANAAsACAAOAAxADcALgA5ADYALAAgADgAMQA2AC4AOQA4ACwAIAA4ADEANgAuADAAOQAsACAAOAAxADUALgA1ADEAOwBcAG4AIAAgACAAIAA4ADEAMgAuADUANgAsACAAOAAxADQALgAxADYALAAgADgAMQA0AC4AOQA3ACwAIAA4ADEANQAuADcANwAsACAAOAAxADYALgA1ADkALAAgADgAMQA3AC4AMAA5ACwAIAA4ADEANwAuADEAOQAsACAAOAAxADcALgA0ADYALAAgADgAMQA3AC4ANwAyACwAIAA4ADEAOAAuADUALAAgADgAMQA4AC4AMAA5ACwAIAA4ADEANwAuADcAOQAsACAAOAAxADgALgAxADYALAAgADgAMQA3AC4AOAA1ACwAIAA4ADEANwAuADgAOQAsACAAOAAxADgALgAyADEALAAgADgAMQA3AC4ANAA5ACwAIAA4ADEANgAuADcAMwAsACAAOAAxADYALAAgADgAMQA1AC4ANgAzADsAXABuACAAIAAgACAAOAAxADMALgAxADkALAAgADgAMQAzAC4ANQA1ACwAIAA4ADEANAAuADEAMwAsACAAOAAxADUALgAxACwAIAA4ADEANQAuADYAMgAsACAAOAAxADYALgAzADMALAAgADgAMQA2AC4ANgAyACwAIAA4ADEANgAuADgANQAsACAAOAAxADcALgA1ADMALAAgADgAMQA3AC4AOQAzACwAIAA4ADEAOAAuADMANAAsACAAOAAxADgALgAwADcALAAgADgAMQA4AC4ANgAsACAAOAAxADgALgA0ADMALAAgADgAMQA4AC4AMgAsACAAOAAxADgALgAxADMALAAgADgAMQA3AC4AMgAsACAAOAAxADYALgA5ADgALAAgADgAMQA2ACwAIAA4ADEANQAuADQAMwA7AFwAbgAgACAAIAAgADgAMQAzAC4ANwAxACwAIAA4ADEANAAuADMANQAsACAAOAAxADQALgA2ACwAIAA4ADEANQAuADAANQAsACAAOAAxADUALgA2ADgALAAgADgAMQA2AC4AMwAxACwAIAA4ADEANgAuADQAOQAsACAAOAAxADYALgA2ADMALAAgADgAMQA3AC4AMAAyACwAIAA4ADEANwAuADUANQAsACAAOAAxADcALgA3ADkALAAgADgAMQA4AC4AMwAyACwAIAA4ADEAOAAuADYAOAAsACAAOAAxADgALgA3ADEALAAgADgAMQA4AC4ANgAxACwAIAA4ADEANwAuADgAMQAsACAAOAAxADYALgA2ADcALAAgADgAMQA2AC4AMQA0ACwAIAA4ADEANQAuADkAMwAsACAAOAAxADYALgAwADMAOwBcAG4AIAAgACAAIAA4ADEANQAuADAAMwAsACAAOAAxADUALgAyADgALAAgADgAMQA1AC4AMQA4ACwAIAA4ADEANQAuADQANwAsACAAOAAxADcALAAgADgAMQA2AC4AMQA4ACwAIAA4ADEANgAuADEANgAsACAAOAAxADYALgA2ADMALAAgADgAMQA3AC4AMwAyACwAIAA4ADEANwAuADIANgAsACAAOAAxADcALgA0ADkALAAgADgAMQA3AC4ANgA5ACwAIAA4ADEAOAAuADIAMgAsACAAOAAxADgALgAzADMALAAgADgAMQA4AC4AMQA2ACwAIAA4ADEANwAuADUANgAsACAAOAAxADYALgA5ADUALAAgADgAMQA2AC4AOAA5ACwAIAA4ADEANgAuADAAOAAsACAAOAAxADUALgA5ADYAOwBcAG4AIAAgACAAIAA4ADEANAAuADkAMwAsACAAOAAxADUALgA4ADcALAAgADgAMQA1AC4ANwA3ACwAIAA4ADEANgAuADAANAAsACAAOAAxADYALgAxADcALAAgADgAMQA1AC4AOQAzACwAIAA4ADEANgAuADQANQAsACAAOAAxADYALgA0ADEALAAgADgAMQA2AC4ANwA1ACwAIAA4ADEANwAuADEAMgAsACAAOAAxADcALgAzADkALAAgADgAMQA3AC4ANwAsACAAOAAxADcALgA5ADEALAAgADgAMQA4AC4AMQA2ACwAIAA4ADEAOAAuADAAOAAsACAAOAAxADcALgA2ADYALAAgADgAMQA2AC4AOQAsACAAOAAxADYALgA0ADgALAAgADgAMQA2AC4AMwAyACwAIAA4ADEANgAuADIANwA7AFwAbgAgACAAIAAgADgAMQA0AC4ANwA2ACwAIAA4ADEANQAuADcANQAsACAAOAAxADUALgAxADIALAAgADgAMQA1AC4AMQAxACwAIAA4ADEANQAuADYALAAgADgAMQA2AC4AMQAzACwAIAA4ADEANwAuADEALAAgADgAMQA3AC4AMQAxACwAIAA4ADEANwAuADMAOAAsACAAOAAxADcALgA0ADEALAAgADgAMQA3AC4ANQA0ACwAIAA4ADEANwAuADcANAAsACAAOAAxADgALgAwADcALAAgADgAMQA4AC4AMwAyACwAIAA4ADEAOAAuADQAMgAsACAAOAAxADcALgA3ADIALAAgADgAMQA3ACwAIAA4ADEANgAuADYANQAsACAAOAAxADYALgA0ADgALAAgADgAMQA2AC4ANAA3AFwAbgB9ADsAXABuAFwAbgBcAG4ALwAvAEYATABvAHIAaQBkAGEAIABFAHYAZQByAGcAbABhAGQAZQBzACAAMgA1AC4AMgA4ADYANgAsAC0AOAAwAC4AOAA5ADgANwBcAG4ARQB2AGUAcgBnAGwAYQBkAGUAcwA9AHsAXABuACAAIAAgACAALQAxAC4ANQAsACAAMAAuADQAMgAsACAALQAxAC4ANQAsACAALQAwAC4AMwA0ACwAIAAwAC4AMQAsACAAMAAuADEAMgAsACAAMAAuADEANAAsACAAMAAuADAAMQAsACAALQAxAC4AMwA0ACwAIAAwAC4AMQA0ACwAIAAwAC4AMgA2ACwAIAAtADAALgA4ACwAIAAtADAALgA4ACwAIAAtADAALgA4ACwAIAAtADAALgA4ACwAIAAtADAALgAwADYALAAgADAALgAxACwAIAAtADAALgA4ADEALAAgAC0AMAAuADgAMQAsACAALQAwAC4AMAAzADsAXABuACAAIAAgACAALQAxAC4ANQAsACAAMAAuADEANwAsACAALQAxAC4ANQAsACAALQAxAC4ANQAsACAALQAxAC4ANQAsACAALQAxAC4ANQAsACAAMAAuADEANwAsACAAMAAuADEAMQAsACAALQAxAC4AMAAyACwAIAAtADAALgA0ADMALAAgADAALgAzADEALAAgADAALgAwADcALAAgADAALAAgAC0AMAAuADgALAAgAC0AMAAuADgALAAgADAALgAxADIALAAgAC0AMAAuADgAMQAsACAALQAwAC4AOAAxACwAIAAtADAALgA4ADEALAAgAC0AMAAuADgAMQA7AFwAbgAgACAAIAAgADAALgAxADMALAAgADAALgAxADkALAAgAC0AMQAuADUALAAgAC0AMQAuADUALAAgAC0AMQAuADUALAAgAC0AMQAuADUALAAgAC0AMQAuADUALAAgAC0AMQAuADUALAAgADAALgAxADgALAAgADAALgAwADIALAAgAC0AMAAuADAAMwAsACAAMAAuADIANAAsACAALQAwAC4AMAA0ACwAIAAwACwAIAAtADAALgAwADgALAAgAC0AMAAuADAAMgAsACAALQAwAC4AOAAxACwAIAAtADAALgA4ADEALAAgAC0AMAAuADgAMQAsACAALQAwAC4AOAAxADsAXABuACAAIAAgACAAMAAuADAAOQAsACAAMAAuADAAMQAsACAAMAAuADIAMgAsACAALQAwAC4ANgAsACAALQAxAC4ANQAsACAAMAAuADEAOQAsACAALQAxAC4ANQAsACAALQAxAC4ANQAsACAALQAxAC4ANQAsACAALQAxAC4ANQAsACAALQAxAC4ANQAsACAALQAxAC4ANQAsACAALQAxAC4ANQAsACAALQAwAC4AMAA3ACwAIAAwAC4AMgAzACwAIAAtADAALgA0ADIALAAgADAALgAyADIALAAgAC0AMAAuADAANQAsACAALQAwAC4AOAAxACwAIAAtADAALgA4ADEAOwBcAG4AIAAgACAAIAAwAC4AMAA3ACwAIAAtADAALgAxACwAIAAwAC4AMQAyACwAIAAtADEALgA1ACwAIAAtADEALgA1ACwAIAAwAC4AMQA1ACwAIAAwAC4AMQAsACAALQAxAC4ANQAsACAALQAxAC4ANQAsACAALQAxAC4ANQAsACAALQAxAC4ANQAsACAALQAxAC4ANQAsACAALQAxAC4ANQAsACAALQAwAC4ANwAyACwAIAAtADAALgAxACwAIAAtADAALgAwADIALAAgADAALgAzADkALAAgAC0AMAAuADAANgAsACAAMAAuADAANgAsACAAMAA7AFwAbgAgACAAIAAgADAALAAgADAALgAwADYALAAgAC0AMQAuADUALAAgADAALgAwADUALAAgADAALgAxADQALAAgADAALgAxADEALAAgAC0AMAAuADYANgAsACAALQAxAC4ANQAsACAALQAxAC4ANQAsACAALQAxAC4ANQAsACAALQAxAC4ANQAsACAALQAxAC4ANQAsACAALQAxAC4ANQAsACAALQAxAC4ANQAsACAAMAAuADMANgAsACAALQAxAC4ANQAsACAALQAxAC4ANQAsACAALQAxAC4ANQAsACAALQAxAC4ANQAsACAALQAwAC4AMQA4ADsAXABuACAAIAAgACAALQAxAC4ANQAsACAAMAAuADIAOAAsACAALQAxAC4ANQAsACAALQAxAC4ANQAsACAALQAxAC4ANQAsACAALQAxAC4ANQAsACAALQAwAC4AMAAyACwAIAAtADEALgA1ACwAIAAtADEALgA1ACwAIAAtADEALgA1ACwAIAAtADEALgA1ACwAIAAtADEALgA1ACwAIAAtADEALgA1ACwAIAAtADEALgA1ACwAIAAtADEALgA1ACwAIAAtADEALgA1ACwAIAAtADEALgA1ACwAIAAtADEALgA1ACwAIAAtADEALgA1ACwAIAAtADEALgA1ADsAXABuACAAIAAgACAALQAxAC4ANAA4ACwAIAAtADEALgA1ACwAIAAtADEALgA1ACwAIAAtADEALgA0ADYALAAgAC0AMQAuADUALAAgAC0AMQAuADUALAAgADAALgAxADUALAAgAC0AMQAuADUALAAgAC0AMQAuADUALAAgAC0AMQAuADUALAAgAC0AMQAuADUALAAgAC0AMQAuADUALAAgAC0AMQAuADUALAAgAC0AMQAuADUALAAgAC0AMQAuADUALAAgAC0AMQAuADUALAAgAC0AMQAuADUALAAgAC0AMQAuADUALAAgAC0AMQAuADUALAAgAC0AMQAuADUAOwBcAG4AIAAgACAAIAAwAC4AMwA2ACwAIAAtADEALgA0ADgALAAgADAALgAwADgALAAgADAALgAwADcALAAgAC0AMQAuADUALAAgAC0AMQAuADUALAAgADAALgAxADkALAAgAC0AMQAuADUALAAgAC0AMQAuADUALAAgAC0AMQAuADUALAAgAC0AMQAuADUALAAgAC0AMQAuADUALAAgAC0AMQAuADUALAAgAC0AMQAuADUALAAgAC0AMQAuADUALAAgAC0AMQAuADUALAAgAC0AMQAuADUALAAgAC0AMQAuADUALAAgAC0AMQAuADUALAAgAC0AMQAuADUAOwBcAG4AIAAgACAAIAAtADEALgA0ACwAIAAtADAALgA0ADIALAAgADAALgAxADYALAAgADAALgAwADUALAAgADAALgAwADMALAAgAC0AMQAuADUALAAgADAALgAwADgALAAgAC0AMQAuADUALAAgAC0AMQAuADUALAAgAC0AMQAuADUALAAgAC0AMQAuADUALAAgAC0AMQAuADUALAAgAC0AMQAuADUALAAgAC0AMQAuADUALAAgAC0AMQAuADUALAAgAC0AMQAuADUALAAgAC0AMQAuADUALAAgAC0AMQAuADUALAAgAC0AMQAuADUALAAgAC0AMQAuADUAOwBcAG4AIAAgACAAIAAtADEALgA1ACwAIAAtADEALgA1ACwAIAAwAC4AMAAyACwAIAAwAC4AMQA3ACwAIAAwAC4AMQA3ACwAIAAwACwAIAAwAC4AMQAyACwAIAAwAC4AMQAzACwAIAAtADEALgA1ACwAIAAtADEALgA1ACwAIAAtADEALgA1ACwAIAAtADEALgA1ACwAIAAtADEALgA1ACwAIAAtADEALgA1ACwAIAAtADEALgA1ACwAIAAtADEALgA1ACwAIAAtADEALgA1ACwAIAAtADEALgA1ACwAIAAtADEALgA1ACwAIAAtADEALgA1ADsAXABuACAAIAAgACAAMAAuADIAMwAsACAAMAAuADAAMgAsACAAMAAuADMALAAgADAALgAxADMALAAgADAALgAxADQALAAgADAALgAxACwAIAAwAC4AMgAyACwAIAAwAC4AMQAxACwAIAAtADEALgA1ACwAIAAtADEALgA1ACwAIAAtADEALgA1ACwAIAAtADEALgA1ACwAIAAtADEALgA1ACwAIAAtADEALgA1ACwAIAAtADEALgA1ACwAIAAtADEALgA1ACwAIAAtADEALgA1ACwAIAAtADEALgA1ACwAIAAtADEALgA1ACwAIAAwAC4AMAA4ADsAXABuACAAIAAgACAAMAAuADIAOQAsACAAMAAuADEAOQAsACAAMAAuADIANAAsACAAMAAuADAAMgAsACAAMAAuADIAMwAsACAAMAAuADEAOQAsACAALQAwAC4AMAAxACwAIAAwAC4AMAA0ACwAIAAwAC4AMgA1ACwAIAAtADEALgAxACwAIAAwAC4AMgA0ACwAIAAtADEALgA1ACwAIAAtADEALgA1ACwAIAAtADEALgA1ACwAIAAtADEALgA1ACwAIAAtADEALgA1ACwAIAAtADAALgAwADYALAAgADAALgA0ADEALAAgAC0AMAAuADAAOAAsACAAMAAuADAAOAA7AFwAbgAgACAAIAAgADAALgAxADMALAAgADAALgAxADIALAAgADAALgAzADEALAAgADAALgAwADIALAAgADAALgAwADEALAAgADAALgAxADQALAAgADAALgAxADQALAAgAC0AMAAuADMANwAsACAALQAwAC4AMAA0ACwAIAAwAC4AMwA5ACwAIAAtADEALgA1ACwAIAAwAC4AMQA3ACwAIAAtADEALgA1ACwAIAAtADEALgA1ACwAIAAtADAALgAyACwAIAAwAC4AMgA4ACwAIAAwAC4AMAAxACwAIAAtADAALgAwADEALAAgADAALgAxACwAIAAwAC4AMwAyADsAXABuACAAIAAgACAALQAwAC4ANAAxACwAIAAtADAALgAzADUALAAgAC0AMAAuADQAMQAsACAAMAAuADAANgAsACAALQAwAC4AMAAzACwAIAAtADAALgAwADUALAAgADAALgAxADcALAAgAC0AMAAuADMANwAsACAALQAwAC4AMwA3ACwAIAAtADAALgAwADgALAAgAC0AMQAuADUALAAgADAALgAwADgALAAgAC0AMQAuADUALAAgAC0AMQAuADUALAAgAC0AMQAuADUALAAgAC0AMQAuADUALAAgAC0AMQAuADUALAAgADAALgAzADQALAAgAC0AMAAuADYANAAsACAAMAA7AFwAbgAgACAAIAAgAC0AMAAuADQAMQAsACAALQAwAC4ANAAxACwAIAAtADAALgA0ADEALAAgADAALgAwADUALAAgAC0AMAAuADEAMQAsACAAMAAuADIANwAsACAAMAAuADEANgAsACAALQAwAC4AMwA3ACwAIAAtADAALgAzADcALAAgAC0AMAAuADAAMwAsACAALQAxAC4ANQAsACAALQAxAC4ANQAsACAALQAxAC4ANQAsACAALQAxAC4ANQAsACAALQAxAC4ANQAsACAALQAxAC4ANQAsACAALQAxAC4ANQAsACAALQAxAC4ANQAsACAALQAxAC4ANAA4ACwAIAAtADAALgAwADkAOwBcAG4AIAAgACAAIAAwAC4AMAA3ACwAIAAtADAALgA0ADEALAAgAC0AMAAuADQAMQAsACAALQAwAC4ANAAxACwAIAAtADAALgA0ADEALAAgADAALgAxADEALAAgAC0AMAAuADMANwAsACAALQAwAC4AMwA3ACwAIAAtADAALgAzADcALAAgADAALgAwADMALAAgAC0AMQAuADUALAAgAC0AMQAuADUALAAgAC0AMQAuADUALAAgAC0AMQAuADUALAAgAC0AMQAuADUALAAgAC0AMQAuADUALAAgAC0AMQAuADUALAAgADAALgAwADQALAAgAC0AMAAuADAAOAAsACAALQAxAC4ANQA7AFwAbgAgACAAIAAgAC0AMAAuADQAMQAsACAALQAwAC4AMwA5ACwAIAAtADAALgA0ADEALAAgAC0AMAAuADQAMQAsACAALQAwAC4ANAAxACwAIAAtADAALgAwADIALAAgADAALgAxADcALAAgAC0AMAAuADMANQAsACAAMAAuADIANQAsACAAMAAuADEANAAsACAALQAxAC4ANQAsACAALQAxAC4ANQAsACAALQAxAC4ANQAsACAALQAxAC4ANQAsACAALQAxAC4ANQAsACAAMAAuADMANwAsACAALQAxAC4ANQAsACAAMAAuADIAMgAsACAAMAAuADQAMgAsACAAMAAuADAAOQA7AFwAbgAgACAAIAAgAC0AMAAuADQAMQAsACAALQAwAC4ANAAxACwAIAAtADAALgA0ADEALAAgAC0AMAAuADQAMQAsACAALQAwAC4AMAAyACwAIAAwAC4AMQAxACwAIAAwAC4AMQA2ACwAIAAwAC4AMgA1ACwAIAAwAC4AMQA1ACwAIAAtADAALgAwADkALAAgAC0AMQAuADUALAAgAC0AMQAuADUALAAgAC0AMQAuADUALAAgAC0AMQAuADUALAAgAC0AMQAuADUALAAgADAALgA1ACwAIAAwAC4AMQA2ACwAIAAwAC4AMAA2ACwAIAAtADAALgAwADgALAAgAC0AMAAuADAANwA7AFwAbgAgACAAIAAgAC0AMAAuADQAMQAsACAALQAwAC4ANAAxACwAIAAtADAALgAwADcALAAgADAALgAzADQALAAgAC0AMAAuADAAOQAsACAAMAAuADEANgAsACAAMAAuADMAOAAsACAAMAAuADIAMwAsACAALQAwAC4AMQAxACwAIAAwAC4AMAAyACwAIAAwAC4AMwAyACwAIAAwAC4ANQAxACwAIAAtADEALgA1ACwAIAAtADEALgA1ACwAIAAwAC4ANAA1ACwAIAAwAC4AMAAyACwAIAAtADAALgAwADIALAAgADAALgAwADkALAAgAC0AMAAuADEANwAsACAALQAwAC4ANwA2AFwAbgB9ADsAXABuAFwAbgAvAC8ARwByAGEAbgBkACAAQwBhAG4AeQBvAG4AIAAtACAAMwA2AC4AMAA1ADQANAAzACwAIAAtADEAMQAyAC4AMQAzADkAMwA0AFwAbgBHAHIAYQBuAGQAQwBhAG4AeQBvAG4AIAA9AHsAXABuACAAIAAgACAAMgAwADkANwAuADkANQAsACAAMgAwADkAOAAuADQAMQAsACAAMgAwADkAOAAuADkANAAsACAAMgAwADkAOAAuADUAOAAsACAAMgAwADkAOAAuADMANwAsACAAMgAwADkAOAAuADcANwAsACAAMgAxADAAMAAuADcANQAsACAAMgAxADAAMwAuADIALAAgADIAMQAwADUALgA4ADYALAAgADIAMQAwADcALgA4ADUALAAgADIAMQAwADkALgA4ADYALAAgADIAMQAxADEALgA0ACwAIAAyADEAMQAyAC4ANgAyACwAIAAyADEAMQAzAC4ANAAsACAAMgAxADEAMwAuADgANwAsACAAMgAxADEAMwAuADgANgAsACAAMgAxADEAMwAuADcALAAgADIAMQAxADQALgAyADUALAAgADIAMQAxADUALgAxADMALAAgADIAMQAxADUALgA2ADIAOwBcAG4AIAAgACAAIAAyADAAOQA2AC4AMwA0ACwAIAAyADAAOQA3AC4AMAA1ACwAIAAyADAAOQA3AC4AMAAzACwAIAAyADAAOQA3AC4AMQA2ACwAIAAyADAAOQA2AC4AOAA4ACwAIAAyADAAOQA3AC4AOAA0ACwAIAAyADAAOQA5AC4ANwA5ACwAIAAyADEAMAAzAC4AMQAzACwAIAAyADEAMAA1AC4AMgA0ACwAIAAyADEAMAA3AC4AMwAsACAAMgAxADAAOQAuADEAMwAsACAAMgAxADEAMAAuADIAMgAsACAAMgAxADEAMQAsACAAMgAxADEAMQAuADEAOAAsACAAMgAxADEAMAAuADgAMQAsACAAMgAxADEAMAAuADQANAAsACAAMgAxADEAMAAuADcANwAsACAAMgAxADEAMQAuADQANAAsACAAMgAxADEAMgAuADEAMgAsACAAMgAxADEANAAuADIANgA7AFwAbgAgACAAIAAgADIAMAA5ADQALgA3ACwAIAAyADAAOQA1AC4ANQA0ACwAIAAyADAAOQA1AC4ANgAzACwAIAAyADAAOQA1AC4ANgA5ACwAIAAyADAAOQA1AC4AOAA4ACwAIAAyADAAOQA3AC4AMwA2ACwAIAAyADAAOQA5AC4ANwAyACwAIAAyADEAMAAyAC4AOAAsACAAMgAxADAANQAuADEANQAsACAAMgAxADAANgAuADgANwAsACAAMgAxADAAOAAuADIAMgAsACAAMgAxADAAOQAuADMANAAsACAAMgAxADAAOQAuADAAMQAsACAAMgAxADAAOAAuADAANQAsACAAMgAxADAANwAuADcAMgAsACAAMgAxADAAOAAuADIAMgAsACAAMgAxADAAOAAuADUAOAAsACAAMgAxADAAOQAuADMANAAsACAAMgAxADEAMAAuADAAOQAsACAAMgAxADEAMQAuADcAMQA7AFwAbgAgACAAIAAgADIAMAA5ADMALgA0ADcALAAgADIAMAA5ADQALgAxADMALAAgADIAMAA5ADQALgAzADIALAAgADIAMAA5ADQALgA1ADgALAAgADIAMAA5ADUALgA1ADMALAAgADIAMAA5ADcALgAyADgALAAgADIAMAA5ADkALgAxACwAIAAyADEAMAAxAC4ANQA5ACwAIAAyADEAMAA0AC4AMgAyACwAIAAyADEAMAA1AC4AOAA2ACwAIAAyADEAMAA2AC4AOQAsACAAMgAxADAANwAuADEANgAsACAAMgAxADAANQAuADUANwAsACAAMgAxADAANQAuADYAMQAsACAAMgAxADAANgAuADAAMwAsACAAMgAxADAANgAuADAAMQAsACAAMgAxADAANgAuADkALAAgADIAMQAwADcALgA2ADIALAAgADIAMQAwADgALgA4ADEALAAgADIAMQAwADkALgA4ADUAOwBcAG4AIAAgACAAIAAyADAAOQAxAC4ANgAsACAAMgAwADkAMwAuADEANgAsACAAMgAwADkAMwAuADEANAAsACAAMgAwADkAMwAuADUAMQAsACAAMgAwADkANAAuADMANQAsACAAMgAwADkANgAuADAANAAsACAAMgAwADkANwAuADgANwAsACAAMgAwADkAOQAuADQANwAsACAAMgAxADAAMQAuADIANQAsACAAMgAxADAAMwAuADUAMwAsACAAMgAxADAAMwAuADgANgAsACAAMgAxADAAMwAuADMAOAAsACAAMgAxADAAMwAuADQANgAsACAAMgAxADAAMwAuADkANAAsACAAMgAxADAAMwAuADkAMQAsACAAMgAxADAANAAuADUAMQAsACAAMgAxADAANQAuADMAMwAsACAAMgAxADAANgAuADYAMgAsACAAMgAxADAANwAuADQAMgAsACAAMgAxADAAOAAuADEAMQA7AFwAbgAgACAAIAAgADIAMAA4ADkALgAyADUALAAgADIAMAA5ADAALgA0ADYALAAgADIAMAA5ADAALgAzADUALAAgADIAMAA5ADEALgA0ADIALAAgADIAMAA5ADMALgAzADgALAAgADIAMAA5ADQALgA5ADIALAAgADIAMAA5ADYALgAzADcALAAgADIAMAA5ADcALgA4ACwAIAAyADAAOQA5AC4AMgA4ACwAIAAyADEAMAAwAC4ANwAzACwAIAAyADEAMAAxAC4AMwA5ACwAIAAyADEAMAAxAC4ANQA1ACwAIAAyADEAMAAwAC4ANwAxACwAIAAyADEAMAAxAC4AOAAyACwAIAAyADEAMAAyAC4ANAAsACAAMgAxADAAMgAuADgANAAsACAAMgAxADAAMwAuADcANQAsACAAMgAxADAANAAuADcANwAsACAAMgAxADAANQAuADcAOAAsACAAMgAxADAANQAuADkAOAA7AFwAbgAgACAAIAAgADIAMAA4ADkALgA5ADcALAAgADIAMAA5ADAALgA1ADkALAAgADIAMAA5ADEALgAwADcALAAgADIAMAA5ADEALgAzADgALAAgADIAMAA5ADIALgAwADcALAAgADIAMAA5ADIALgA0ADkALAAgADIAMAA5ADUALgAwADYALAAgADIAMAA5ADYALgA1ADkALAAgADIAMAA5ADgALgAxADIALAAgADIAMAA5ADkALgAyACwAIAAyADAAOQA4AC4AOQA3ACwAIAAyADAAOQA5AC4ANAA3ACwAIAAyADAAOQA5AC4AMwA4ACwAIAAyADAAOQA5AC4ANAAyACwAIAAyADAAOQA5AC4AOAA2ACwAIAAyADEAMAAwAC4AMgA5ACwAIAAyADEAMAAwAC4AOQA0ACwAIAAyADEAMAAxAC4ANwA0ACwAIAAyADEAMAAyAC4ANQA0ACwAIAAyADEAMAAyAC4ANgA0ADsAXABuACAAIAAgACAAMgAwADkANQAuADMAMQAsACAAMgAwADkANQAuADUANAAsACAAMgAwADkANgAsACAAMgAwADkAMgAuADkAOQAsACAAMgAwADkAMgAuADAAOAAsACAAMgAwADkAMgAuADYAOQAsACAAMgAwADkAMwAuADQAMwAsACAAMgAwADkAMwAuADQAOAAsACAAMgAwADkANQAuADAAMQAsACAAMgAwADkANAAuADUAOAAsACAAMgAwADkANwAsACAAMgAwADkANwAuADQANQAsACAAMgAwADkANwAuADAAMwAsACAAMgAwADkANwAuADUAMQAsACAAMgAwADkANwAuADkANgAsACAAMgAwADkANwAuADYANQAsACAAMgAwADkAOAAuADAAOQAsACAAMgAwADkAOAAuADYAMgAsACAAMgAwADkAOAAuADQANwAsACAAMgAwADkAOQA7AFwAbgAgACAAIAAgADIAMAA5ADkALgAxADgALAAgADIAMAA5ADkALgA3ADIALAAgADIAMAA5ADgALgA5ADUALAAgADIAMAA5ADkALgA4ACwAIAAyADAAOQA3AC4AMAA1ACwAIAAyADAAOQA1AC4AMwAyACwAIAAyADAAOQAzAC4ANAA4ACwAIAAyADAAOQAzAC4ANgA0ACwAIAAyADAAOQA0AC4AMgA2ACwAIAAyADAAOQA0AC4ANgAsACAAMgAwADkANQAsACAAMgAwADkANQAuADgANAAsACAAMgAwADkANwAsACAAMgAwADkANwAuADMANwAsACAAMgAwADkANwAuADUANwAsACAAMgAwADkANwAuADcAOQAsACAAMgAwADkAOAAuADAAMQAsACAAMgAwADkAOAAuADIANAAsACAAMgAwADkAOAAuADcANwAsACAAMgAwADkAOQAuADEAMwA7AFwAbgAgACAAIAAgADIAMAA5ADkALgA5ADcALAAgADIAMQAwADEALgAxADUALAAgADIAMQAwADEALgA4ACwAIAAyADEAMAAyAC4ANQA3ACwAIAAyADEAMAAyAC4AMAA4ACwAIAAyADEAMAAwAC4ANQA3ACwAIAAyADAAOQA3AC4AMQA3ACwAIAAyADAAOQA0AC4AOAA3ACwAIAAyADAAOQA0AC4AOAAsACAAMgAwADkANQAuADYAMQAsACAAMgAwADkANgAuADgANwAsACAAMgAwADkANwAuADUAMQAsACAAMgAwADkAOAAuADgANwAsACAAMgAxADAAMAAuADcANwAsACAAMgAxADAAMgAuADgAOAAsACAAMgAxADAANAAuADcANQAsACAAMgAxADAANwAuADUAOAAsACAAMgAxADAANwAuADYANQAsACAAMgAxADAANwAuADMAMgAsACAAMgAxADAANwAuADUAOAA7AFwAbgAgACAAIAAgADIAMAA4ADkALgA3ADMALAAgADIAMQAwADEALgA2ADkALAAgADIAMQAwADIALgA5ADYALAAgADIAMQAwADMALgA4ADgALAAgADIAMQAwADQALgAyADYALAAgADIAMQAwADQALgA0ADEALAAgADIAMQAwADIALgA5ADQALAAgADIAMQAwADEALgA3ADMALAAgADIAMQAwADAALgA4ADgALAAgADIAMAA5ADkALgA0ADYALAAgADIAMQAwADEALgA4ACwAIAAyADEAMAAzAC4ANwAsACAAMgAxADAANgAuADAANgAsACAAMgAxADAAOAAuADgAMQAsACAAMgAxADEAMQAuADAAOQAsACAAMgAxADEAMwAuADIAMwAsACAAMgAxADEAMwAuADkANQAsACAAMgAxADEAMwAuADkANwAsACAAMgAxADEAMwAuADYAMQAsACAAMgAxADEAMwAuADYAMwA7AFwAbgAgACAAIAAgADIAMAA1ADYALgA0ADMALAAgADIAMAA2ADcALgAyADgALAAgADIAMAA5ADgALgAxADcALAAgADIAMQAwADQALgA2ADQALAAgADIAMQAwADUALgA0ADgALAAgADIAMQAwADUALgA5ADUALAAgADIAMQAwADYALgAzADEALAAgADIAMQAwADcALgAxADEALAAgADIAMQAwADYALgA4ADMALAAgADIAMQAwADcALgAyADMALAAgADIAMQAwADgALgAwADEALAAgADIAMQAxADAALgAzADcALAAgADIAMQAxADEALgA4ADIALAAgADIAMQAxADMALgA2ACwAIAAyADEAMQA0AC4ANAAyACwAIAAyADEAMQA1AC4AMgA1ACwAIAAyADEAMQA1AC4AOAA3ACwAIAAyADEAMQA2AC4AMgAxACwAIAAyADEAMQA1AC4AOAAyACwAIAAyADEAMQA1AC4AOQA0ADsAXABuACAAIAAgACAAMgAwADIAOAAuADIAMgAsACAAMgAwADQAOAAuADQALAAgADIAMAA3ADIALgAzADYALAAgADIAMQAwADQALgA3ADEALAAgADIAMQAwADYALgAwADYALAAgADIAMQAwADcALgA0ADkALAAgADIAMQAwADcALgA4ADUALAAgADIAMQAwADgALgAzADIALAAgADIAMQAwADkALgAwADQALAAgADIAMQAwADkALgA5ADMALAAgADIAMQAxADEALgAwADIALAAgADIAMQAxADIALgA0ACwAIAAyADEAMQAzAC4AOAAsACAAMgAxADEANQAuADAANwAsACAAMgAxADEANgAuADkALAAgADIAMQAxADkALgAyACwAIAAyADEAMgAwAC4AMgA1ACwAIAAyADEAMgAwAC4AMAA1ACwAIAAyADEAMQA5AC4ANAA0ACwAIAAyADEAMQAwAC4AMwA1ADsAXABuACAAIAAgACAAMgAwADAANAAuADYAOQAsACAAMgAwADIANQAuADQAMgAsACAAMgAwADcANQAuADIAMgAsACAAMgAwADgANQAuADcAMwAsACAAMgAwADkAMgAuADUAMwAsACAAMgAxADAANwAuADMAOQAsACAAMgAxADAAOAAuADUAMQAsACAAMgAxADAAOQAuADEAMgAsACAAMgAxADAAOQAuADkAOQAsACAAMgAxADEAMQAuADEANgAsACAAMgAxADEAMgAuADIAOAAsACAAMgAxADEAMwAuADEAMQAsACAAMgAxADEAMgAuADUAMwAsACAAMgAxADEANgAuADMALAAgADIAMQAxADAALgAxACwAIAAyADAAOQAyAC4AMQA2ACwAIAAyADAAOQAzAC4ANQA5ACwAIAAyADAAOQA3AC4AMQA1ACwAIAAyADEAMQA1AC4AMwA2ACwAIAAyADEAMQAwAC4ANgAzADsAXABuACAAIAAgACAAMQA5ADkAMAAuADMANwAsACAAMgAwADEAMAAuADUAMgAsACAAMgAwADMAMAAuADcAMQAsACAAMgAwADUAMwAuADIAOQAsACAAMgAwADcANAAuADMANwAsACAAMgAwADkAOQAuADEALAAgADIAMAA4ADQALgAxADEALAAgADIAMAA4ADkALgA0ADgALAAgADIAMQAxADAALgA0ADkALAAgADIAMQAwADQALgA5ADEALAAgADIAMAA5ADEALgAxADUALAAgADIAMAA3ADIALgAyADkALAAgADIAMAA3ADcALgA3ADgALAAgADIAMQAwADYALgA2ADYALAAgADIAMAA1ADUALgAyADUALAAgADIAMAA0ADIALgA0ADcALAAgADIAMAA0ADIALgA0ADcALAAgADIAMAA1ADUALgA3ADMALAAgADIAMAA2ADQALgA1ADQALAAgADIAMAA1ADEALgA5ADsAXABuACAAIAAgACAAMQA5ADcANwAuADgANAAsACAAMQA5ADkANAAuADMANQAsACAAMgAwADEANAAuADAAOQAsACAAMgAwADMAMAAuADIANwAsACAAMgAwADUAMQAuADUANAAsACAAMgAwADYANwAuADIANgAsACAAMgAwADMANAAuADQAOAAsACAAMgAwADQAMAAuADUAMgAsACAAMgAwADkAMQAuADIAMQAsACAAMgAwADMAMAAuADYAMgAsACAAMgAwADIANAAuADYAMQAsACAAMgAwADIANwAuADgAOQAsACAAMgAwADIAOQAuADcAMwAsACAAMgAwADUAMQAuADgANQAsACAAMgAwADIANgAuADgANgAsACAAMgAwADEANgAuADkAMgAsACAAMgAwADEANgAuADQANgAsACAAMgAwADEAOQAuADkAMgAsACAAMgAwADEAMQAuADMAOAAsACAAMgAwADEAMQAuADAAOQA7AFwAbgAgACAAIAAgADEAOQA2ADYALgA0ADEALAAgADEAOQA4ADEALgA1ADMALAAgADEAOQA5ADgALgA1ADMALAAgADIAMAAxADQALgAwADIALAAgADIAMAAyADQALAAgADIAMAAwADkALgAyADkALAAgADIAMAAwADcALgA4ADkALAAgADIAMAAxADkALgAwADUALAAgADIAMAAyADgALgAxADYALAAgADIAMAAwADcALgAxADUALAAgADEAOQA5ADkALgA1ADUALAAgADIAMAAwADQALgAwADgALAAgADIAMAAwADYALgAxADEALAAgADIAMAAxADIALgA1ADUALAAgADIAMAAwADcALgA1ADMALAAgADEAOQA5ADMALgA5ADcALAAgADEAOQA5ADMALgA4ADQALAAgADIAMAAwADEALgA1ADcALAAgADEAOQA4ADkALgA5ADcALAAgADEAOQA4ADcALgA5ADMAOwBcAG4AIAAgACAAIAAxADkANQAxAC4AMwAyACwAIAAxADkANgA4AC4ANgAyACwAIAAxADkAOAAzAC4ANgAsACAAMQA5ADkAMAAuADEAOAAsACAAMQA5ADkAMgAuADYANQAsACAAMQA5ADgANAAuADQAMQAsACAAMQA5ADgANQAuADgANQAsACAAMgAwADAAMQAuADAAMQAsACAAMgAwADEAMQAuADEAMgAsACAAMQA5ADkAMAAuADAANwAsACAAMQA5ADcANgAuADYANAAsACAAMQA5ADgANQAuADgAMQAsACAAMQA5ADgAMgAuADYAOQAsACAAMQA5ADkAMgAuADkAMwAsACAAMQA5ADkANQAuADUAMgAsACAAMQA5ADcANQAuADcANwAsACAAMQA5ADcANAAuADMAMwAsACAAMQA5ADgANAAuADIAOQAsACAAMQA5ADcANAAuADQAMwAsACAAMQA5ADcAMQAuADEANwA7AFwAbgAgACAAIAAgADEAOQAzADMALgAwADkALAAgADEAOQA1ADQALgA1ADQALAAgADEAOQA0ADkALgA2ADgALAAgADEAOQA2ADUALgA3ADcALAAgADEAOQA3ADEALgAyADgALAAgADEAOQA2ADQALgA2ACwAIAAxADkANgA3AC4ANgA4ACwAIAAxADkAOAA0AC4AMgA0ACwAIAAxADkAOQAxAC4AOAA5ACwAIAAxADkAOAAwAC4ANwA0ACwAIAAxADkANQA2AC4AMgA3ACwAIAAxADkANwA2AC4AOAAyACwAIAAxADkANQA4AC4ANgAzACwAIAAxADkAOAAxAC4ANgA5ACwAIAAxADkAOAAxAC4AMwAsACAAMQA5ADUANQAuADcANwAsACAAMQA5ADQAOQAuADUAOAAsACAAMQA5ADUANwAuADEANwAsACAAMQA5ADQAMAAuADEALAAgADEAOQAwADIALgA1ADYAOwBcAG4AIAAgACAAIAAxADgANwAwAC4AMgA4ACwAIAAxADkAMQA5AC4AMwA3ACwAIAAxADkAMAA5AC4AMgAsACAAMQA5ADMANAAuADAAOAAsACAAMQA5ADIAOAAuADcALAAgADEAOQAzADQALgA3ADQALAAgADEAOQA2ADYALgA3ADYALAAgADEAOQA3ADYALgAzADkALAAgADEAOQA3ADIALgA0ADkALAAgADEAOQA1ADAALgA0ADQALAAgADEAOQAzADAALgA3ADEALAAgADEAOQAxADQALgA2ADUALAAgADEAOQA0ADAALgAzADEALAAgADEAOQA0ADIALgAwADUALAAgADEAOQA1ADMALgA2ADMALAAgADEAOAA0ADIALgAxADUALAAgADEAOAAxADYALgA4ADkALAAgADEAOQAyADgALgA2ADcALAAgADEAOAAxADEALgA2ADUALAAgADEAOAAwADIALgAwADYAXABuAH0AOwBcAG4AXABuAC8ALwBPAGwAeQBtAHAAaQBjACAAUABlAG4AaQBuAHMAdQBsAGEALAAgAFcAQQAgADQANwAuADgAMAAyADEALAAtADEAMgAzAC4ANgAwADQANABcAG4AXABuAE8AbAB5AG0AcABpAGMAUABlAG4AaQBuAHMAdQBsAGEAPQB7AFwAbgAgACAAIAAgADEAMwAxADcALgA2ACwAIAAxADMAMgA3AC4AMQA1ACwAIAAxADMAMwA4AC4ANQAzACwAIAAxADMANgA3AC4ANwA4ACwAIAAxADMAOAA5AC4AOAAyACwAIAAxADQAMQA0AC4AMAAyACwAIAAxADQAMgA4ACwAIAAxADQAMwA1AC4AOAA4ACwAIAAxADQANAA4AC4ANQA0ACwAIAAxADQANgAzAC4AMwA0ACwAIAAxADQAOAAyAC4ANQA4ACwAIAAxADQAOQAwAC4ANwA2ACwAIAAxADQAOAA1AC4AMQAyACwAIAAxADQANwAzAC4AMgAsACAAMQA0ADcAMQAuADAAMgAsACAAMQA0ADcAMwAuADQANAAsACAAMQA0ADcAOAAuADgANAAsACAAMQA0ADkAMgAsACAAMQA1ADAAMQAuADEAMgAsACAAMQA1ADAAMgAuADUANAA7AFwAbgAgACAAIAAgADEAMwAxADEALgAzADkALAAgADEAMwAyADEALgAwADMALAAgADEAMwAzADMALgAwADUALAAgADEAMwA1ADkALgAwADYALAAgADEAMwA4ADYALgA1ACwAIAAxADQAMQAwAC4ANwA2ACwAIAAxADQAMgA1AC4ANAA2ACwAIAAxADQAMwA4AC4AMAA4ACwAIAAxADQANAA5AC4AMwA1ACwAIAAxADQANwAwAC4AMAAyACwAIAAxADQAOAA1AC4ANwAyACwAIAAxADQAOAAwAC4AOQA0ACwAIAAxADQANgA2AC4AMgAsACAAMQA0ADYANAAuADQAOAAsACAAMQA0ADYAOAAuADgAMgAsACAAMQA0ADcAMgAuADUAMgAsACAAMQA0ADcANgAsACAAMQA0ADkAMAAuADAANAAsACAAMQA0ADkAMQAuADUALAAgADEANAA5ADUALgA5ADIAOwBcAG4AIAAgACAAIAAxADMAMAAxAC4ANwA4ACwAIAAxADMAMAA5AC4AMgA5ACwAIAAxADMAMgAyAC4AMwA1ACwAIAAxADMANAAyAC4ANgA2ACwAIAAxADMANwAwAC4AOAA0ACwAIAAxADQAMAA1AC4ANAAsACAAMQA0ADIAMwAuADgANAAsACAAMQA0ADMANAAuADQALAAgADEANAA1ADEALgAyACwAIAAxADQANgA3AC4ANwAsACAAMQA0ADUAOQAuADUALAAgADEANAA1ADEALgA4ACwAIAAxADQANQA0AC4ANQAyACwAIAAxADQANQA5AC4ANQA0ACwAIAAxADQANgA1AC4AMQA4ACwAIAAxADQANgA4AC4AOAAsACAAMQA0ADcAMgAuADEANgAsACAAMQA0ADcANgAuADUANAAsACAAMQA0ADgANAAuADMAMgAsACAAMQA0ADgANwAuADUANgA7AFwAbgAgACAAIAAgADEAMgA5ADcALgA5ADkALAAgADEAMwAwADUALgA1ADEALAAgADEAMwAxADcALgA4ADUALAAgADEAMwAzADQALgA2ADMALAAgADEAMwA1ADQALgAxADcALAAgADEAMwA4ADgALgAxADMALAAgADEANAAwADQALgA0ADkALAAgADEANAAxADUALgAwADUALAAgADEANAAyADUALgA3ACwAIAAxADQAMgA0AC4AOAAsACAAMQA0ADIANwAuADQANQAsACAAMQA0ADIANgAuADYANwAsACAAMQA0ADMAMwAuADEAOQAsACAAMQA0ADQANQAuADgAOQAsACAAMQA0ADUANAAuADEAOAAsACAAMQA0ADYANAAuADMALAAgADEANAA2ADgALgA3ADYALAAgADEANAA3ADUALgA3ADkALAAgADEANAA3ADUALgAzADcALAAgADEANAA4ADEALgA2ADIAOwBcAG4AIAAgACAAIAAxADIAOQA2AC4AOQAxACwAIAAxADMAMAA1AC4ANgA1ACwAIAAxADMAMQA0AC4ANwA5ACwAIAAxADMAMgA2AC4AMgAzACwAIAAxADMAMwA2AC4AOAA5ACwAIAAxADMANQAxAC4AMQA5ACwAIAAxADMANwAxAC4ANAAzACwAIAAxADMAOAAyAC4AMQAzACwAIAAxADMAOAA5AC4AMQA2ACwAIAAxADMAOQAxAC4ANQAsACAAMQAzADkANQAuADEAMQAsACAAMQAzADkAOQAuADkAMwAsACAAMQA0ADEAMQAuADQANQAsACAAMQA0ADEAOAAuADUAMwAsACAAMQA0ADMANgAuADkANgAsACAAMQA0ADUANAAuADgANAAsACAAMQA0ADYAMQAuADAAMgAsACAAMQA0ADYANgAuADYAMwAsACAAMQA0ADcANAAuADMAMwAsACAAMQA0ADgAMAAuADkAMgA7AFwAbgAgACAAIAAgADEAMgA5ADMALgAyADMALAAgADEAMwAwADIALgA4ADEALAAgADEAMwAxADAALgAyADEALAAgADEAMwAxADkALgA3ADEALAAgADEAMwAyADYALgA5ADUALAAgADEAMwAzADYALgA3ADUALAAgADEAMwA0ADgALgA4ADEALAAgADEAMwA1ADYALgA2ADEALAAgADEAMwA2ADAALgA3ADYALAAgADEAMwA2ADIALgA2ADQALAAgADEAMwA3ADIALgA2ADEALAAgADEAMwA4ADMALgA4ADMALAAgADEAMwA5ADcALgA4ADkALAAgADEANAAwADkALgA2ADEALAAgADEANAAzADAALgA2ADIALAAgADEANAA0ADQALgA5ADQALAAgADEANAA1ADUALAAgADEANAA2ADcALgAwADUALAAgADEANAA3ADMALgAyADEALAAgADEANAA3ADgALgAxADYAOwBcAG4AIAAgACAAIAAxADIAOAA5AC4AMgAxACwAIAAxADIAOQA2AC4AMAA5ACwAIAAxADMAMAAzAC4ANAA3ACwAIAAxADMAMQAyAC4AMAA4ACwAIAAxADMAMQA5AC4AMQAyACwAIAAxADMAMgA4AC4ANgA4ACwAIAAxADMAMwA1AC4ANQAyACwAIAAxADMANAAyAC4AMgA4ACwAIAAxADMANQA4AC4ANgA0ACwAIAAxADMANwAyAC4AMQA4ACwAIAAxADMAOQA1AC4AMQA3ACwAIAAxADQAMAA1AC4AMQA1ACwAIAAxADQAMgAzAC4AOQA5ACwAIAAxADQAMwA5AC4ANAA1ACwAIAAxADQANgAyAC4AMAAxACwAIAAxADQANwA2AC4AMQA3ACwAIAAxADQANwA2AC4AMQAzACwAIAAxADQANwA5AC4AMgAzACwAIAAxADQAOAAzAC4AMgA5ACwAIAAxADQAOAA1AC4ANgAxADsAXABuACAAIAAgACAAMQAyADkAMAAuADkAOQAsACAAMQAzADAAMgAuADYANwAsACAAMQAzADAAOAAuADUANwAsACAAMQAzADEAOQAuADMAMgAsACAAMQAzADIANQAuADcANgAsACAAMQAzADMAMgAuADYALAAgADEAMwA0ADkALgAxADIALAAgADEAMwA2ADIALgAyACwAIAAxADMANwA2AC4ANwA2ACwAIAAxADMAOQA1AC4ANAAsACAAMQA0ADEAMgAuADUAMwAsACAAMQA0ADIANQAuADUAMwAsACAAMQA0ADUAMwAuADAAOQAsACAAMQA0ADYAMgAuADAAMwAsACAAMQA0ADgAMAAuADQAMQAsACAAMQA0ADkANQAuADMANwAsACAAMQA0ADkANwAuADUAOQAsACAAMQA0ADkAOQAuADAANwAsACAAMQA1ADAAMwAuADUAMQAsACAAMQA1ADAAMAAuADEAOQA7AFwAbgAgACAAIAAgADEAMwAwADAALgA4ADEALAAgADEAMwAxADIALgA0ADcALAAgADEAMwAxADkALgA5ADcALAAgADEAMwAzADMALgA2ADQALAAgADEAMwA0ADMALgA3ADQALAAgADEAMwA0ADkALgA2ADQALAAgADEAMwA3ADAALgAxADgALAAgADEAMwA4ADIALgAyADgALAAgADEAMwA5ADcALgAxADgALAAgADEANAAwADYALgA0ADQALAAgADEANAAyADUALgAyADMALAAgADEANAA0ADEALgAwADkALAAgADEANAA2ADMALgAyADEALAAgADEANAA3ADUALgA4ADEALAAgADEANAA4ADkALgA2ADMALAAgADEANQAwADUALgA3ADEALAAgADEANQAwADcALgAwADUALAAgADEANQAwADUALgAzADcALAAgADEANQAxADEALgA0ADUALAAgADEANQAxADAALgA4ADUAOwBcAG4AIAAgACAAIAAxADMAMQAyAC4AOAA0ACwAIAAxADMAMgA1AC4ANQA4ACwAIAAxADMAMwA4AC4AMwA2ACwAIAAxADMANQA3AC4ANwAsACAAMQAzADcAMQAuADEAMgAsACAAMQAzADgAMwAuADAAMgAsACAAMQA0ADAAMwAuADQAOAAsACAAMQA0ADEAMwAuADkANgAsACAAMQA0ADIANgAuADkAOAAsACAAMQA0ADMANgAuADQAMgAsACAAMQA0ADQANQAuADYANgAsACAAMQA0ADYAMAAuADIANAAsACAAMQA0ADgAMAAuADkANwAsACAAMQA0ADkANQAuADAAOQAsACAAMQA1ADEAMQAuADYANAAsACAAMQA1ADIAMQAuADgALAAgADEANQAyADAALgA2ADYALAAgADEANQAxADQALgAwADUALAAgADEANQAyADEALgA0ADUALAAgADEANQAyADgALgA2ADMAOwBcAG4AIAAgACAAIAAxADMAMgAzAC4AOQA4ACwAIAAxADMANAA0AC4ANgA0ACwAIAAxADMANQA5AC4ANwA2ACwAIAAxADMAOAAwAC4ANQA0ACwAIAAxADMAOQA0AC4ANAAyACwAIAAxADQAMAA4AC4AMgAsACAAMQA0ADIAMQAuADAANAAsACAAMQA0ADMAOAAuADEAMgAsACAAMQA0ADUAMwAuADQAMgAsACAAMQA0ADYAMQAuADgANgAsACAAMQA0ADcAMgAuADYAOAAsACAAMQA0ADcANgAuADIANAAsACAAMQA0ADkANAAuADcAMQAsACAAMQA1ADAANgAuADkANQAsACAAMQA1ADIAMAAsACAAMQA1ADIAOAAuADcALAAgADEANQAyADgALgA2ADQALAAgADEANQAyADYALgA1ADUALAAgADEANQAzADQALgA2ADUALAAgADEANQA0ADYALgAxADUAOwBcAG4AIAAgACAAIAAxADMANAAyAC4AMgA5ACwAIAAxADMANQA4AC4ANAA4ACwAIAAxADMANwA1AC4ANAA2ACwAIAAxADMAOQA2AC4ANAA0ACwAIAAxADQAMQAwACwAIAAxADQAMgA4AC4ANQAsACAAMQA0ADQANQAuADEANgAsACAAMQA0ADUANwAuADMAMgAsACAAMQA0ADcAMwAuADEANAAsACAAMQA0ADgAOQAuADcANAAsACAAMQA0ADkAOQAuADIAOQAsACAAMQA1ADAAMwAuADUAOQAsACAAMQA1ADAANgAuADkANQAsACAAMQA1ADEAMwAuADYAMwAsACAAMQA1ADIANwAuADQAOAAsACAAMQA1ADMANwAuADUAMgAsACAAMQA1ADQAMAAuADIAOAAsACAAMQA1ADQANAAuADAANAAsACAAMQA1ADQAOQAuADQANgAsACAAMQA1ADYAMAA7AFwAbgAgACAAIAAgADEAMwA1ADcALgA3ADUALAAgADEAMwA3ADYALgA2ADQALAAgADEAMwA5ADAALgA5ADQALAAgADEANAAxADEALgA3ADgALAAgADEANAAyADQALgA2ADYALAAgADEANAA0ADIALgAwADIALAAgADEANAA2ADEALgA3ADQALAAgADEANAA3ADUALgA2ADgALAAgADEANAA4ADcALgAxADYALAAgADEANAA5ADkALgA4ACwAIAAxADUAMQA4AC4AMQAxACwAIAAxADUAMgA3AC4AOAA3ACwAIAAxADUAMgA4AC4ANQA1ACwAIAAxADUAMgA3AC4ANwAzACwAIAAxADUAMwA4ACwAIAAxADUANAA4AC4AMwAyACwAIAAxADUANQA2AC4ANwA2ACwAIAAxADUANgAzAC4ANgA0ACwAIAAxADUANgA4AC4ANAA0ACwAIAAxADUANwAyAC4AMgA4ADsAXABuACAAIAAgACAAMQAzADYANQAuADYAMwAsACAAMQAzADgAOAAuADgALAAgADEANAAwADQALgA2ADYALAAgADEANAAyADMALgAyADgALAAgADEANAA0ADAALgAzACwAIAAxADQANQA4AC4AOAAsACAAMQA0ADcANwAuADAAMgAsACAAMQA0ADkAMAAuADkANgAsACAAMQA1ADAAMQAuADMANAAsACAAMQA1ADAAOQAuADQANgAsACAAMQA1ADIANwAuADIANwAsACAAMQA1ADMAOAAuADQAOQAsACAAMQA1ADQANQAuADUAMQAsACAAMQA1ADQANwAuADAAOQAsACAAMQA1ADUAMgAuADQANAAsACAAMQA1ADYAMQAuADUAMgAsACAAMQA1ADYAOQAuADQAOAAsACAAMQA1ADcAOAAuADIAOAAsACAAMQA1ADgANAAuADkALAAgADEANQA4ADcALgA0ADgAOwBcAG4AIAAgACAAIAAxADMANwA3AC4AMwA5ACwAIAAxADMAOQA3AC4AOQAzACwAIAAxADQAMQAyAC4AMQAxACwAIAAxADQAMwA1AC4AOAA4ACwAIAAxADQANQA1AC4ANQAyACwAIAAxADQANwA3AC4AMgA5ACwAIAAxADQAOQAxAC4AOAAxACwAIAAxADUAMAAwAC4AMQAzACwAIAAxADUAMAA5AC4ANgA5ACwAIAAxADUAMgAwAC4ANAA1ACwAIAAxADUAMwA5AC4AMwAzACwAIAAxADUANQAxAC4ANQAzACwAIAAxADUANQA0AC4AOQA0ACwAIAAxADUANQA3AC4AMgAyACwAIAAxADUANgAzAC4AOQA4ACwAIAAxADUANwAzAC4AOQAyACwAIAAxADUANwA4AC4AMQAyACwAIAAxADUAOAA0AC4AMgAyACwAIAAxADUAOQAwAC4AMgA2ACwAIAAxADUAOQA0AC4ANgAxADsAXABuACAAIAAgACAAMQAzADkAMAAuADQAOQAsACAAMQA0ADEAMgAuADYAMwAsACAAMQA0ADIANAAuADMANQAsACAAMQA0ADQAMgAuADkANgAsACAAMQA0ADYANAAuADAANAAsACAAMQA0ADgAOAAuADYANQAsACAAMQA0ADkANwAuADgAOQAsACAAMQA1ADAANQAuADQAMwAsACAAMQA1ADEANwAuADMAMwAsACAAMQA1ADIAOAAuADIAOQAsACAAMQA1ADQAMgAuADUANQAsACAAMQA1ADUAMwAuADIANwAsACAAMQA1ADYAMwAuADEAMgAsACAAMQA1ADYANgAuADMALAAgADEANQA3ADMALgAyADYALAAgADEANQA3ADkALgA0ADIALAAgADEANQA4ADMALgA1ACwAIAAxADUAOQAzAC4ANgA0ACwAIAAxADUAOQA5AC4AOAA0ACwAIAAxADYAMAA0AC4AMQA3ADsAXABuACAAIAAgACAAMQA0ADAAMgAuADcANwAsACAAMQA0ADIAMgAuADYAMQAsACAAMQA0ADMANAAuADcAMQAsACAAMQA0ADUANAAuADkANAAsACAAMQA0ADcAMQAuADYAOAAsACAAMQA0ADkAMQAuADkANwAsACAAMQA1ADAAMQAuADUANwAsACAAMQA1ADAAOAAuADQAMQAsACAAMQA1ADIAMAAuADUAOQAsACAAMQA1ADMAMgAuADMANwAsACAAMQA1ADQANgAuADMANQAsACAAMQA1ADUAOQAuADIANQAsACAAMQA1ADcAMQAuADcAOAAsACAAMQA1ADcAOAAuADQANAAsACAAMQA1ADgANQAuADAANgAsACAAMQA1ADgAOQAuADUANgAsACAAMQA1ADkAMwAuADYAOAAsACAAMQA2ADAANAAuADgANgAsACAAMQA2ADEAMgAuADUANgAsACAAMQA2ADEAOAAuADEAOQA7AFwAbgAgACAAIAAgADEANAAwADYALgAzADcALAAgADEANAAyADgALgA3ACwAIAAxADQANAAwAC4AMQAyACwAIAAxADQANQA2AC4AMAA3ACwAIAAxADQANwA0AC4AMAA5ACwAIAAxADQAOQA2AC4AMwA0ACwAIAAxADUAMAA1AC4AMQAsACAAMQA1ADEAMQAuADQAOAAsACAAMQA1ADIANwAuADEAMwAsACAAMQA1ADQAMAAuADEANQAsACAAMQA1ADUAOAAuADEANwAsACAAMQA1ADcAMAAuADkAMwAsACAAMQA1ADgANQAuADEALAAgADEANQA5ADEALAAgADEANQA5ADUALgAxADMALAAgADEANQA5ADgALgAzADMALAAgADEANgAwADQALgA4ADMALAAgADEANgAxADUALgAzACwAIAAxADYAMgAzAC4ANQA2ACwAIAAxADYAMwAyAC4AMQA1ADsAXABuACAAIAAgACAAMQA0ADEAMgAuADAAMQAsACAAMQA0ADIAOQAuADcAOAAsACAAMQA0ADQAMgAuADIANgAsACAAMQA0ADYAMQAuADIAMwAsACAAMQA0ADcAOQAuADUAMwAsACAAMQA0ADkANAAuADYANAAsACAAMQA1ADAAMwAuADYANAAsACAAMQA1ADEAMAAuADQAMgAsACAAMQA1ADMAMQAuADIAMQAsACAAMQA1ADQANgAuADUANwAsACAAMQA1ADYAOAAuADUANQAsACAAMQA1ADgAMAAuADYAMwAsACAAMQA1ADkANQAuADMAMgAsACAAMQA2ADAAMAAuADUANAAsACAAMQA2ADAAMwAuADEANQAsACAAMQA2ADAAOQAuADIAOQAsACAAMQA2ADEANAAuADgAMwAsACAAMQA2ADIANQAuADMALAAgADEANgAzADAALgA2ADQALAAgADEANgA0ADMALgA5ADkAOwBcAG4AIAAgACAAIAAxADQAMQA1AC4AOQA5ACwAIAAxADQAMwAzAC4AMQAyACwAIAAxADQANAAzAC4AMAA2ACwAIAAxADQANgAwAC4AMgA4ACwAIAAxADQANwA1AC4ANgA0ACwAIAAxADQAOAA5AC4AOQA2ACwAIAAxADUAMAAwAC4AOAAyACwAIAAxADUAMQAzAC4AMAA1ACwAIAAxADUAMwAzAC4ANQAsACAAMQA1ADQANQAuADUALAAgADEANQA2ADQALgAyADYALAAgADEANQA3ADcALgAzADgALAAgADEANQA5ADYALgA2ADQALAAgADEANgAwADMALgA3ADYALAAgADEANgAwADUALgAyADIALAAgADEANgAwADYALgAxACwAIAAxADYAMAA3AC4ANgA4ACwAIAAxADYAMQAyAC4AOAAyACwAIAAxADYAMgAzAC4ANgA2ACwAIAAxADYAMwA5AC4ANAA3AFwAbgB9ADsAXABuAFwAbgAvAC8ATQB0AC4AIABSAGEAaQBuAGkAZQByACwAIABXAEEAIAA0ADYALgA4ADUAMgAzACwALQAxADIAMQAuADcANgAwADMAXABuAFwAbgBNAHQAUgBhAGkAbgBpAGUAcgAgAD0AewBcAG4AIAAgACAAIAA0ADMAOAA3AC4AMAA2ACwAIAA0ADMANwA1AC4AMQA0ACwAIAA0ADMANgA4AC4AMAA3ACwAIAA0ADMANgAwAC4ANAA2ACwAIAA0ADMANQAxAC4ANQA5ACwAIAA0ADMANAAzAC4ANgA3ACwAIAA0ADMAMwA3AC4ANgA1ACwAIAA0ADMAMwAyAC4AMQA1ACwAIAA0ADMAMgA3AC4ANQAyACwAIAA0ADMAMgAzAC4ANQAzACwAIAA0ADMAMQA5AC4AOAAyACwAIAA0ADMAMQA2AC4AMgAzACwAIAA0ADMAMQA0AC4AMgA3ACwAIAA0ADMAMQAyAC4ANQA4ACwAIAA0ADMAMQAyAC4AMAA2ACwAIAA0ADMAMQAzAC4ANgAzACwAIAA0ADMAMQA3AC4AOAA1ACwAIAA0ADMAMQA5AC4ANwAzACwAIAA0ADMAMAA0AC4AOQA4ACwAIAA0ADIAOAA5AC4AMAAyADsAXABuACAAIAAgACAANAAzADgANwAuADIAMwAsACAANAAzADcANAAuADMAOAAsACAANAAzADYANQAuADMANQAsACAANAAzADUAOQAuADMANwAsACAANAAzADUAMQAuADYALAAgADQAMwA0ADMALgA0ADUALAAgADQAMwAzADcALgA1ADMALAAgADQAMwAzADEALgAzADgALAAgADQAMwAyADYALgA5ADkALAAgADQAMwAyADMALgAwADgALAAgADQAMwAxADkALgA0ADgALAAgADQAMwAxADYALgA4ADMALAAgADQAMwAxADUALgAxADMALAAgADQAMwAxADMALgA5ADMALAAgADQAMwAxADMALgA4ADMALAAgADQAMwAxADUALAAgADQAMwAyADAALgAzADkALAAgADQAMwAxADIALgA2ADMALAAgADQAMgA5ADkALgA2ADMALAAgADQAMgA4ADYALgA1ADMAOwBcAG4AIAAgACAAIAA0ADMAOAA3AC4AOAAzACwAIAA0ADMANwA0AC4AMwA3ACwAIAA0ADMANgA0AC4ANAAsACAANAAzADUAOQAuADEANAAsACAANAAzADUAMQAuADIALAAgADQAMwA0ADMALgAxADgALAAgADQAMwAzADcALgAyACwAIAA0ADMAMwAxAC4ANAAsACAANAAzADIANgAuADcANQAsACAANAAzADIAMwAuADAANAAsACAANAAzADEAOQAuADUALAAgADQAMwAxADcALgAxADkALAAgADQAMwAxADYALgA0ACwAIAA0ADMAMQA2AC4AMQA3ACwAIAA0ADMAMQA2AC4ANwA2ACwAIAA0ADMAMQA4AC4AMQA1ACwAIAA0ADMAMQA5AC4ANAA0ACwAIAA0ADMAMAA2AC4AMAAyACwAIAA0ADIAOQAxAC4AOQA2ACwAIAA0ADIANwA5AC4ANwA4ADsAXABuACAAIAAgACAANAAzADgANgAuADkAMQAsACAANAAzADgAMgAuADgAMwAsACAANAAzADYAOAAuADUANAAsACAANAAzADUANwAuADUANQAsACAANAAzADUAMAAuADYAMwAsACAANAAzADQAMwAuADMALAAgADQAMwAzADcALgA1ADEALAAgADQAMwAzADEALgA2ADQALAAgADQAMwAyADYALgA5ADUALAAgADQAMwAyADMALgAwADUALAAgADQAMwAxADkALgA2ADcALAAgADQAMwAxADcALgA5ADcALAAgADQAMwAxADgALgA2ADIALAAgADQAMwAxADkALgA3ADMALAAgADQAMwAyADMALgAzADMALAAgADQAMwAyADkALgAxADMALAAgADQAMwAxADUALgA3ADkALAAgADQAMgA5ADkALgA0ADQALAAgADQAMgA4ADQALgA3ADkALAAgADQAMgA3ADEALgA1ADEAOwBcAG4AIAAgACAAIAA0ADMANwA1AC4ANQA1ACwAIAA0ADMAOAA0AC4AMQA5ACwAIAA0ADMANwA3AC4ANQA3ACwAIAA0ADMANgAxAC4ANwAxACwAIAA0ADMANQAwAC4ANgAsACAANAAzADQAMwAuADQANgAsACAANAAzADMANwAuADgANgAsACAANAAzADMAMgAuADIALAAgADQAMwAyADcALgA5ADMALAAgADQAMwAyADQALgA0ADIALAAgADQAMwAyADIALgAwADgALAAgADQAMwAyADEALgAxADMALAAgADQAMwAyADEALgA5ADkALAAgADQAMwAyADUALgA4ADYALAAgADQAMwAzADAALgA2ADEALAAgADQAMwAxADgALgA2ADcALAAgADQAMwAwADcALgA0ADYALAAgADQAMgA5ADIALgA2ADUALAAgADQAMgA3ADcALgA4ADEALAAgADQAMgA2ADQALgA1ADkAOwBcAG4AIAAgACAAIAA0ADMANgA4AC4AMAA3ACwAIAA0ADMANwA0AC4AMAA3ACwAIAA0ADMANwA3AC4AMgA1ACwAIAA0ADMANgA3AC4ANwA3ACwAIAA0ADMANQA1AC4AMwAzACwAIAA0ADMANAA2AC4AMQA2ACwAIAA0ADMAMwA5AC4ANwAyACwAIAA0ADMAMwA0AC4AMQA3ACwAIAA0ADMAMwAwAC4AMQAsACAANAAzADIANwAuADkANwAsACAANAAzADIANgAuADgANQAsACAANAAzADIAOAAuADUAMwAsACAANAAzADMANAAuADcANgAsACAANAAzADIANgAuADMAMQAsACAANAAzADEANwAuADYAOQAsACAANAAzADAAOAAuADUANgAsACAANAAyADkANwAuADQANAAsACAANAAyADgAMwAuADcANgAsACAANAAyADcAMAAuADkAMgAsACAANAAyADUAOAAuADAANAA7AFwAbgAgACAAIAAgADQAMwA1ADkALgAxADUALAAgADQAMwA2ADIALgAzADQALAAgADQAMwA2ADUALgAxADMALAAgADQAMwA2ADYALgAwADgALAAgADQAMwA2ADMALgA2ACwAIAA0ADMANQA2AC4AOQA3ACwAIAA0ADMANAA3AC4ANQA0ACwAIAA0ADMAMwA4AC4AOAA4ACwAIAA0ADMAMwA1AC4ANAA3ACwAIAA0ADMAMwA2AC4ANgAsACAANAAzADMAOQAuADkAMgAsACAANAAzADMANQAuADgALAAgADQAMwAyADIALgA5ADUALAAgADQAMwAxADUALgA5ADQALAAgADQAMwAwADYALgA3ADcALAAgADQAMgA5ADYALgAxADkALAAgADQAMgA4ADUALgA1ADIALAAgADQAMgA3ADMALgAxADUALAAgADQAMgA2ADAALgA3ADgALAAgADQAMgA0ADcALgA1ADgAOwBcAG4AIAAgACAAIAA0ADMANQAxAC4AMwAzACwAIAA0ADMANQAwAC4AMgAyACwAIAA0ADMANQAwAC4AMgA1ACwAIAA0ADMANAA5AC4AOQA5ACwAIAA0ADMANAA5AC4AMQAzACwAIAA0ADMANAA2AC4ANwA5ACwAIAA0ADMANAA0AC4AMwA0ACwAIAA0ADMANAAxAC4AMAA5ACwAIAA0ADMAMwA3AC4ANgA3ACwAIAA0ADMAMwAzAC4ANgA2ACwAIAA0ADMAMgA2AC4ANwAzACwAIAA0ADMAMgAwAC4AMwA1ACwAIAA0ADMAMQAwAC4AMgAzACwAIAA0ADMAMAAyAC4AMgA0ACwAIAA0ADIAOQAyAC4ANQA4ACwAIAA0ADIAOAAxAC4AOQA1ACwAIAA0ADIANwAxAC4ANQAzACwAIAA0ADIANQA5AC4AMgA4ACwAIAA0ADIANAA3AC4AMgA0ACwAIAA0ADIAMwA0AC4ANQAyADsAXABuACAAIAAgACAANAAzADQAMQAuADgANQAsACAANAAzADQAMAAuADYANAAsACAANAAzADMAOQAuADEAMwAsACAANAAzADMANwAuADQAMgAsACAANAAzADMANAAuADUALAAgADQAMwAzADEALgA0ADIALAAgADQAMwAyADgALgA3ACwAIAA0ADMAMgA0AC4AOAAsACAANAAzADIAMAAuADIAOQAsACAANAAzADEANQAuADgANAAsACAANAAzADEAMAAuADUANgAsACAANAAzADAANAAuADcANgAsACAANAAyADkANwAuADAAOQAsACAANAAyADgAOAAuADcANwAsACAANAAyADcAOAAuADMAOAAsACAANAAyADYAOAAuADIANwAsACAANAAyADUAOAAuADYANgAsACAANAAyADQANwAuADUALAAgADQAMgAzADUALgA0ACwAIAA0ADIAMgAzAC4AOAA7AFwAbgAgACAAIAAgADQAMwAyADkALgA2ADQALAAgADQAMwAyADkALgAwADkALAAgADQAMwAyADcALgA3ADYALAAgADQAMwAyADYALgAwADQALAAgADQAMwAyADMALgA3ADkALAAgADQAMwAyADAALgA3ADkALAAgADQAMwAxADgALgAyADMALAAgADQAMwAxADQALgA5ADEALAAgADQAMwAxADAALgAwADIALAAgADQAMwAwADQALgA3ADUALAAgADQAMgA5ADgALgAxADEALAAgADQAMgA5ADAALgA4ADcALAAgADQAMgA4ADMALgA3ADQALAAgADQAMgA3ADYALgAzADQALAAgADQAMgA2ADcALgAwADcALAAgADQAMgA1ADcALgAzADMALAAgADQAMgA0ADgALgA0ADUALAAgADQAMgAzADcALgA3ADkALAAgADQAMgAyADYALgA3ADQALAAgADQAMgAxADUALgA0ADYAOwBcAG4AIAAgACAAIAA0ADMAMQA1AC4AMwA5ACwAIAA0ADMAMQA2AC4AMgAzACwAIAA0ADMAMQA1AC4ANQA5ACwAIAA0ADMAMQA0AC4AMgAsACAANAAzADEAMgAuADYAMgAsACAANAAzADEAMAAuADMAOAAsACAANAAzADAANwAuADkANAAsACAANAAzADAANQAuADAAOQAsACAANAAzADAAMQAuADQAMwAsACAANAAyADkANwAuADAAMwAsACAANAAyADkAMAAuADIAOAAsACAANAAyADgAMwAuADAANQAsACAANAAyADcANQAuADYAMQAsACAANAAyADYAOAAsACAANAAyADUAOQAuADMANAAsACAANAAyADUAMAAuADYANAAsACAANAAyADQAMgAuADAAOQAsACAANAAyADMAMQAuADkAOQAsACAANAAyADIAMAAuADYALAAgADQAMgAwADkAOwBcAG4AIAAgACAAIAA0ADIAOQA2AC4ANAAsACAANAAyADkANQAuADUALAAgADQAMgA5ADgALgA3ADIALAAgADQAMgA5ADgALgAyADgALAAgADQAMgA5ADcALgAxADkALAAgADQAMgA5ADYALgAwADMALAAgADQAMgA5ADQALgAyADEALAAgADQAMgA5ADEALgA3ADEALAAgADQAMgA4ADkALgAyACwAIAA0ADIAOAA1AC4ANgAzACwAIAA0ADIAOAAwAC4ANwA1ACwAIAA0ADIANwA0AC4AOQAyACwAIAA0ADIANgA3AC4ANQAxACwAIAA0ADIANgAwAC4AMgAyACwAIAA0ADIANQAyAC4AMQAsACAANAAyADQAMwAuADIAMQAsACAANAAyADMANAAuADcAMwAsACAANAAyADIANAAuADgALAAgADQAMgAxADMALgA2ADkALAAgADQAMgAwADEALgA3ADMAOwBcAG4AIAAgACAAIAA0ADIAOAAyAC4AOAA4ACwAIAA0ADIAOAAxAC4ANQAsACAANAAyADgAMAAuADcANgAsACAANAAyADcAOQAuADUAOQAsACAANAAyADcAOQAuADEANAAsACAANAAyADcAOAAuADQAMwAsACAANAAyADcANwAuADIAOQAsACAANAAyADcANQAuADYAMwAsACAANAAyADcAMwAuADIAMgAsACAANAAyADcAMAAuADgANAAsACAANAAyADYANwAuADUAMgAsACAANAAyADYAMwAuADAAOQAsACAANAAyADUANwAuADEAMwAsACAANAAyADUAMQAuADMAMQAsACAANAAyADQAMwAuADEAMQAsACAANAAyADMANAAuADIANwAsACAANAAyADIANgAuADYAOAAsACAANAAyADEANgAuADEAMwAsACAANAAyADAANQAsACAANAAxADkAMgAuADkAMgA7AFwAbgAgACAAIAAgADQAMgA2ADQALgA2ACwAIAA0ADIANgAzAC4ANwA2ACwAIAA0ADIANgAxAC4ANgAsACAANAAyADYAMQAsACAANAAyADUAOQAuADQAOAAsACAANAAyADUAOAAuADMANAAsACAANAAyADUANwAuADIAMQAsACAANAAyADUANgAuADMAMwAsACAANAAyADUANAAuADcAMgAsACAANAAyADUAMgAuADcANgAsACAANAAyADQAOQAuADkAMQAsACAANAAyADQANgAuADUANQAsACAANAAyADQAMgAuADAAMwAsACAANAAyADMANgAuADgAOQAsACAANAAyADIAOQAuADYAMwAsACAANAAyADIAMgAuADYAMwAsACAANAAyADEAMwAuADkAMgAsACAANAAyADAANAAuADAANQAsACAANAAxADkAMgAuADYANQAsACAANAAxADcANgAuADAAOAA7AFwAbgAgACAAIAAgADQAMgA0ADgALgA1ADMALAAgADQAMgA0ADgALgA0ADUALAAgADQAMgA0ADUALgA5ADgALAAgADQAMgA0ADEALgA1ADQALAAgADQAMgA0ADEALgA5ADgALAAgADQAMgAzADcALgA5ADcALAAgADQAMgAzADUALgA2ADEALAAgADQAMgAzADIALgA2ACwAIAA0ADIAMgA0AC4AOQA2ACwAIAA0ADIAMgA1AC4ANQA5ACwAIAA0ADIAMwAyAC4ANgA5ACwAIAA0ADIAMgAyAC4ANwA3ACwAIAA0ADIAMQA3AC4ANAA0ACwAIAA0ADIAMQAyAC4AOAA2ACwAIAA0ADIAMAA1AC4AOAAyACwAIAA0ADIAMAA1AC4ANQA5ACwAIAA0ADEAOQA3AC4ANAA5ACwAIAA0ADEAOAA1AC4AOQAyACwAIAA0ADEANwA2AC4AOQAxACwAIAA0ADEANgA2AC4AMwA4ADsAXABuACAAIAAgACAANAAyADMAMgAuADAAMgAsACAANAAyADMAMQAuADcANQAsACAANAAyADIANgAuADkANAAsACAANAAyADIAMwAuADMANwAsACAANAAyADEAOAAuADgAMQAsACAANAAyADIAMAAuADQANQAsACAANAAyADEAOQAuADIAMwAsACAANAAyADEANQAuADgAMwAsACAANAAyADEAMgAuADMANQAsACAANAAyADAANwAuADMANAAsACAANAAyADAAMgAuADEAOQAsACAANAAyADAAMAAuADYAMQAsACAANAAxADkAOAAuADIANAAsACAANAAxADkANAAuADUALAAgADQAMQA5ADAALgAyADQALAAgADQAMQA4ADQALgA4ADcALAAgADQAMQA3ADkALAAgADQAMQA3ADEALgAzADMALAAgADQAMQA2ADIALgAyADgALAAgADQAMQA1ADMALgAwADkAOwBcAG4AIAAgACAAIAA0ADIAMQA4AC4AMQA0ACwAIAA0ADIAMQA2AC4AMwAyACwAIAA0ADIAMQAyAC4AOAA1ACwAIAA0ADIAMAA4AC4AOAA3ACwAIAA0ADIAMAAzAC4AOAA0ACwAIAA0ADIAMAAwAC4AMQAxACwAIAA0ADIAMAAxAC4AMwA5ACwAIAA0ADEAOQA4AC4AOAA0ACwAIAA0ADEAOQA1AC4AMgAsACAANAAxADkAMgAuADAAMwAsACAANAAxADgAOAAuADIALAAgADQAMQA4ADEALgA2ADQALAAgADQAMQA3ADkALgAyACwAIAA0ADEANwA2AC4ANAA5ACwAIAA0ADEANwAxAC4ANwAsACAANAAxADYANgAuADMANgAsACAANAAxADYAMAAuADQANAAsACAANAAxADUAMwAuADAAMgAsACAANAAxADQANAAuADIALAAgADQAMQAzADUALgA3ADYAOwBcAG4AIAAgACAAIAA0ADIAMAA1AC4ANgA1ACwAIAA0ADIAMAAzAC4ANwA3ACwAIAA0ADIAMAAwAC4ANAAzACwAIAA0ADEAOQA2AC4ANgA4ACwAIAA0ADEAOQAxAC4ANwAxACwAIAA0ADEAOAA4AC4AMAA3ACwAIAA0ADEAOAA1AC4AMwA5ACwAIAA0ADEAOAAyAC4ANQAsACAANAAxADcAOAAuADIANgAsACAANAAxADcAMwAuADcANgAsACAANAAxADYAOQAuADAAMwAsACAANAAxADYAMwAuADgANAAsACAANAAxADUAOQAuADQAMQAsACAANAAxADUANQAuADYALAAgADQAMQA1ADAALgA3ADgALAAgADQAMQA0ADUALgA1ADIALAAgADQAMQAzADgALgA4ADYALAAgADQAMQAyADkALgA5ADcALAAgADQAMQAyADMALgAwADEALAAgADQAMQAxADUALgAzADMAOwBcAG4AIAAgACAAIAA0ADEAOQA1AC4AOQAsACAANAAxADkANAAuADAANAAsACAANAAxADkAMAAuADEANQAsACAANAAxADgANwAuADIAMwAsACAANAAxADgAMgAuADYALAAgADQAMQA3ADgALgAxADIALAAgADQAMQA3ADMALgA3ADMALAAgADQAMQA2ADgALgAzADIALAAgADQAMQA0ADIALgA2ADQALAAgADQAMQAyADcALgA5ADcALAAgADQAMQAzADQALgA1ADYALAAgADQAMQAzADcALgAyADQALAAgADQAMQAyADgALgA5ACwAIAA0ADEAMQA1AC4AOAA0ACwAIAA0ADEAMgA4AC4AOAA3ACwAIAA0ADEAMgA0AC4ANAA1ACwAIAA0ADEAMQA5AC4ANQA3ACwAIAA0ADEAMQAyAC4AOAA5ACwAIAA0ADEAMAA1AC4AOQAyACwAIAA0ADAAOQA5AC4ANAAxADsAXABuACAAIAAgACAANAAxADgANQAuADMAMgAsACAANAAxADgAMwAuADcAOAAsACAANAAxADcAOQAuADcAMgAsACAANAAxADcANAAuADYAMQAsACAANAAxADYAOAAuADUALAAgADQAMQA2ADIALgAyACwAIAA0ADEANQAxAC4ANQAxACwAIAA0ADEANAAwAC4AOQA5ACwAIAA0ADEANAAwAC4ANQA0ACwAIAA0ADEAMwAwAC4ANQAzACwAIAA0ADEAMQA5AC4AOAA0ACwAIAA0ADEAMQAyAC4AMgA5ACwAIAA0ADEAMAA1AC4ANgA5ACwAIAA0ADAAOQA4AC4AOQA0ACwAIAA0ADAAOQAyAC4ANAAsACAANAAwADkAMAAuADgALAAgADQAMAA5ADAALgA1ADYALAAgADQAMAA4ADgALgAzADMALAAgADQAMAA4ADUALgAwADkALAAgADQAMAA4ADAALgAxADEAXABuAH0AOwBcAG4AXABuAC8ALwBXAGgAaQB0AGUAIABTAGEAbgBkAHMALAAgAE4ATQAgADMAMgAuADcANwA5ADEALAAtADEAMAA2AC4AMQA3ADEAOQBcAG4AXABuAFcAaABpAHQAZQBTAGEAbgBkAHMAIAA9AHsAXABuACAAIAAgACAAMQAyADEAOAAuADEANgAsACAAMQAyADEAOAAuADgALAAgADEAMgAxADgALgAzADIALAAgADEAMgAxADgALgA0ACwAIAAxADIAMQA4AC4ANQAyACwAIAAxADIAMQA4AC4ANAA3ACwAIAAxADIAMQA4AC4AMwAzACwAIAAxADIAMQA3AC4ANQA3ACwAIAAxADIAMQA3AC4AMwAyACwAIAAxADIAMQA3AC4AMQA3ACwAIAAxADIAMQA3AC4AMQAyACwAIAAxADIAMQA3AC4AMgA1ACwAIAAxADIAMQA3AC4AMQA3ACwAIAAxADIAMQA3AC4AMgA4ACwAIAAxADIAMQA3AC4AMgAsACAAMQAyADEANwAuADIAMQAsACAAMQAyADEANwAuADIAOQAsACAAMQAyADEANwAuADEANQAsACAAMQAyADEANwAuADEAOQAsACAAMQAyADEANwAuADEANwA7AFwAbgAgACAAIAAgADEAMgAxADgALgAwADEALAAgADEAMgAxADgALgAyACwAIAAxADIAMQA5AC4AMgA0ACwAIAAxADIAMQA4AC4AOAAyACwAIAAxADIAMQA4AC4AMAAyACwAIAAxADIAMQA4AC4AOAA3ACwAIAAxADIAMQA4AC4ANwAxACwAIAAxADIAMQA4AC4AMwA0ACwAIAAxADIAMQA3AC4ANgAxACwAIAAxADIAMQA3AC4AMwA0ACwAIAAxADIAMQA3AC4AMgA2ACwAIAAxADIAMQA3AC4AMwAyACwAIAAxADIAMQA3AC4AMwAyACwAIAAxADIAMQA3AC4AMgA0ACwAIAAxADIAMQA3AC4AMgAsACAAMQAyADEANwAuADIALAAgADEAMgAxADcALgAzADQALAAgADEAMgAxADcALgAyACwAIAAxADIAMQA3AC4AMQA0ACwAIAAxADIAMQA3AC4AMgAxADsAXABuACAAIAAgACAAMQAyADEAOAAuADEAOAAsACAAMQAyADEAOAAuADIAMwAsACAAMQAyADEAOAAuADEAOQAsACAAMQAyADEAOQAuADMAMQAsACAAMQAyADEAOQAuADIANAAsACAAMQAyADEAOAAuADgALAAgADEAMgAxADkALgAwADIALAAgADEAMgAxADgALgA1ADkALAAgADEAMgAxADcALgA4ADgALAAgADEAMgAxADcALgA0ADgALAAgADEAMgAxADcALgA0ADEALAAgADEAMgAxADcALgAzADYALAAgADEAMgAxADcALgA0ADQALAAgADEAMgAxADcALgA0ADEALAAgADEAMgAxADcALgA0ADIALAAgADEAMgAxADcALgAyADgALAAgADEAMgAxADcALgAzADMALAAgADEAMgAxADcALgAyADUALAAgADEAMgAxADcALgAxADcALAAgADEAMgAxADcALgAxADYAOwBcAG4AIAAgACAAIAAxADIAMQA4ACwAIAAxADIAMQA4AC4AMQAzACwAIAAxADIAMQA4AC4AMQA2ACwAIAAxADIAMQA4AC4AMAA1ACwAIAAxADIAMQA4AC4AMQA1ACwAIAAxADIAMQA5AC4ANgAyACwAIAAxADIAMQA5AC4AMwAsACAAMQAyADEAOAAuADMANQAsACAAMQAyADEAOAAuADEAMgAsACAAMQAyADEANwAuADgALAAgADEAMgAxADcALgA3ACwAIAAxADIAMQA3AC4ANwAsACAAMQAyADEANwAuADgANAAsACAAMQAyADEANwAuADkANAAsACAAMQAyADEANwAuADcAOQAsACAAMQAyADEANwAuADUAOAAsACAAMQAyADEANwAuADQAMQAsACAAMQAyADEANwAuADMAOQAsACAAMQAyADEANwAuADIAMQAsACAAMQAyADEANwAuADMAMwA7AFwAbgAgACAAIAAgADEAMgAxADgALgAwADMALAAgADEAMgAxADgALgAxADUALAAgADEAMgAxADgALgAyADIALAAgADEAMgAxADgALgAwADYALAAgADEAMgAxADgALgAwADQALAAgADEAMgAxADgALgAzADMALAAgADEAMgAxADgALgA3ADkALAAgADEAMgAxADkALgA0ADkALAAgADEAMgAxADkALgAzADkALAAgADEAMgAxADgALgAxADQALAAgADEAMgAxADcALgA5ADcALAAgADEAMgAxADgALgA1ADEALAAgADEAMgAxADkALgAwADcALAAgADEAMgAxADkALgAzADkALAAgADEAMgAxADgALgA2ADUALAAgADEAMgAxADgALgAxADUALAAgADEAMgAxADcALgA3ADYALAAgADEAMgAxADcALgA1ADEALAAgADEAMgAxADcALgAyADgALAAgADEAMgAxADcALgAyADEAOwBcAG4AIAAgACAAIAAxADIAMQA4AC4AMAA4ACwAIAAxADIAMQA4AC4AMAA0ACwAIAAxADIAMQA4AC4AMwA2ACwAIAAxADIAMQA4AC4AMAA2ACwAIAAxADIAMQA4AC4AMAA1ACwAIAAxADIAMQA4AC4AMAA1ACwAIAAxADIAMQA4AC4AMQA4ACwAIAAxADIAMQA4AC4ANgA1ACwAIAAxADIAMQA5AC4AMgA0ACwAIAAxADIAMQA5AC4ANQA5ACwAIAAxADIAMQA4AC4AOAA4ACwAIAAxADIAMQA5AC4AMgA4ACwAIAAxADIAMgAwAC4AMgA4ACwAIAAxADIAMgAwAC4AMAAxACwAIAAxADIAMQA5AC4ANgA1ACwAIAAxADIAMQA5AC4AMAA3ACwAIAAxADIAMQA4AC4AMgA5ACwAIAAxADIAMQA3AC4AOAA3ACwAIAAxADIAMQA3AC4ANgA0ACwAIAAxADIAMQA3AC4ANQA2ADsAXABuACAAIAAgACAAMQAyADEAOAAuADAAOQAsACAAMQAyADEAOAAuADEANAAsACAAMQAyADEAOAAuADEAMQAsACAAMQAyADEAOAAuADAAMwAsACAAMQAyADEAOAAuADAANQAsACAAMQAyADEAOAAuADAANgAsACAAMQAyADEAOAAuADAAOQAsACAAMQAyADEAOAAuADMAMQAsACAAMQAyADEAOAAuADMAOAAsACAAMQAyADEAOAAuADcANwAsACAAMQAyADEAOQAuADYAMwAsACAAMQAyADEAOQAuADcAOQAsACAAMQAyADEAOQAuADEANwAsACAAMQAyADIAMAAuADMALAAgADEAMgAxADkALgA5ADYALAAgADEAMgAxADkALgAzADcALAAgADEAMgAxADgALgA4ADUALAAgADEAMgAxADgALgAzADcALAAgADEAMgAxADgALgAyADYALAAgADEAMgAxADgALgAxADYAOwBcAG4AIAAgACAAIAAxADIAMQA3AC4AOQA1ACwAIAAxADIAMQA3AC4AOQA3ACwAIAAxADIAMQA4AC4AMAAyACwAIAAxADIAMQA4AC4AMAAzACwAIAAxADIAMQA4AC4AMQAzACwAIAAxADIAMQA4AC4AMAA4ACwAIAAxADIAMQA4AC4AMAA4ACwAIAAxADIAMQA4AC4AMgA5ACwAIAAxADIAMQA4AC4AMwA0ACwAIAAxADIAMQA4AC4ANgA2ACwAIAAxADIAMQA5AC4AMAA4ACwAIAAxADIAMQA5AC4AMAAxACwAIAAxADIAMQA5AC4AOQA5ACwAIAAxADIAMQA5AC4ANwA5ACwAIAAxADIAMQA5AC4AOAA3ACwAIAAxADIAMQA5AC4AMwAzACwAIAAxADIAMQA5AC4AMQA3ACwAIAAxADIAMQA5AC4AMAA1ACwAIAAxADIAMQA4AC4AOAA3ACwAIAAxADIAMQA4AC4ANgA4ADsAXABuACAAIAAgACAAMQAyADEANwAuADkANAAsACAAMQAyADEANwAuADkANwAsACAAMQAyADEAOAAuADAAMwAsACAAMQAyADEAOAAuADAANAAsACAAMQAyADEAOAAuADAAOAAsACAAMQAyADEAOAAuADEAMQAsACAAMQAyADEAOAAuADIANgAsACAAMQAyADEAOAAuADMAMQAsACAAMQAyADEAOAAuADMANQAsACAAMQAyADEAOAAuADQANAAsACAAMQAyADEAOAAuADcANwAsACAAMQAyADEAOQAuADEAOQAsACAAMQAyADEAOQAuADIAMQAsACAAMQAyADEAOQAuADgANgAsACAAMQAyADIAMAAuADAANAAsACAAMQAyADEAOQAuADIAMgAsACAAMQAyADEAOQAuADMANAAsACAAMQAyADEAOQAuADMAOQAsACAAMQAyADEAOQAuADMANQAsACAAMQAyADEAOQAuADEAMQA7AFwAbgAgACAAIAAgADEAMgAxADgALgAwADIALAAgADEAMgAxADgALgAwADgALAAgADEAMgAxADgALgAxADcALAAgADEAMgAxADgALgAxADQALAAgADEAMgAxADgALgAxADIALAAgADEAMgAxADgALgAzADUALAAgADEAMgAxADgALgAzACwAIAAxADIAMQA4AC4AMwA1ACwAIAAxADIAMQA4AC4ANQAzACwAIAAxADIAMQA4AC4ANQA4ACwAIAAxADIAMQA4AC4ANgA0ACwAIAAxADIAMQA4AC4AOAA0ACwAIAAxADIAMQA5AC4AMwAyACwAIAAxADIAMQA5AC4ANAAyACwAIAAxADIAMQA5AC4ANAAyACwAIAAxADIAMgAwAC4AMQAzACwAIAAxADIAMgAwAC4AMQAsACAAMQAyADEAOQAuADcALAAgADEAMgAxADkALgA3ADEALAAgADEAMgAxADkALgA0ADMAOwBcAG4AIAAgACAAIAAxADIAMQA4AC4AMgA3ACwAIAAxADIAMQA4AC4AMgAsACAAMQAyADEAOAAuADIAMQAsACAAMQAyADEAOAAuADIANAAsACAAMQAyADEAOAAuADIAOQAsACAAMQAyADEAOAAuADMANAAsACAAMQAyADEAOAAuADMANAAsACAAMQAyADEAOAAuADQAMwAsACAAMQAyADEAOAAuADcANQAsACAAMQAyADEAOAAuADUAOQAsACAAMQAyADEAOAAuADYANwAsACAAMQAyADEAOAAuADkANQAsACAAMQAyADEAOQAuADEAOQAsACAAMQAyADEAOQAuADMANAAsACAAMQAyADEAOQAuADUANAAsACAAMQAyADEAOQAuADcAMQAsACAAMQAyADEAOQAuADgALAAgADEAMgAyADAALgAzADYALAAgADEAMgAxADkALgA1ADUALAAgADEAMgAxADkALgA1ADsAXABuACAAIAAgACAAMQAyADEAOAAuADQANQAsACAAMQAyADEAOAAuADQANAAsACAAMQAyADEAOAAuADQAMQAsACAAMQAyADEAOAAuADMANgAsACAAMQAyADEAOAAuADMANQAsACAAMQAyADEAOAAuADQANAAsACAAMQAyADEAOAAuADUALAAgADEAMgAxADgALgA1ADEALAAgADEAMgAxADgALgA2ADEALAAgADEAMgAxADgALgA2ADkALAAgADEAMgAxADgALgA2ADgALAAgADEAMgAxADgALgA5ADEALAAgADEAMgAxADkALgAwADUALAAgADEAMgAxADkALgAyADUALAAgADEAMgAxADkALgA1ADcALAAgADEAMgAxADkALgA2ADkALAAgADEAMgAxADkALgA3ADgALAAgADEAMgAxADkALgA1ADkALAAgADEAMgAyADAALgAwADEALAAgADEAMgAyADAALgAwADYAOwBcAG4AIAAgACAAIAAxADIAMQA4AC4AOAAsACAAMQAyADEAOAAuADcAMQAsACAAMQAyADEAOAAuADUANQAsACAAMQAyADEAOAAuADUAMgAsACAAMQAyADEAOAAuADQAOAAsACAAMQAyADEAOAAuADQANgAsACAAMQAyADEAOAAuADUANAAsACAAMQAyADEAOAAuADYANgAsACAAMQAyADEAOAAuADUAOQAsACAAMQAyADEAOAAuADYANQAsACAAMQAyADEAOAAuADgANAAsACAAMQAyADEAOAAuADgANQAsACAAMQAyADEAOQAsACAAMQAyADEAOQAuADIAMQAsACAAMQAyADEAOQAuADQANwAsACAAMQAyADEAOQAuADYANwAsACAAMQAyADEAOQAuADcAMwAsACAAMQAyADEAOQAuADYAOAAsACAAMQAyADEAOQAuADUAMQAsACAAMQAyADEAOQAuADEANwA7AFwAbgAgACAAIAAgADEAMgAxADgALgA4ADUALAAgADEAMgAxADgALgA3ADkALAAgADEAMgAxADgALgA4ADEALAAgADEAMgAxADkALgAwADEALAAgADEAMgAxADkALgAxADgALAAgADEAMgAxADgALgA4ADIALAAgADEAMgAxADgALgA2ADgALAAgADEAMgAxADgALgA2ADYALAAgADEAMgAxADgALgA2ADgALAAgADEAMgAxADgALgA2ADYALAAgADEAMgAxADgALgA3ADcALAAgADEAMgAxADgALgA4ADkALAAgADEAMgAxADkALgAwADEALAAgADEAMgAxADkALgAyADMALAAgADEAMgAxADkALgA0ADEALAAgADEAMgAxADkALgA1ADEALAAgADEAMgAxADkALgA1ADcALAAgADEAMgAxADkALgA1ADMALAAgADEAMgAxADkALgAzADMALAAgADEAMgAxADkALgAxADgAOwBcAG4AIAAgACAAIAAxADIAMQA4AC4AOAA5ACwAIAAxADIAMQA5AC4AMQAsACAAMQAyADEAOQAuADIANQAsACAAMQAyADEAOQAuADMAMgAsACAAMQAyADEAOQAuADIAOQAsACAAMQAyADEAOAAuADkANwAsACAAMQAyADEAOAAuADcANQAsACAAMQAyADEAOAAuADgANAAsACAAMQAyADEAOAAuADYAOAAsACAAMQAyADEAOAAuADcANgAsACAAMQAyADEAOAAuADgANwAsACAAMQAyADEAOQAuADAANwAsACAAMQAyADEAOQAuADAANgAsACAAMQAyADEAOQAuADAAOQAsACAAMQAyADEAOQAuADIANwAsACAAMQAyADEAOQAuADQANAAsACAAMQAyADEAOQAuADQAMwAsACAAMQAyADEAOQAuADMANgAsACAAMQAyADEAOQAuADMANwAsACAAMQAyADEAOQAuADIAMQA7AFwAbgAgACAAIAAgADEAMgAxADkALgAwADMALAAgADEAMgAxADkALgAxADIALAAgADEAMgAxADkALgAyADYALAAgADEAMgAxADkALgAyADkALAAgADEAMgAxADkALgAyADYALAAgADEAMgAxADkALgAwADgALAAgADEAMgAxADgALgA5ADQALAAgADEAMgAxADgALgA3ADUALAAgADEAMgAxADgALgA3ADgALAAgADEAMgAxADgALgA4ADUALAAgADEAMgAxADgALgA5ADYALAAgADEAMgAxADkALgAwADIALAAgADEAMgAxADkALgAwADUALAAgADEAMgAxADkALgAxADQALAAgADEAMgAxADkALgAxADUALAAgADEAMgAxADkALgAzADcALAAgADEAMgAxADkALgAzADUALAAgADEAMgAxADkALgAyADYALAAgADEAMgAxADkALgAyADIALAAgADEAMgAxADkALgAxADcAOwBcAG4AIAAgACAAIAAxADIAMQA5AC4AMQAzACwAIAAxADIAMQA5AC4AMQA5ACwAIAAxADIAMQA5AC4AMwAyACwAIAAxADIAMQA5AC4AMgA3ACwAIAAxADIAMQA5AC4AMgA1ACwAIAAxADIAMQA5AC4AMQA2ACwAIAAxADIAMQA5AC4AMAA0ACwAIAAxADIAMQA4AC4AOQA0ACwAIAAxADIAMQA4AC4AOQA4ACwAIAAxADIAMQA4AC4AOQA4ACwAIAAxADIAMQA5AC4AMAA0ACwAIAAxADIAMQA5AC4AMAA4ACwAIAAxADIAMQA5AC4AMAA5ACwAIAAxADIAMQA5AC4AMQAxACwAIAAxADIAMQA5AC4AMwA3ACwAIAAxADIAMQA5AC4AMwA3ACwAIAAxADIAMQA5AC4AMgA1ACwAIAAxADIAMQA5AC4AMgAzACwAIAAxADIAMQA5AC4AMgAxACwAIAAxADIAMQA5AC4AMQA3ADsAXABuACAAIAAgACAAMQAyADEAOQAuADMALAAgADEAMgAxADkALgAzADIALAAgADEAMgAxADkALgAyADkALAAgADEAMgAxADkALgAzADEALAAgADEAMgAxADkALgAyADQALAAgADEAMgAxADkALgAyACwAIAAxADIAMQA5AC4AMQAyACwAIAAxADIAMQA5AC4AMAAyACwAIAAxADIAMQA5AC4AMAA0ACwAIAAxADIAMQA5AC4AMQA1ACwAIAAxADIAMQA5AC4AMQA3ACwAIAAxADIAMQA5AC4AMQAyACwAIAAxADIAMQA5AC4AMQAzACwAIAAxADIAMQA5AC4AMQAyACwAIAAxADIAMQA5AC4AMgAsACAAMQAyADEAOQAuADIAOAAsACAAMQAyADEAOQAuADIAMwAsACAAMQAyADEAOQAuADIALAAgADEAMgAxADkALgAyADgALAAgADEAMgAxADkALgAyADsAXABuACAAIAAgACAAMQAyADEAOQAuADUANAAsACAAMQAyADEAOQAuADQANQAsACAAMQAyADEAOQAuADMANwAsACAAMQAyADEAOQAuADMANAAsACAAMQAyADEAOQAuADMAOAAsACAAMQAyADEAOQAuADIAOQAsACAAMQAyADEAOQAuADIAOAAsACAAMQAyADEAOQAuADEAOAAsACAAMQAyADEAOQAuADAAOQAsACAAMQAyADEAOQAuADIAMgAsACAAMQAyADEAOQAuADEANwAsACAAMQAyADEAOQAuADEALAAgADEAMgAxADkALgAxADQALAAgADEAMgAxADkALgAxADYALAAgADEAMgAxADkALgAxADgALAAgADEAMgAxADkALgAyADIALAAgADEAMgAxADkALgAyADIALAAgADEAMgAxADkALgAyADEALAAgADEAMgAxADkALgAyADUALAAgADEAMgAxADkALgAyADIAOwBcAG4AIAAgACAAIAAxADIAMQA5AC4AOAA4ACwAIAAxADIAMQA5AC4ANgA3ACwAIAAxADIAMQA5AC4ANAA2ACwAIAAxADIAMQA5AC4ANAA1ACwAIAAxADIAMQA5AC4ANAA3ACwAIAAxADIAMQA5AC4AMwA0ACwAIAAxADIAMQA5AC4AMwAyACwAIAAxADIAMQA5AC4AMgAyACwAIAAxADIAMQA5AC4AMQA2ACwAIAAxADIAMQA5AC4AMQAzACwAIAAxADIAMQA5AC4AMQA2ACwAIAAxADIAMQA5AC4AMQA1ACwAIAAxADIAMQA5AC4AMQAxACwAIAAxADIAMQA5AC4AMQA4ACwAIAAxADIAMQA5AC4AMQA4ACwAIAAxADIAMQA5AC4AMgAyACwAIAAxADIAMQA5AC4AMgA0ACwAIAAxADIAMQA5AC4AMgA2ACwAIAAxADIAMQA5AC4AMgA0ACwAIAAxADIAMQA5AC4AMgA2AFwAbgB9ADsAXABuAFwAbgAvAC8AWQBvAHMAZQBtAGkAdABlACAAVgBhAGwAbABlAHkALAAgAEMAQQAgADMANwAuADcANAA1ADkALAAtADEAMQA5AC4ANQAzADMAMgBcAG4AWQBvAHMAZQBtAGkAdABlAD0AewBcAG4AIAAgACAAIAAyADYAOQAyAC4ANQA0ACwAIAAyADYAOAA1AC4AMgA2ACwAIAAyADYANwAxAC4ANgA1ACwAIAAyADYANQA1AC4AMQA1ACwAIAAyADYAMwAzAC4AMwAyACwAIAAyADYAMAA4AC4ANAAsACAAMgA1ADgAMwAuADEALAAgADIANQA0ADgALgAyADYALAAgADIANQAyADMALgAwADMALAAgADIANQAxADQALgAwADMALAAgADIANAA5ADMALgAxADIALAAgADIAMwA0ADYALgA4ADEALAAgADIAMwA0ADQALgA5ADIALAAgADIAMwAzADcALgA5ADMALAAgADIAMwAyADkALgAxADQALAAgADIAMwAxADYALgA3ADcALAAgADIAMwAwADcALgAzADgALAAgADIAMwAwADAALgA0ADgALAAgADIAMgA5ADIALgAzACwAIAAyADIAOAAyAC4ANgA3ADsAXABuACAAIAAgACAAMgA2ADYANAAuADQANQAsACAAMgA2ADgANwAuADcAMQAsACAAMgA2ADcAMAAuADQANgAsACAAMgA2ADUAMAAuADIAMQAsACAAMgA2ADIANAAuADIANwAsACAAMgA1ADkAOQAuADUAOAAsACAAMgA1ADcANwAuADUANAAsACAAMgA1ADUANQAuADMAMQAsACAAMgA1ADMAOQAuADkANAAsACAAMgA1ADQAMQAuADEANQAsACAAMgA1ADIAOAAuADQAOQAsACAAMgA1ADAAMwAuADgAOQAsACAAMgAzADUAOQAuADcALAAgADIAMwA1ADYALgAyADUALAAgADIAMwA0ADYALgAzADkALAAgADIAMwAzADUALgAyADYALAAgADIAMwAyADUALgAwADUALAAgADIAMwAxADgALgAwADEALAAgADIAMwAxADAALgAyADEALAAgADIAMgA5ADkALgA0ADsAXABuACAAIAAgACAAMgA1ADAANgAuADAAOQAsACAAMgA2ADMAMwAuADgAMQAsACAAMgA2ADQAOQAuADIANAAsACAAMgA2ADEAMQAuADgAOAAsACAAMgA1ADkAMQAuADYALAAgADIANQA2ADcALgA4ADEALAAgADIANQA1ADEALgAzADcALAAgADIANQA1ADEALgA4ADEALAAgADIANQA1ADUALgA3ADcALAAgADIANQA2ADEALgA0ADkALAAgADIANQA1ADkALgAwADgALAAgADIANQA0ADYALgAwADMALAAgADIANQAxADEALgAzADkALAAgADIANAAyADkALgAxADMALAAgADIAMwA2ADMALgAxADEALAAgADIAMwA1ADYALgAxADEALAAgADIAMwA0ADMALgAyADQALAAgADIAMwAzADQALgA4ADQALAAgADIAMwAyADUALgAzADQALAAgADIAMwAxADcALgAzADQAOwBcAG4AIAAgACAAIAAyADMANwAyAC4AMAA4ACwAIAAyADQANQAzAC4AMAA4ACwAIAAyADUANgA0AC4ANQA3ACwAIAAyADUANQAwAC4ANgAxACwAIAAyADUAMwAyAC4AMwA1ACwAIAAyADUAMgA1AC4ANwA3ACwAIAAyADUAMgAyAC4ANAA0ACwAIAAyADUAMgA4AC4ANwA4ACwAIAAyADUANAAxAC4AOAA5ACwAIAAyADUANgAwAC4AOAA5ACwAIAAyADUANwAwAC4AMwA1ACwAIAAyADUANgA1AC4AMgA0ACwAIAAyADUANQA0AC4AMQA5ACwAIAAyADUAMwAzAC4AOQA3ACwAIAAyADQAOQA4AC4AOAA1ACwAIAAyADQAMQA1AC4AOAAyACwAIAAyADMANQA5AC4ANQA3ACwAIAAyADMANQAzAC4AMwA2ACwAIAAyADMANAAzAC4AOQA1ACwAIAAyADMAMwAzAC4ANQA3ADsAXABuACAAIAAgACAAMgAzADIANQAuADQALAAgADIANAAyADAALgA1ADcALAAgADIANQAyADAALgA0ADEALAAgADIANQAwADQALgAxADEALAAgADIANAA4ADQALgA3ADYALAAgADIANAA4ADcALgA5ADkALAAgADIANAA5ADYALgAyADYALAAgADIANQAwADcALgAxADgALAAgADIANQAyADEALgA4ADIALAAgADIANQA0ADEALgA4ADMALAAgADIANQA1ADkALgA3ADIALAAgADIANQA2ADEALgAyADYALAAgADIANQA1ADEALgA3ADMALAAgADIANQAzADMALgAzADcALAAgADIANQAxADEALgA1ACwAIAAyADQANwAxAC4AOQAxACwAIAAyADQAMQA1AC4AOAAsACAAMgAzADcAMgAuADYAMgAsACAAMgAzADYAMAAuADQAOAAsACAAMgAzADQAOAAuADQANgA7AFwAbgAgACAAIAAgADIAMwAyADQALgA2ADYALAAgADIANAAxADAALgA4ADcALAAgADIANAA4ADUALgA3ADgALAAgADIANAA2ADUALgA4ADQALAAgADIANAA1ADYALgA1ADIALAAgADIANAA2ADAALgA3ADcALAAgADIANAA3ADQALgAyADUALAAgADIANAA4ADMALgA4ADkALAAgADIANQAwADMALgA0ADEALAAgADIANQAyADEALgA2ADgALAAgADIANQAzADcALgA4ADcALAAgADIANQA1ADEALgAzADEALAAgADIANQA0ADUALgA5ACwAIAAyADUAMwAwAC4AMwAsACAAMgA1ADAAOAAuADAANgAsACAAMgA0ADgAOQAuADAAMgAsACAAMgA0ADYANQAuADcANgAsACAAMgA0ADEAMAAuADMALAAgADIAMwA3ADEALgAxADcALAAgADIAMwA2ADEALgAxADkAOwBcAG4AIAAgACAAIAAyADIANgAyAC4AMgAyACwAIAAyADQANgA3AC4AMgA5ACwAIAAyADQANQA3AC4ANgA1ACwAIAAyADQAMwA2AC4ANgAsACAAMgA0ADMAMgAuADAANwAsACAAMgA0ADMANwAuADYAOQAsACAAMgA0ADUAMAAuADEANwAsACAAMgA0ADYAOAAuADgANQAsACAAMgA0ADgAMwAuADAAOQAsACAAMgA1ADAAMAAuADgAOAAsACAAMgA1ADEANgAuADgAMwAsACAAMgA1ADMAMwAuADAAOAAsACAAMgA1ADMANgAuADcANAAsACAAMgA1ADIANwAuADEAMwAsACAAMgA1ADAAOQAuADEAMwAsACAAMgA0ADgANwAuADIAMQAsACAAMgA0ADYAMgAuADcANQAsACAAMgA0ADQAMQAuADAAMQAsACAAMgAzADkAMgAuADQAOQAsACAAMgAzADcANQAuADEAOAA7AFwAbgAgACAAIAAgADIAMQA3ADkALgA2ACwAIAAyADQANgAzAC4AMwA0ACwAIAAyADQAMwA2AC4ANwA0ACwAIAAyADQAMgAwAC4ANgA5ACwAIAAyADQAMQAwAC4AMQA1ACwAIAAyADQAMQAzAC4ANwA5ACwAIAAyADQAMgA4AC4ANAAzACwAIAAyADQANAA4AC4ANQAzACwAIAAyADQANQA5AC4ANQAyACwAIAAyADQAOAAwAC4ANAA1ACwAIAAyADQAOQAxAC4ANAAsACAAMgA1ADAAMAAuADUAMQAsACAAMgA1ADAAOAAuADMALAAgADIANQAwADgALgA2ADUALAAgADIANQAwADcALgA1ADEALAAgADIANAA4ADkALgA4ADUALAAgADIANAA2ADcALgA0ADYALAAgADIANAA0ADIALgA3ADcALAAgADIANAAxADkALgA0ADcALAAgADIAMwA5ADQAOwBcAG4AIAAgACAAIAAyADEAOAAzAC4ANAA2ACwAIAAyADIANQAwAC4ANgAyACwAIAAyADQAMQA4AC4ANwA5ACwAIAAyADMAOQA4AC4AMQA3ACwAIAAyADMAOAAyAC4AMwAzACwAIAAyADMAOAA1AC4ANgA0ACwAIAAyADMAOQA1AC4ANAAyACwAIAAyADQAMQAyAC4AMAA3ACwAIAAyADQAMgA5AC4AMAA5ACwAIAAyADQANAAzAC4ANwA3ACwAIAAyADQANQAwAC4ANAAsACAAMgA0ADUAOQAuADIALAAgADIANAA2ADEALgA5ACwAIAAyADQANgA5AC4ANQA2ACwAIAAyADQANwA2AC4ANAAyACwAIAAyADQANwA4AC4AOAA3ACwAIAAyADQANgA2AC4ANgA5ACwAIAAyADQANAA4AC4AOQA4ACwAIAAyADQAMgA4AC4AMAA3ACwAIAAyADQAMAA0AC4AMgA4ADsAXABuACAAIAAgACAAMgAxADkAMAAuADcAMQAsACAAMgAyADEAMgAuADQANwAsACAAMgAyADkANgAuADkAOAAsACAAMgAzADUAOQAuADUAOAAsACAAMgAzADQAMgAuADQANgAsACAAMgAzADQANgAuADIALAAgADIAMwA1ADgALgAxACwAIAAyADMANgAwAC4AOQA0ACwAIAAyADMANwA0AC4ANgAxACwAIAAyADMAOAA0AC4ANAA5ACwAIAAyADMAOQAwAC4ANAA4ACwAIAAyADMAOQAyAC4ANgAyACwAIAAyADQAMAA0AC4AOQA1ACwAIAAyADQAMgA0AC4AMQA1ACwAIAAyADQAMwAwAC4AOAA2ACwAIAAyADQANAAwAC4ANwA3ACwAIAAyADQANAA2AC4ANwAxACwAIAAyADQAMwA5AC4AMwA0ACwAIAAyADQAMgA0AC4AMQAxACwAIAAyADQAMAA3AC4ANQA2ADsAXABuACAAIAAgACAAMgAyADAAOQAuADMAMwAsACAAMgAyADIANAAuADUAMwAsACAAMgAyADQAMAAuADgAOAAsACAAMgAzADAAMQAuADgAMgAsACAAMgAyADkANQAuADEANgAsACAAMgAyADkAOQAuADAAOAAsACAAMgAzADEAMgAuADUAOQAsACAAMgAzADIAMgAuADkAMQAsACAAMgAzADMAMwAuADMAMQAsACAAMgAzADQANAAuADQANwAsACAAMgAzADUANQAuADAAMQAsACAAMgAzADYAOAAuADMANAAsACAAMgAzADgAMQAuADgAOAAsACAAMgAzADkANAAuADEANgAsACAAMgA0ADAAMwAuADcAMwAsACAAMgA0ADEAMgAuADQAMwAsACAAMgA0ADEANAAuADgAMgAsACAAMgA0ADEANwAuADIAMwAsACAAMgA0ADEAMgAuADYAOQAsACAAMgA0ADAANQAuADYANAA7AFwAbgAgACAAIAAgADIAMgAwADYALgA1ADkALAAgADIAMgAyADQALgAwADIALAAgADIAMgA0ADIALgAwADMALAAgADIAMgA1ADUALAAgADIAMgA2ADcALgAyADcALAAgADIAMgA3ADUALgAyADgALAAgADIAMgA5ADAALgA3ADQALAAgADIAMwAwADUALgAwADIALAAgADIAMwAxADUALgA2ADQALAAgADIAMwAyADQALgA1ADYALAAgADIAMwAzADYALgAzADMALAAgADIAMwA1ADIALgAwADQALAAgADIAMwA2ADQALgA1ADUALAAgADIAMwA3ADcALgA1ADYALAAgADIAMwA4ADkALgA5ADcALAAgADIAMwA5ADkALAAgADIANAAwADIALgA1ACwAIAAyADQAMAAzAC4AOAAzACwAIAAyADQAMAA0AC4AMwA1ACwAIAAyADQAMAA0AC4AMgA7AFwAbgAgACAAIAAgADIAMgAwADYALgA4ADEALAAgADIAMgAyADEALgA5ADQALAAgADIAMgAyADkALgAyADIALAAgADIAMgAzADMALgAwADgALAAgADIAMgA0ADQALgAyACwAIAAyADIANQA3AC4ANQAxACwAIAAyADIANwAzAC4ANgA2ACwAIAAyADIAOAA1AC4AMAA5ACwAIAAyADIAOQAxAC4ANgAyACwAIAAyADIAOQA1AC4AOAA3ACwAIAAyADMAMQA4AC4AMwAxACwAIAAyADMAMwAxAC4ANAAzACwAIAAyADMANAA3AC4AMwAsACAAMgAzADYANAAuADIANAAsACAAMgAzADcAOAAuADcANgAsACAAMgAzADgAOAAuADUANAAsACAAMgAzADkAMwAuADkANgAsACAAMgAzADkAOAAuADIALAAgADIANAAwADEALgA2ACwAIAAyADQAMAAzAC4AOQA4ADsAXABuACAAIAAgACAAMgAyADAANwAuADkAMQAsACAAMgAyADAAOQAuADEAOQAsACAAMgAyADAAOAAuADYANQAsACAAMgAyADEANwAuADcANAAsACAAMgAyADIAOAAuADkAMwAsACAAMgAyADQAMQAuADEAOAAsACAAMgAyADQAOQAuADAANgAsACAAMgAyADYANAAuADAANAAsACAAMgAyADcAMQAuADYAOQAsACAAMgAyADgANwAuADIANAAsACAAMgAzADAANAAuADUANgAsACAAMgAzADEAOQAuADYANwAsACAAMgAzADMANAAuADYAOAAsACAAMgAzADUAMwAuADAANAAsACAAMgAzADYAOQAuADcANQAsACAAMgAzADgAMwAuADgAMQAsACAAMgAzADkAMgAuADcANgAsACAAMgAzADkAOAAsACAAMgA0ADAAMgAuADYAOAAsACAAMgA0ADAAMgAuADkAMwA7AFwAbgAgACAAIAAgADIAMQA5ADEALgA0ADkALAAgADIAMQA5ADEALgAwADgALAAgADIAMQA5ADYALgA2ADQALAAgADIAMgAwADUALgA2ADkALAAgADIAMgAxADYALgA2ACwAIAAyADIAMgA4AC4ANAA2ACwAIAAyADIANAAwAC4AMwA1ACwAIAAyADIANQAyAC4AMwA3ACwAIAAyADIANgA2AC4ANgAxACwAIAAyADIAOAAwAC4AOQAyACwAIAAyADIAOQA1AC4AOQA5ACwAIAAyADMAMQAxAC4ANwAyACwAIAAyADMAMgA5AC4AMAAyACwAIAAyADMANAA1AC4AMwA4ACwAIAAyADMANgAwAC4ANgAzACwAIAAyADMANwA2AC4ANgAzACwAIAAyADMAOAA3AC4ANAA0ACwAIAAyADMAOQAzAC4AOQA3ACwAIAAyADMAOQA1AC4ANwA5ACwAIAAyADQAMAAyAC4AMQAyADsAXABuACAAIAAgACAAMgAxADcANAAuADYAMQAsACAAMgAxADcAOQAuADYAMgAsACAAMgAxADgANQAuADkANQAsACAAMgAxADkANAAuADAANwAsACAAMgAyADAAMwAuADQANgAsACAAMgAyADEANAAuADcAOQAsACAAMgAyADIAOQAuADAANQAsACAAMgAyADQANwAuADMAMwAsACAAMgAyADYAMQAuADQANwAsACAAMgAyADcANgAuADAAMQAsACAAMgAyADgAOQAuADQAMwAsACAAMgAzADAAMwAuADYAMwAsACAAMgAzADEAOQAuADUALAAgADIAMwAzADQALgAwADIALAAgADIAMwA0ADYALgAxADMALAAgADIAMwA1ADkALgAzADgALAAgADIAMwA3ADMALgAwADYALAAgADIAMwA4ADQALgA4ADIALAAgADIAMwA5ADIALgA2ADMALAAgADIAMwA5ADkALgAyADUAOwBcAG4AIAAgACAAIAAyADEANQAyAC4ANAA5ACwAIAAyADEANgAzAC4ANwAzACwAIAAyADEANwAxAC4AMwA2ACwAIAAyADEANwA5AC4AMwA4ACwAIAAyADEAOAA4AC4ANwA3ACwAIAAyADEAOQA5AC4ANgA2ACwAIAAyADIAMQAzAC4ANQA5ACwAIAAyADIAMwAwAC4ANQAsACAAMgAyADUAMgAuADQALAAgADIAMgA2ADgALgAzADcALAAgADIAMgA4ADEALgA2ADUALAAgADIAMgA5ADYALgA1ADEALAAgADIAMwAwADkALgAzADgALAAgADIAMwAyADAALgA3ACwAIAAyADMAMwAyAC4AMQAyACwAIAAyADMANAAzAC4AOQA5ACwAIAAyADMANQA4AC4ANQAsACAAMgAzADcANAAuADIAOAAsACAAMgAzADgANQAuADQALAAgADIAMwA5ADMALgA4ADQAOwBcAG4AIAAgACAAIAAyADEAMQA4AC4ANwA4ACwAIAAyADEAMwA1AC4AMAA0ACwAIAAyADEANAA4AC4AMQAyACwAIAAyADEANgAwAC4ANQA5ACwAIAAyADEANwAzAC4ANAAxACwAIAAyADEAOAA4AC4ANQA4ACwAIAAyADIAMAAyAC4AMgA0ACwAIAAyADIAMgAzAC4AMAA4ACwAIAAyADIAMwA2ACwAIAAyADIANQA4AC4ANwAzACwAIAAyADIANwAyAC4AMAAxACwAIAAyADIAOAA0AC4AOAA2ACwAIAAyADIAOQA3AC4ANQAsACAAMgAzADAAOQAuADQANwAsACAAMgAzADIAMQAuADYANAAsACAAMgAzADMAMwAuADAAOQAsACAAMgAzADQANgAuADQAOAAsACAAMgAzADUAOQAuADIANwAsACAAMgAzADcANwAuADUAMwAsACAAMgAzADgANQAuADMANgA7AFwAbgAgACAAIAAgADIAMAA3ADIALgA1ACwAIAAyADAAOQA4AC4AOQAxACwAIAAyADEAMQA4AC4AMAAxACwAIAAyADEAMwA2AC4ANgA0ACwAIAAyADEANQA5AC4ANgAxACwAIAAyADEAOAAzAC4AMAAzACwAIAAyADIAMAAxAC4ANgA0ACwAIAAyADIAMQA4AC4AOAAzACwAIAAyADIAMwAyAC4AOAAyACwAIAAyADIANAA0AC4ANAA4ACwAIAAyADIANQA5AC4AMwA1ACwAIAAyADIANwAxAC4ANgA3ACwAIAAyADIAOAAzAC4AMwA1ACwAIAAyADIAOQA1AC4ANQAsACAAMgAzADAANwAuADkAOQAsACAAMgAzADEAOAAuADIANQAsACAAMgAzADMAMgAuADQANAAsACAAMgAzADQANgAuADgAMwAsACAAMgAzADYAMgAuADQAMwAsACAAMgAzADcANgAuADMAOQA7AFwAbgAgACAAIAAgADIAMAAwADMALgA0ADYALAAgADIAMAA1ADgALgA4ADgALAAgADIAMAA5ADAALgA0ADcALAAgADIAMQAxADUALgAyADgALAAgADIAMQA0ADQALgAzADYALAAgADIAMQA3ADAALgAyADMALAAgADIAMQA4ADgALgAzADQALAAgADIAMgAwADQALgA1ACwAIAAyADIAMQA1AC4ANwAzACwAIAAyADIAMgA1AC4AOAA5ACwAIAAyADIANAAwAC4AMQAsACAAMgAyADUANwAuADcANgAsACAAMgAyADcAMgAuADUALAAgADIAMgA4ADQALgAyADkALAAgADIAMgA5ADYALAAgADIAMwAwADcALgA2ADQALAAgADIAMwAxADgALgA4ADYALAAgADIAMwAzADAALgA2ADQALAAgADIAMwA0ADIALgA0ADkALAAgADIAMwA1ADgALgA1ADcAXABuAH0AOwBcAG4AXABuAC8ALwBNAG8AbgB1AG0AZQBuAHQAIABWAGEAbABsAGUAeQAgACAAVQB0AGEAaAAgADMANgAuADkAOAAzADMAMwAzACwALQAxADEAMAAuADEAXABuAFwAbgBNAG8AbgB1AG0AZQBuAHQAVgBhAGwAbABlAHkAPQBcAG4AIAAgACAAIAB7ADEANgAwADkALgAwADgALAAgADEANgAwADgALgA1ADgALAAgADEANgAwADcALgA5ADQALAAgADEANgAwADcALgA0ADEALAAgADEANgAwADYALgA0ADUALAAgADEANgAwADUALgAyADUALAAgADEANgAwADIALgA5ADUALAAgADEANgAwADEALgA1ADMALAAgADEANgAwADAALgA4ADcALAAgADEANQA5ADkALgA0ADkALAAgADEANQA5ADgALgA0ADcALAAgADEANQA5ADYALgA2ADcALAAgADEANQA5ADUALgA3ADYALAAgADEANQA5ADQALgA3ADIALAAgADEANQA5ADMALgA3ADkALAAgADEANQA5ADMALgAwADUALAAgADEANQA5ADIALgAxADUALAAgADEANQA5ADEALgAwADQALAAgADEANQA4ADgALgA4ADQALAAgADEANQA4ADcALgAyADcALAAgADEANQA4ADUALgA5ADMALAAgADEANQA4ADUALgA2ACwAIAAxADUAOAA1AC4AMgA4ACwAIAAxADUAOAA0AC4ANwAyACwAIAAxADUAOAA0AC4AMwA0ACwAIAAxADUAOAA0AC4ANQAyACwAIAAxADUAOAA0AC4AOQAzACwAIAAxADUAOAA2AC4AMAAxACwAIAAxADUAOAA1AC4AOAA2ACwAIAAxADUAOAA3AC4AOQA7AFwAbgAgACAAIAAgADEANgAwADkALgA1ADIALAAgADEANgAwADkALgAwADkALAAgADEANgAwADgALgA0ADcALAAgADEANgAwADgALgAyADEALAAgADEANgAwADcALgA0ADkALAAgADEANgAwADYALgAyADUALAAgADEANgAwADQALgA3ADIALAAgADEANgAwADIALgA5ADgALAAgADEANgAwADEALgA4ADUALAAgADEANgAwADAALgAyADMALAAgADEANQA5ADgALgA2ADgALAAgADEANQA5ADYALgA4ACwAIAAxADUAOQA1AC4ANgA3ACwAIAAxADUAOQAzAC4AOQA5ACwAIAAxADUAOQAyAC4AMQA4ACwAIAAxADUAOQAxAC4AMQA2ACwAIAAxADUAOQAwAC4AMwA4ACwAIAAxADUAOAA5AC4AOQA1ACwAIAAxADUAOAA4AC4ANQA3ACwAIAAxADUAOAA2AC4ANAA1ACwAIAAxADUAOAA1AC4AOAA5ACwAIAAxADUAOAA1AC4AOQAsACAAMQA1ADgANQAuADkANAAsACAAMQA1ADgANAAuADQALAAgADEANQA4ADMALgA5ADYALAAgADEANQA4ADMALgA2ACwAIAAxADUAOAAzAC4ANwAxACwAIAAxADUAOAA1AC4AMQAzACwAIAAxADUAOAA1AC4ANQAyACwAIAAxADUAOAA1AC4AOQA2ADsAXABuACAAIAAgACAAMQA2ADEAMAAuADEAOAAsACAAMQA2ADEAMAAuADEANwAsACAAMQA2ADAAOQAuADgAMwAsACAAMQA2ADAAOQAuADUANwAsACAAMQA2ADAAOAAuADcANQAsACAAMQA2ADAAOAAuADIAOQAsACAAMQA2ADAANQAuADkAOAAsACAAMQA2ADAAMwAuADMANAAsACAAMQA2ADAAMQAuADUANQAsACAAMQA2ADAAMAAuADAAMwAsACAAMQA1ADkAOQAuADIANAAsACAAMQA1ADkAOAAuADQAOAAsACAAMQA1ADkANwAuADkAOQAsACAAMQA1ADkAMwAuADcANwAsACAAMQA1ADkAMAAuADkALAAgADEANQA5ADAALgAxADQALAAgADEANQA4ADkALgAxADQALAAgADEANQA4ADgALgA2ADkALAAgADEANQA4ADgALgAzADMALAAgADEANQA4ADcALgAzADcALAAgADEANQA4ADYALgA3ADkALAAgADEANQA4ADYALgA4ACwAIAAxADUAOAA2AC4AMAA0ACwAIAAxADUAOAA1AC4ANAA2ACwAIAAxADUAOAA0ACwAIAAxADUAOAAyAC4AOQAsACAAMQA1ADgAMgAuADcAMwAsACAAMQA1ADgAMwAuADEAMwAsACAAMQA1ADgANAAuADAANgAsACAAMQA1ADgANAAuADcAMgA7AFwAbgAgACAAIAAgADEANgAxADAALgA5ACwAIAAxADYAMQAwAC4ANAA1ACwAIAAxADYAMQAwAC4ANgAzACwAIAAxADYAMQAwAC4AOAAzACwAIAAxADYAMQAwAC4ANwA5ACwAIAAxADYAMQAwAC4ANQA3ACwAIAAxADYAMAA1AC4AOQA0ACwAIAAxADYAMAAxAC4AOQA2ACwAIAAxADYAMAAwAC4ANAA3ACwAIAAxADUAOQA5AC4AMgA3ACwAIAAxADUAOQA4AC4AMQA0ACwAIAAxADUAOQA3AC4ANwAsACAAMQA1ADkANgAuADQAMwAsACAAMQA1ADkAMQAuADAAOQAsACAAMQA1ADgAOAAuADcANAAsACAAMQA1ADgANwAuADkAMgAsACAAMQA1ADgANwAuADYANgAsACAAMQA1ADgANwAuADQAMwAsACAAMQA1ADgANwAuADIAOQAsACAAMQA1ADgANgAuADkAMQAsACAAMQA1ADgANQAuADkAMQAsACAAMQA1ADgANQAuADkAMgAsACAAMQA1ADgANgAuADEANAAsACAAMQA1ADgANQAuADUANgAsACAAMQA1ADgANAAuADIAOAAsACAAMQA1ADgAMgAuADYALAAgADEANQA4ADEALgA5ADMALAAgADEANQA4ADEALgA3ADUALAAgADEANQA4ADIALgAyADQALAAgADEANQA4ADMALgA0ADsAXABuACAAIAAgACAAMQA2ADAANwAuADcAMQAsACAAMQA2ADAANgAuADYAMgAsACAAMQA2ADAANwAuADIAOAAsACAAMQA2ADAAOAAuADAAMgAsACAAMQA2ADAANwAuADYAOAAsACAAMQA2ADAANQAuADcANgAsACAAMQA2ADAAMgAuADUAMQAsACAAMQA2ADAAMAAuADIAMwAsACAAMQA1ADkAOAAuADkAMgAsACAAMQA1ADkANwAuADYANAAsACAAMQA1ADkANQAuADUALAAgADEANQA5ADMALAAgADEANQA5ADAALgAyADMALAAgADEANQA4ADYALgA5ADEALAAgADEANQA4ADYALgAwADkALAAgADEANQA4ADYALgAxADMALAAgADEANQA4ADYALgAzADEALAAgADEANQA4ADUALgA5ADEALAAgADEANQA4ADUALgA3ADkALAAgADEANQA4ADUALgA3ADkALAAgADEANQA4ADUALgA1ADcALAAgADEANQA4ADUALgAxACwAIAAxADUAOAA0AC4ANQA0ACwAIAAxADUAOAA0AC4AMgAzACwAIAAxADUAOAAzAC4ANwAzACwAIAAxADUAOAAyAC4ANgA5ACwAIAAxADUAOAAxAC4ANwAzACwAIAAxADUAOAAwAC4ANwA5ACwAIAAxADUAOAAwAC4AOQAyACwAIAAxADUAOAAyAC4AMQA7AFwAbgAgACAAIAAgADEANgAwADEALgA3ADUALAAgADEANgAwADIALgA0ADYALAAgADEANgAwADIALgA1ADIALAAgADEANgAwADIALgA4ADQALAAgADEANgAwADEALgA4ADIALAAgADEANQA5ADkALgA5ADQALAAgADEANQA5ADcALgA4ADMALAAgADEANQA5ADcALgAxADMALAAgADEANQA5ADYALgAzADIALAAgADEANQA5ADQALgAxACwAIAAxADUAOQAyAC4AMQA0ACwAIAAxADUAOAA5AC4AMQAsACAAMQA1ADgANgAuADgAMQAsACAAMQA1ADgANQAuADIANwAsACAAMQA1ADgANQAuADIAMwAsACAAMQA1ADgANQAuADEAOQAsACAAMQA1ADgANQAuADEAOQAsACAAMQA1ADgANAAuADkAOQAsACAAMQA1ADgANAAuADgANwAsACAAMQA1ADgANAAuADgAMQAsACAAMQA1ADgANAAuADUAMQAsACAAMQA1ADgANAAuADQAOAAsACAAMQA1ADgAMwAuADgANAAsACAAMQA1ADgAMwAuADAANwAsACAAMQA1ADgAMgAuADkAMQAsACAAMQA1ADgAMgAuADAAOQAsACAAMQA1ADgAMAAuADgAMQAsACAAMQA1ADcAOQAuADgANwAsACAAMQA1ADcAOQAuADkANgAsACAAMQA1ADgAMAAuADMAOAA7AFwAbgAgACAAIAAgADEANQA5ADgALgA5ADEALAAgADEANQA5ADgALgA4ACwAIAAxADUAOQA4AC4AMwA4ACwAIAAxADYAMAAwAC4AMAA0ACwAIAAxADUAOQA3AC4AOAA4ACwAIAAxADUAOQA3AC4AMwAyACwAIAAxADUAOQA1AC4AMQAzACwAIAAxADUAOQAzAC4AMgAxACwAIAAxADUAOQAyAC4AMgA0ACwAIAAxADUAOQAwAC4ANQA0ACwAIAAxADUAOAA5AC4AMgA2ACwAIAAxADUAOAA3ACwAIAAxADUAOAA1AC4AMgA1ACwAIAAxADUAOAA1AC4AMwA5ACwAIAAxADUAOAA1AC4AMwA1ACwAIAAxADUAOAA1AC4AMAAzACwAIAAxADUAOAA0AC4ANgA1ACwAIAAxADUAOAA0AC4ANwAxACwAIAAxADUAOAA0AC4AMwA3ACwAIAAxADUAOAA0AC4AMgA5ACwAIAAxADUAOAA0AC4AMAA5ACwAIAAxADUAOAAzAC4ANgA4ACwAIAAxADUAOAAzAC4AMgAsACAAMQA1ADgAMgAuADYANwAsACAAMQA1ADgAMgAuADAANwAsACAAMQA1ADgAMAAuADgAOQAsACAAMQA1ADgAMAAuADIAMQAsACAAMQA1ADcAOAAuADgAOQAsACAAMQA1ADcAOAAuADMANgAsACAAMQA1ADcAOAAuADcAOwBcAG4AIAAgACAAIAAxADUAOQA2AC4ANgA0ACwAIAAxADUAOQA2AC4AMwAzACwAIAAxADUAOQA3AC4AMAA1ACwAIAAxADUAOQA3AC4AOQA0ACwAIAAxADUAOQA2AC4AMwA4ACwAIAAxADUAOQA0AC4ANgAyACwAIAAxADUAOQAyAC4ANgA3ACwAIAAxADUAOQAwAC4ANwA3ACwAIAAxADUAOAA5AC4AMQA4ACwAIAAxADUAOAA3AC4AMwA0ACwAIAAxADUAOAA1AC4ANgA4ACwAIAAxADUAOAA1AC4ANAAsACAAMQA1ADgANQAuADYANwAsACAAMQA1ADgANwAuADAAMwAsACAAMQA1ADgANgAuADgANAAsACAAMQA1ADgANQAuADYANAAsACAAMQA1ADgANQAuADAANAAsACAAMQA1ADgANAAuADcAMgAsACAAMQA1ADgANAAuADgAMgAsACAAMQA1ADgANAAuADUANQAsACAAMQA1ADgANAAuADgAMQAsACAAMQA1ADgANAAuADQAOAAsACAAMQA1ADgAMwAuADYANgAsACAAMQA1ADgAMgAuADUAOQAsACAAMQA1ADgAMQAuADcAOQAsACAAMQA1ADgAMAAuADUAOQAsACAAMQA1ADcAOQAuADUANQAsACAAMQA1ADcAOAAuADEAOQAsACAAMQA1ADcANwAuADUANgAsACAAMQA1ADcANwAuADQANAA7AFwAbgAgACAAIAAgADEANQA5ADUALgA5ADYALAAgADEANQA5ADUALgA5ADUALAAgADEANQA5ADUALgA2ADMALAAgADEANQA5ADUALgA4ADIALAAgADEANQA5ADQALgA1ADgALAAgADEANQA5ADMALgAzACwAIAAxADUAOQAxAC4AMwA3ACwAIAAxADUAOAA5AC4AMAA5ACwAIAAxADUAOAA2AC4AOAAyACwAIAAxADUAOAA1AC4ANQA0ACwAIAAxADUAOAA2AC4AMAA4ACwAIAAxADUAOAA2AC4AMwA0ACwAIAAxADUAOAA3AC4ANQA5ACwAIAAxADUAOAA4AC4AMgA3ACwAIAAxADUAOAA3AC4AMwA2ACwAIAAxADUAOAA1AC4ANwAyACwAIAAxADUAOAA2AC4AMQA4ACwAIAAxADUAOAA1AC4ANgAsACAAMQA1ADgANgAuADAAMgAsACAAMQA1ADgANQAuADQAMwAsACAAMQA1ADgANQAuADkANQAsACAAMQA1ADgANQAuADcANgAsACAAMQA1ADgANAAuADcANgAsACAAMQA1ADgAMwAuADYAOQAsACAAMQA1ADgAMgAuADQAMQAsACAAMQA1ADgAMAAuADYAOQAsACAAMQA1ADcAOQAuADQANwAsACAAMQA1ADcANwAuADUANwAsACAAMQA1ADcANgAuADUANgAsACAAMQA1ADcANgAuADIAOwBcAG4AIAAgACAAIAAxADUAOQA2AC4AOAA5ACwAIAAxADUAOQA2AC4AMgA4ACwAIAAxADUAOQA2AC4AMAA0ACwAIAAxADUAOQA1AC4ANgA2ACwAIAAxADUAOQA0AC4AMwA4ACwAIAAxADUAOQAzAC4ANAAyACwAIAAxADUAOQAxAC4AMgAyACwAIAAxADUAOAA5AC4ANAA4ACwAIAAxADUAOAA3AC4ANwA4ACwAIAAxADUAOAA3AC4AOQA4ACwAIAAxADUAOAA4AC4ANgA5ACwAIAAxADUAOAA5AC4AMAA5ACwAIAAxADUAOAA5AC4ANwAsACAAMQA1ADgAOQAuADcALAAgADEANQA4ADcALgAyADEALAAgADEANQA4ADYALgA5ADUALAAgADEANQA4ADgALgAzADMALAAgADEANQA4ADcALgA0ADYALAAgADEANQA4ADcALgAzADYALAAgADEANQA4ADYALgA0ADYALAAgADEANQA4ADYALgAyADIALAAgADEANQA4ADYALgAxADcALAAgADEANQA4ADUALgA3ADkALAAgADEANQA4ADUALgA1ADQALAAgADEANQA4ADMALgA2ACwAIAAxADUAOAAxAC4ANgA0ACwAIAAxADUANwA5AC4AOAAsACAAMQA1ADcANwAuADIAMgAsACAAMQA1ADcANQAuADcAMgAsACAAMQA1ADcANQAuADIANAA7AFwAbgAgACAAIAAgADEANQA5ADgALgAzADMALAAgADEANQA5ADcALgA5ADgALAAgADEANQA5ADcALgA4ADgALAAgADEANQA5ADcALAAgADEANQA5ADUALAAgADEANQA5ADMALgA5ADYALAAgADEANQA5ADIALgAzACwAIAAxADUAOQAwAC4AOQA4ACwAIAAxADUAOQAwAC4AOAA0ACwAIAAxADUAOQAxAC4AMgA4ACwAIAAxADUAOQAxAC4AOQA1ACwAIAAxADUAOQAyAC4ANAAzACwAIAAxADUAOQAyAC4ANgAsACAAMQA1ADkAMgAuADIANgAsACAAMQA1ADkAMQAuADAAOQAsACAAMQA1ADkAMQAuADEAMQAsACAAMQA1ADkAMAAuADkAMwAsACAAMQA1ADkAMAAuADcAMgAsACAAMQA1ADgAOQAuADMANAAsACAAMQA1ADgANwAuADcAMgAsACAAMQA1ADgANwAuADMALAAgADEANQA4ADcALgAwADcALAAgADEANQA4ADUALgA4ADUALAAgADEANQA4ADQALgA1ADIALAAgADEANQA4ADMALgA3ADQALAAgADEANQA4ADEALgA5ADgALAAgADEANQA4ADAALgAyACwAIAAxADUANwA3AC4ANQAsACAAMQA1ADcANQAuADIANAAsACAAMQA1ADcAMwAuADYANgA7AFwAbgAgACAAIAAgADEANgAwADEALgAzADUALAAgADEANgAwADAALgA4ACwAIAAxADUAOQA4AC4ANwAyACwAIAAxADUAOQA3AC4AMwAyACwAIAAxADUAOQA1AC4ANAAsACAAMQA1ADkANAAuADYANAAsACAAMQA1ADkAMwAuADMANgAsACAAMQA1ADkAMgAuADUANAAsACAAMQA1ADkAMgAuADUANgAsACAAMQA1ADkAMwAuADEAMgAsACAAMQA1ADkAMwAuADkANwAsACAAMQA1ADkANAAuADgAMQAsACAAMQA1ADkANQAuADEANAAsACAAMQA1ADkANAAuADAAMgAsACAAMQA1ADkAMwAuADUANwAsACAAMQA1ADkAMwAuADYAMwAsACAAMQA1ADkAMwAuADQAOQAsACAAMQA1ADkAMwAuADAAOAAsACAAMQA1ADkAMQAuADAAMgAsACAAMQA1ADgAOQAuADUALAAgADEANQA4ADcALgA3ADgALAAgADEANQA4ADYALgAyADkALAAgADEANQA4ADQALgA5ADcALAAgADEANQA4ADQALgAzADYALAAgADEANQA4ADMALgA3ADQALAAgADEANQA4ADIALgAxADIALAAgADEANQA4ADAALgA3ACwAIAAxADUANwA4AC4AMwAsACAAMQA1ADcANgAuADAAMgAsACAAMQA1ADcANAAuADEAOwBcAG4AIAAgACAAIAAxADYAMAA2AC4AMQA3ACwAIAAxADYAMAAyAC4AMAA3ACwAIAAxADUAOQA3AC4ANgA3ACwAIAAxADUAOQA2AC4AOAA2ACwAIAAxADUAOQA1AC4ANwA0ACwAIAAxADUAOQA1AC4AMwA0ACwAIAAxADUAOQA1AC4AMwA0ACwAIAAxADUAOQA1AC4AMgAsACAAMQA1ADkANQAuADQAMgAsACAAMQA1ADkANQAuADkAOAAsACAAMQA1ADkANwAuADAANAAsACAAMQA1ADkANwAuADgALAAgADEANQA5ADcALgA3ADkALAAgADEANQA5ADUALgA4ADMALAAgADEANQA5ADYALgAxADUALAAgADEANQA5ADYALgA1ADMALAAgADEANQA5ADYALgA5ADEALAAgADEANQA5ADcALgAyADYALAAgADEANQA5ADMALgA4ADYALAAgADEANQA5ADEALgAxADQALAAgADEANQA4ADgALAAgADEANQA4ADUALgA1ADkALAAgADEANQA4ADUALgAzADUALAAgADEANQA4ADUALgA0ADUALAAgADEANQA4ADQALgAzADMALAAgADEANQA4ADMALgA1ADcALAAgADEANQA4ADIALgA2ADYALAAgADEANQA4ADEALgAxACwAIAAxADUANwA5AC4ANAA2ACwAIAAxADUANwA3AC4AMwA7AFwAbgAgACAAIAAgADEANgAwADkALgA1ADkALAAgADEANgAwADEALgAyADMALAAgADEANQA5ADcALgA2ADkALAAgADEANQA5ADcALgAxADQALAAgADEANQA5ADYALgAyADYALAAgADEANQA5ADYALgAxACwAIAAxADUAOQA3AC4AOAA2ACwAIAAxADUAOQA3AC4AMwA4ACwAIAAxADUAOQA3AC4ANgAyACwAIAAxADUAOQA4AC4ANAA0ACwAIAAxADUAOQA5AC4AMQA4ACwAIAAxADUAOQA4AC4ANgAyACwAIAAxADUAOQA4AC4AMQAxACwAIAAxADUAOQA2AC4ANwAzACwAIAAxADUAOQA3AC4ANgA1ACwAIAAxADUAOQA5AC4AMAAxACwAIAAxADUAOQA4AC4AMQAxACwAIAAxADUAOQA3ACwAIAAxADUAOQA0AC4ANgA2ACwAIAAxADUAOQAzAC4AMAA4ACwAIAAxADUAOQAwAC4ANQA3ACwAIAAxADUAOAA2AC4ANQA5ACwAIAAxADUAOAA2AC4AMAA1ACwAIAAxADUAOAA2AC4AMQAzACwAIAAxADUAOAA1AC4AOAA5ACwAIAAxADUAOAA2AC4AMAAzACwAIAAxADUAOAA1AC4ANAA2ACwAIAAxADUAOAA0AC4ANgAsACAAMQA1ADgAMgAuADUALAAgADEANQA4ADAALgAxADQAOwBcAG4AIAAgACAAIAAxADYAMAA4AC4ANgAxACwAIAAxADYAMAAzAC4ANAA1ACwAIAAxADUAOQA5AC4AMQAzACwAIAAxADUAOQA3AC4AOQAyACwAIAAxADUAOQA2AC4AOAAyACwAIAAxADUAOQA2AC4ANwA2ACwAIAAxADUAOQA4AC4AMAA2ACwAIAAxADUAOQA4AC4ANwA4ACwAIAAxADUAOQA5AC4ANgA0ACwAIAAxADYAMAAwAC4ANAA0ACwAIAAxADUAOQA5AC4AMgAsACAAMQA1ADkAOAAuADEALAAgADEANQA5ADcALgA2ADMALAAgADEANQA5ADcALgAzADcALAAgADEANgAwADAALgA0ADcALAAgADEANQA5ADgALgA5ADcALAAgADEANQA5ADcALgAzADkALAAgADEANQA5ADYALgA3ADIALAAgADEANQA5ADYALgAzADYALAAgADEANQA5ADYALgA1ADYALAAgADEANQA5ADMALgAwADgALAAgADEANQA4ADkALgA0ADkALAAgADEANQA4ADgALgA1ADMALAAgADEANQA4ADcALgAyADkALAAgADEANQA4ADcALgAyADUALAAgADEANQA4ADcALgAwADUALAAgADEANQA4ADYALgAzADQALAAgADEANQA4ADUALgA0ADYALAAgADEANQA4ADQALgA0ADIALAAgADEANQA4ADIALgAxADIAOwBcAG4AIAAgACAAIAAxADYAMAAxAC4ANAA1ACwAIAAxADUAOQA5AC4AOQA2ACwAIAAxADUAOQA4AC4ANQAsACAAMQA1ADkANwAuADYAMgAsACAAMQA1ADkANgAuADgANAAsACAAMQA1ADkANwAuADQALAAgADEANQA5ADgALgA1ADEALAAgADEANgAwADAALgAzADcALAAgADEANgAwADEALgA2ADUALAAgADEANgAwADEALgA3ADMALAAgADEANQA5ADgALgA4ADQALAAgADEANQA5ADkALgA4ADQALAAgADEANgAwADIALgAyADkALAAgADEANgAwADQALgAzADMALAAgADEANgAwADcALgAwADgALAAgADEANgAwADQALgA1ADYALAAgADEANgAwADUALgAzADIALAAgADEANgAwADYALgAyADMALAAgADEANgAwADYALgA0ADMALAAgADEANgAwADUALgAwADIALAAgADEANQA5ADUALgA5ADgALAAgADEANQA5ADQALgAwADkALAAgADEANQA4ADkALgA2ADIALAAgADEANQA4ADcALgA1ADgALAAgADEANQA4ADYALgA5ADQALAAgADEANQA4ADYALgA3ADgALAAgADEANQA4ADYALgAzADUALAAgADEANQA4ADUALgA5ADEALAAgADEANQA4ADUALgAzADMALAAgADEANQA4ADMALgA3ADMAOwBcAG4AIAAgACAAIAAxADUAOQA2AC4AOAA1ACwAIAAxADUAOQA2AC4AOAA0ACwAIAAxADUAOQA2AC4AOAA2ACwAIAAxADUAOQA2AC4AOAA2ACwAIAAxADUAOQA3AC4AMAA2ACwAIAAxADUAOQA3AC4ANgA4ACwAIAAxADYAMAAxAC4AMQA3ACwAIAAxADYAMAAzAC4AMAAzACwAIAAxADYAMAA0AC4AMwA5ACwAIAAxADYAMAA0AC4AMgAxACwAIAAxADYAMAAzAC4ANQA0ACwAIAAxADYAMAA1AC4AOQAyACwAIAAxADYAMAA5AC4AOAA3ACwAIAAxADYAMQAxAC4AMwAzACwAIAAxADYAMQAyAC4ANAAsACAAMQA2ADAAOAAuADAANAAsACAAMQA2ADEANgAuADEAMgAsACAAMQA2ADIAMAAuADEAMwAsACAAMQA2ADAAOQAuADEANQAsACAAMQA2ADAAMAAuADYAOAAsACAAMQA1ADkANQAuADkANgAsACAAMQA1ADkAMwAuADYALAAgADEANQA4ADkALgA0ADYALAAgADEANQA4ADUALgA4ADYALAAgADEANQA4ADUALgA0ADYALAAgADEANQA4ADUALgA2ADYALAAgADEANQA4ADUALgA4ADkALAAgADEANQA4ADUALgA3ADcALAAgADEANQA4ADUALgA5ADEALAAgADEANQA4ADYALgAwADEAOwBcAG4AIAAgACAAIAAxADUAOQA3AC4AMAA5ACwAIAAxADUAOQA2AC4ANwA4ACwAIAAxADUAOQA3AC4AOAA2ACwAIAAxADUAOQA3AC4ANwA2ACwAIAAxADUAOQA4AC4AMAA2ACwAIAAxADYAMAAwAC4ANgAyACwAIAAxADYAMAAzAC4ANwA1ACwAIAAxADYAMAA4AC4AMgAzACwAIAAxADYAMAA4AC4ANwA5ACwAIAAxADYAMAA3AC4ANwAxACwAIAAxADYAMAA4AC4AMQA2ACwAIAAxADYAMQAyAC4AMgA4ACwAIAAxADYAMQA1AC4ANgA1ACwAIAAxADYAMQA5AC4AMwA1ACwAIAAxADYAMQA4AC4ANQA0ACwAIAAxADYAMQAzAC4ANgA0ACwAIAAxADYAMgAzAC4AMQAsACAAMQA2ADIAMgAuADMAMQAsACAAMQA2ADAANwAuADIANQAsACAAMQA1ADkAOQAuADIAMgAsACAAMQA1ADkANgAuADYANgAsACAAMQA1ADkANAAuADkAMgAsACAAMQA1ADkAMQAuADEALAAgADEANQA4ADcALgA0ACwAIAAxADUAOAA1AC4ANwA4ACwAIAAxADUAOAA1AC4AMgAsACAAMQA1ADgANAAuADkANwAsACAAMQA1ADgANAAuADgAMwAsACAAMQA1ADgANAAuADUANwAsACAAMQA1ADgANAAuADEAMQA7AFwAbgAgACAAIAAgADEANQA5ADgALgA1ACwAIAAxADUAOQA3AC4AOQA5ACwAIAAxADUAOQA3AC4AOQAxACwAIAAxADUAOQA5AC4ANQA4ACwAIAAxADUAOQA5AC4ANQAyACwAIAAxADYAMAAyAC4ANAA0ACwAIAAxADYAMAA3AC4AMwA5ACwAIAAxADYAMQAwAC4AMwA3ACwAIAAxADYAMQAwAC4ANQA5ACwAIAAxADYAMQAxAC4AOAA1ACwAIAAxADYAMQA1AC4ANQA0ACwAIAAxADYAMgAwAC4ANwAsACAAMQA2ADIANgAuADIAMgAsACAAMQA2ADMAMQAuADEALAAgADEANgAzADEALgA1ADEALAAgADEANgAzADIALgA4ADcALAAgADEANgAzADgALgA3ADEALAAgADEANgAzADcALgA5ADQALAAgADEANgAyADYALgAwADgALAAgADEANgAxADgALgAyADQALAAgADEANgAxADMALgAyACwAIAAxADUAOQA2AC4AOQAyACwAIAAxADUAOQAzAC4AMwA0ACwAIAAxADUAOAA5AC4AMQA4ACwAIAAxADUAOAA2AC4AMAAyACwAIAAxADUAOAA1AC4AMgAyACwAIAAxADUAOAA1AC4AMQAxACwAIAAxADUAOAA0AC4ANwAxACwAIAAxADUAOAA0AC4AMQA5ACwAIAAxADUAOAAzAC4AMQA5ADsAXABuACAAIAAgACAAMQA2ADAAMAAuADMAOAAsACAAMQA2ADAAMAAuADQAOQAsACAAMQA1ADkAOQAuADYANwAsACAAMQA2ADAAMQAuADEAMgAsACAAMQA2ADAANAAuADEAMgAsACAAMQA2ADAANQAuADkANgAsACAAMQA2ADAAOAAuADQANwAsACAAMQA2ADEAMgAuADUANQAsACAAMQA2ADEANQAuADEAOQAsACAAMQA2ADEAOQAuADMANQAsACAAMQA2ADIANAAuADYAMgAsACAAMQA2ADMAMgAuADUAOAAsACAAMQA2ADMANQAuADQANgAsACAAMQA2ADQAMQAuADMALAAgADEANgA0ADYALgA1ADMALAAgADEANgA1ADEALgAzADMALAAgADEANgA1ADYALgAxADEALAAgADEANgA1ADEALgA1ADIALAAgADEANgA0ADAALgA2ACwAIAAxADYAMwA2AC4AMQAsACAAMQA2ADIANQAuADcANgAsACAAMQA2ADEANAAuADQANgAsACAAMQA1ADkANgAuADQALAAgADEANQA5ADIALgAyADQALAAgADEANQA4ADgALgA1ADQALAAgADEANQA4ADYALgA1ADIALAAgADEANQA4ADYALgAxADEALAAgADEANQA4ADUALgA0ADMALAAgADEANQA4ADQALgAyADcALAAgADEANQA4ADMALgA3ADEAOwBcAG4AIAAgACAAIAAxADYAMAAxAC4AOQA0ACwAIAAxADYAMAAyAC4AOAA2ACwAIAAxADYAMAAzAC4ANgA2ACwAIAAxADYAMAA0AC4AOAA3ACwAIAAxADYAMAA4AC4ANgA5ACwAIAAxADYAMAA5AC4ANAAxACwAIAAxADYAMQAxAC4AMgA4ACwAIAAxADYAMQA4AC4AMQA2ACwAIAAxADYAMgAwAC4AMwA4ACwAIAAxADYAMgA2AC4ANQA2ACwAIAAxADYAMwAxAC4ANgA2ACwAIAAxADYAMwA5AC4ANgA0ACwAIAAxADYANAA3AC4AMAA5ACwAIAAxADYANQAzAC4ANgAxACwAIAAxADYANgAyACwAIAAxADYANgA3AC4AOAAsACAAMQA2ADYAOQAuADkALAAgADEANgA2ADQALgAxADcALAAgADEANgA1ADcALgAzADkALAAgADEANgA0ADgALgA4ADgALAAgADEANgAzADcALgAzACwAIAAxADYAMgA5AC4AMQAsACAAMQA2ADEAMAAuADIAOAAsACAAMQA1ADkANQAuADYAMwAsACAAMQA1ADkAMQAuADAAOQAsACAAMQA1ADgANQAuADcAMwAsACAAMQA1ADgANQAuADUAMQAsACAAMQA1ADgANQAuADcANwAsACAAMQA1ADgANgAuADAANwAsACAAMQA1ADgANAAuADYAOQA7AFwAbgAgACAAIAAgADEANgAwADYALgAxACwAIAAxADYAMAA2AC4AMQA0ACwAIAAxADYAMAA2AC4ANAAsACAAMQA2ADAAOAAuADMAOQAsACAAMQA2ADAAOAAuADcANwAsACAAMQA2ADEAMQAuADkANwAsACAAMQA2ADEANQAuADcAOAAsACAAMQA2ADIAMgAuADcAMgAsACAAMQA2ADIAOAAuADEALAAgADEANgAzADMALgA1ADYALAAgADEANgAzADgALgAxADYALAAgADEANgA0ADcALgAzADIALAAgADEANgA1ADcALgA3ADcALAAgADEANgA3ADEALgA0ADMALAAgADEANgA3ADUALgA5ADgALAAgADEANgA4ADUALgAyADIALAAgADEANgA4ADcALgAxADYALAAgADEANgA4ADIALgA4ADMALAAgADEANgA3ADIALgA2ADcALAAgADEANgA1ADkALgAyADQALAAgADEANgA0ADUALgA5ACwAIAAxADYAMwA0AC4AOAA4ACwAIAAxADYAMQA3AC4AMAA4ACwAIAAxADUAOQA3AC4AMwA3ACwAIAAxADUAOQAzAC4ANQA3ACwAIAAxADUAOQAwAC4AMAAxACwAIAAxADUAOAA4AC4AOAAxACwAIAAxADUAOAA1AC4AOAA1ACwAIAAxADUAOAA3AC4AMAA1ACwAIAAxADUAOAA1AC4AOAA5ADsAXABuACAAIAAgACAAMQA2ADEAMAAsACAAMQA2ADAAOAAuADEALAAgADEANgAwADgALgAxADYALAAgADEANgAxADAALgAwADUALAAgADEANgAxADIALgA1ADcALAAgADEANgAxADYALgAxADMALAAgADEANgAxADkALgA1ADQALAAgADEANgAzADMALgA4ACwAIAAxADYAMwA3AC4ANwAyACwAIAAxADYANAA1AC4AMwA2ACwAIAAxADYANAA5AC4AOQA0ACwAIAAxADYANQA2AC4AOQAyACwAIAAxADYANgA3AC4ANAA1ACwAIAAxADYANwA5AC4ANgAxACwAIAAxADYAOQAwAC4ANgAyACwAIAAxADYAOQA3AC4AMgAsACAAMQA3ADIANAAuADQAMgAsACAAMQA3ADQAMQAuADEANwAsACAAMQA2ADgAMAAuADYANQAsACAAMQA2ADYANAAuADgAMgAsACAAMQA2ADQANgAuADYAOAAsACAAMQA2ADMAMwAuADYALAAgADEANgAyADMALgA0ACwAIAAxADYAMAAwAC4ANgA5ACwAIAAxADUAOQA1AC4AOQA3ACwAIAAxADUAOQA1AC4AMwA1ACwAIAAxADUAOQAyAC4AOQA5ACwAIAAxADUAOQAwAC4AMQA5ACwAIAAxADUAOAA4AC4AMwA5ACwAIAAxADUAOAA1AC4AOAAxADsAXABuACAAIAAgACAAMQA2ADEAMAAuADUANgAsACAAMQA2ADAAOQAuADIANAAsACAAMQA2ADAAOQAuADgALAAgADEANgAxADAALgA0ADYALAAgADEANgAxADQALgA4ADIALAAgADEANgAxADkALgA3ADQALAAgADEANgAyADMALgAxADgALAAgADEANgAzADcALgA4ADgALAAgADEANgA0ADUALgAzADEALAAgADEANgA1ADIALgA4ADMALAAgADEANgA1ADgALgA4ADgALAAgADEANgA2ADUALAAgADEANgA3ADMALgAxADYALAAgADEANgA4ADYALgA5ADYALAAgADEANgA5ADUALgA2ADkALAAgADEANwAyADUALgA5ADcALAAgADEAOAAwADEALgA5ADMALAAgADEANwA3ADcALgAxACwAIAAxADYAOAA2AC4ANgA0ACwAIAAxADYANwAwAC4AOAAyACwAIAAxADYANQAwAC4ANQA0ACwAIAAxADYAMwA1AC4AMgA4ACwAIAAxADYAMgAyAC4AMAA0ACwAIAAxADYAMAAwAC4ANAAsACAAMQA1ADkAOQAuADgANAAsACAAMQA1ADkANwAuADgAOAAsACAAMQA1ADkANQAuADIANwAsACAAMQA1ADkAMQAuADMANwAsACAAMQA1ADgANgAuADkAOAAsACAAMQA1ADgANQAuADcAOwBcAG4AIAAgACAAIAAxADYAMQAzAC4AMQA4ACwAIAAxADYAMQAzAC4ANgA2ACwAIAAxADYAMQA2AC4AMgA0ACwAIAAxADYAMQA3AC4AMwA0ACwAIAAxADYAMQA3AC4AOQAsACAAMQA2ADIAMQAuADIAMgAsACAAMQA2ADMAMgAuADkAMgAsACAAMQA2ADQANQAuADYAMgAsACAAMQA2ADUANQAuADAANQAsACAAMQA2ADYANgAuADQANQAsACAAMQA2ADcAMwAuADQANAAsACAAMQA2ADgAMgAuADYANAAsACAAMQA2ADgAOAAuADUAOAAsACAAMQA2ADkAOAAuADYAMgAsACAAMQA3ADkANQAuADYANwAsACAAMQA4ADMANgAuADIAOQAsACAAMQA3ADgAMgAuADIAMQAsACAAMQA3ADEANgAuADkANAAsACAAMQA2ADgAMAAuADEANAAsACAAMQA2ADYANAAuADkAMgAsACAAMQA2ADQANgAuADQAMgAsACAAMQA2ADMANAAuADAAMgAsACAAMQA2ADIAMwAuADcANAAsACAAMQA2ADEANgAuADYAMgAsACAAMQA2ADAAOAAuADUAOAAsACAAMQA1ADkAOAAuADkAOAAsACAAMQA1ADkANwAuADAANQAsACAAMQA1ADkAMgAuADgAMwAsACAAMQA1ADgAOAAuADcAOAAsACAAMQA1ADgANgAuADcAOAA7AFwAbgAgACAAIAAgADEANgAxADUALgA1ADIALAAgADEANgAxADgALgA4ADIALAAgADEANgAyADIALgA1ADYALAAgADEANgAyADMALgAzADQALAAgADEANgAyADAALgA1ADQALAAgADEANgAyADQALgA0ADQALAAgADEANgA0ADIALgAxADQALAAgADEANgA1ADgALgAyADIALAAgADEANgA2ADUALgA1ADMALAAgADEANgA3ADgALgA0ADEALAAgADEANgA4ADcALgA4ADYALAAgADEANgA5ADYALgAyADYALAAgADEANwAzADgALgA4ADIALAAgADEAOAAyADMALAAgADEAOAA2ADcALgA4ADcALAAgADEAOAA2ADEALgA3ADMALAAgADEANwAzADMALgA3ADkALAAgADEANgA5ADgALgA3ACwAIAAxADYANwA2AC4ANgA2ACwAIAAxADYANgAzAC4ANgAsACAAMQA2ADQANwAuADAANgAsACAAMQA2ADMANgAuADkALAAgADEANgAyADMALgAwADQALAAgADEANgAwADgALgAyADQALAAgADEANgAwADMALgAxADQALAAgADEANQA5ADcALgA3ADYALAAgADEANQA5ADcALgAzADEALAAgADEANQA5ADIALgA4ADkALAAgADEANQA4ADcALgA3ADgALAAgADEANQA4ADUALgA3ADIAOwBcAG4AIAAgACAAIAAxADYAMQA4AC4AMwA1ACwAIAAxADYAMgAwAC4ANQAyACwAIAAxADYAMgAyAC4ANQA4ACwAIAAxADYAMgA1AC4AMQA5ACwAIAAxADYAMwAxAC4AMAAxACwAIAAxADYAMwA5AC4AMAAzACwAIAAxADYANQAzAC4ANwAxACwAIAAxADYANgA1AC4AOAAzACwAIAAxADYANwA0AC4ANwA2ACwAIAAxADYAOAA5AC4AMwAsACAAMQA3ADAAMAAuADQAMwAsACAAMQA4ADAAMgAuADIANQAsACAAMQA4ADIANAAuADIAMwAsACAAMQA4ADYANAAuADEANQAsACAAMQA4ADgAMQAuADUAOAAsACAAMQA3ADIANQAuADcANAAsACAAMQA3ADAAMQAsACAAMQA2ADgANgAuADUANQAsACAAMQA2ADYANwAuADMAOQAsACAAMQA2ADUANgAuADYANAAsACAAMQA2ADQANAAuADAAOAAsACAAMQA2ADMANQAuADEALAAgADEANgAxADcALgA5ADgALAAgADEANgAwADYALgA4ADUALAAgADEANgAwADEALgA3ADkALAAgADEANQA5ADkALgA4ADcALAAgADEANQA5ADgALgA2ADIALAAgADEANQA5ADMALgA2ADgALAAgADEANQA4ADgALgAyADQALAAgADEANQA4ADUALgA4ADgAOwBcAG4AIAAgACAAIAAxADYAMgAxAC4AMAA5ACwAIAAxADYAMgAyAC4AOAA0ACwAIAAxADYAMgAxAC4AOQAsACAAMQA2ADIAMwAuADUAOQAsACAAMQA2ADMAMwAuADcANQAsACAAMQA2ADQANwAuADIANQAsACAAMQA2ADYAMQAuADUANQAsACAAMQA2ADcAMAAuADcAMwAsACAAMQA2ADgAMQAuADcALAAgADEANwAwADEALgA2ADQALAAgADEANwA5ADUALgAwADkALAAgADEAOAA0ADAALgA1ADUALAAgADEAOAA4ADQALgAzADEALAAgADEANwAzADMALgA2ADMALAAgADEANwAwADMALgA4ACwAIAAxADYAOQA5AC4AMgA2ACwAIAAxADYAOAAzAC4AOQA4ACwAIAAxADYANwAzAC4AMQA3ACwAIAAxADYANgAwAC4AMgAxACwAIAAxADYANAA5AC4AOAA0ACwAIAAxADYAMwAyAC4AOAA4ACwAIAAxADYAMgAxAC4AMQAyACwAIAAxADYAMQAyAC4ANwAsACAAMQA2ADAANgAuADYANQAsACAAMQA2ADAAMAAuADgANwAsACAAMQA1ADkAOAAuADIAOQAsACAAMQA1ADkANwAuADEAMgAsACAAMQA1ADkANAAuADEAOAAsACAAMQA1ADkAMAAuADAANAAsACAAMQA1ADgANwAuADYANAA7AFwAbgAgACAAIAAgADEANgAyADEALgA5ADkALAAgADEANgAyADAALgA5ADgALAAgADEANgAyADAALgA3ADYALAAgADEANgAyADMALgA0ADUALAAgADEANgAzADIALgA1ADUALAAgADEANgAzADcALgA4ADcALAAgADEANgA1ADkALgAwADEALAAgADEANgA2ADgALgA0ADcALAAgADEANgA3ADgALgA1ACwAIAAxADYAOQA2AC4ANAA4ACwAIAAxADcAMAA5AC4AMwA5ACwAIAAxADcAMAA3AC4ANgA5ACwAIAAxADcAMAAyAC4ANQAxACwAIAAxADYAOQA1AC4AOAA5ACwAIAAxADYAOAAzAC4AMQA0ACwAIAAxADYANwA5AC4AOQA0ACwAIAAxADYANwAzAC4ANQAyACwAIAAxADYANgAxAC4AMQAzACwAIAAxADYANQAyAC4ANAA5ACwAIAAxADYAMwA5AC4AMQAyACwAIAAxADYAMgA2AC4AOAA4ACwAIAAxADYAMQA5AC4AMwAyACwAIAAxADYAMQAxAC4AOQAyACwAIAAxADYAMAA5AC4AOAA3ACwAIAAxADYAMAA1AC4ANAAxACwAIAAxADUAOQA3AC4AOQA1ACwAIAAxADUAOQA4AC4AOQA0ACwAIAAxADUAOQA0AC4ANgA2ACwAIAAxADUAOAA5AC4AOQA0ACwAIAAxADUAOAA1AC4AOAA2ADsAXABuACAAIAAgACAAMQA2ADIAMAAuADIANAAsACAAMQA2ADEANwAuADgANwAsACAAMQA2ADEAOAAuADIAMwAsACAAMQA2ADEAOQAuADgAOAAsACAAMQA2ADIAMwAuADIAOAAsACAAMQA2ADIAOQAuADUAMgAsACAAMQA2ADQANQAuADcANgAsACAAMQA2ADYAMgAuADcANgAsACAAMQA2ADcAMQAuADEALAAgADEANgA3ADkALgA0ADgALAAgADEANgA4ADYALgA2ADMALAAgADEANgA4ADMALgAxADUALAAgADEANgA3ADgALgA2ADQALAAgADEANgA3ADMALgA4ADYALAAgADEANgA2ADkALgAwADUALAAgADEANgA2ADQALgA5ADMALAAgADEANgA2ADAALgA2ADEALAAgADEANgA1ADAALgAwADkALAAgADEANgA0ADIALgA3ADkALAAgADEANgAzADQALgA0ADMALAAgADEANgAyADEALgA5ADMALAAgADEANgAxADIALgA1ADgALAAgADEANgAxADEALgA2ADQALAAgADEANgAwADcALgA5ADUALAAgADEANgAwADIALgA4ADkALAAgADEANQA5ADkALgAzADUALAAgADEANQA5ADYALgA1ADEALAAgADEANQA5ADMALgA3ADkALAAgADEANQA5ADAALgAzADgALAAgADEANQA4ADcALgA2ADIAfQA7AFwAbgBcAG4ALwAvAEEAcABwAGEAbABhAGMAaABpAGEAbgBzACAAEyAgAEcAcgBlAGEAdAAgAFMAbQBvAGsAeQAgAE0AbwB1AG4AdABhAGkAbgBzACAAMwA1AC4ANgAxADEAOAAsAC0AOAAzAC4ANAA4ADkANQBcAG4ARwByAGUAYQB0AFMAbQBvAGsAeQBNAHQAPQBcAG4AIAAgACAAIAB7ADEANQA4ADIALgAyACwAIAAxADUANgAwAC4ANwA2ACwAIAAxADUANQAxAC4AMwA2ACwAIAAxADUANAA3AC4ANgA5ACwAIAAxADUANgA0AC4AMAAzACwAIAAxADUANwA5AC4ANAAsACAAMQA1ADcAOAAuADkANQAsACAAMQA1ADgANgAuADQAMQAsACAAMQA1ADkAOAAuADAANAAsACAAMQA2ADEANAAuADYANwAsACAAMQA2ADMAMwAuADMALAAgADEANgA0ADkALgAyADEALAAgADEANgA2ADIALgA5ADUALAAgADEANgA2ADEALgA4ADIALAAgADEANgA1ADIALgAxADgALAAgADEANgA0ADMALgA3ADUALAAgADEANgAzADgALgAwADkALAAgADEANgAzADMALgA2ADEALAAgADEANgAzADAALgA0ADYALAAgADEANgAyADQALgA5ADgALAAgADEANgAxADYALgA2ADIALAAgADEANgAwADMALgA4ACwAIAAxADUAOQAyAC4ANgA1ACwAIAAxADUAOAA4AC4AMQAxACwAIAAxADUAOQAxAC4AMQAyACwAIAAxADUAOQA3AC4ANAAsACAAMQA2ADAANQAuADIAOQAsACAAMQA2ADEAMQAuADgAMwAsACAAMQA2ADIAMAAuADMALAAgADEANgAyADcALgA5ADcAOwBcAG4AIAAgACAAIAAxADUANgA2AC4ANwA0ACwAIAAxADUANQAwAC4AMwAsACAAMQA1ADMANQAuADEALAAgADEANQAyADkALgA1ADgALAAgADEANQA0ADYALgA5ADYALAAgADEANQA1ADcALgA3ADcALAAgADEANQA2ADAALgAwADIALAAgADEANQA3ADAALgAwADMALAAgADEANQA4ADYALgA1ADYALAAgADEANgAwADYALgA3ADIALAAgADEANgAyADcALgA0ADIALAAgADEANgAzADgALgA1ADgALAAgADEANgA0ADkALgA0ADQALAAgADEANgA1ADAALgA3ADUALAAgADEANgA0ADIALgA3ADEALAAgADEANgAzADQALgAxACwAIAAxADYAMgA3AC4ANgAsACAAMQA2ADIAMgAuADIANgAsACAAMQA2ADEANwAuADcANQAsACAAMQA2ADEANAAuADEAOQAsACAAMQA2ADAAOAAuADIANQAsACAAMQA1ADkAOAAuADEANgAsACAAMQA1ADgANAAuADIAMgAsACAAMQA1ADcAOAAuADcANwAsACAAMQA1ADgAMAAuADEANgAsACAAMQA1ADgANQAuADYAOQAsACAAMQA1ADkANAAuADMAMQAsACAAMQA2ADAANAAuADAAOAAsACAAMQA2ADEANAAuADMAOAAsACAAMQA2ADIAMAAuADkANAA7AFwAbgAgACAAIAAgADEANQA1ADQALgAyADgALAAgADEANQAzADYALgAyADIALAAgADEANQAxADkALgA3ADEALAAgADEANQAxADUALAAgADEANQAzADEALgAwADMALAAgADEANQAzADQALgA3ADEALAAgADEANQA0ADQALgAwADYALAAgADEANQA1ADkALgAyADEALAAgADEANQA4ADAALgA4ADMALAAgADEANgAwADEALgA3ADUALAAgADEANgAxADIALgA2ADQALAAgADEANgAyADMALgA2ADIALAAgADEANgAzADYALgA1ADUALAAgADEANgAzADgALgAwADEALAAgADEANgAzADEALgA5ADcALAAgADEANgAyADMALgAyADEALAAgADEANgAxADYALgA4ADUALAAgADEANgAxADAALgAxADYALAAgADEANgAwADQALgA5ADQALAAgADEANgAwADEALgAzACwAIAAxADUAOQA3AC4ANwAyACwAIAAxADUAOQAxAC4AMgA3ACwAIAAxADUANwA1AC4ANwAyACwAIAAxADUANgA3AC4AOQA2ACwAIAAxADUANgA4AC4AOAA4ACwAIAAxADUANwA2AC4ANQAxACwAIAAxADUAOAA1AC4ANAA1ACwAIAAxADUAOQA2AC4ANgA1ACwAIAAxADYAMAA2AC4ANgAxACwAIAAxADYAMQAxAC4AMgA2ADsAXABuACAAIAAgACAAMQA1ADMANAAuADcANwAsACAAMQA1ADEAOQAuADEANAAsACAAMQA1ADAANgAuADkANAAsACAAMQA0ADkAOQAuADgAMwAsACAAMQA1ADAAOQAuADEANwAsACAAMQA1ADEAOQAuADUAMgAsACAAMQA1ADMANgAuADEAOQAsACAAMQA1ADUANAAuADAANAAsACAAMQA1ADcAOAAuADQAOAAsACAAMQA1ADgAMwAuADgAOAAsACAAMQA1ADkANgAuADcANQAsACAAMQA2ADEAMQAuADUALAAgADEANgAyADQALgAxADkALAAgADEANgAyADUALgA0ADIALAAgADEANgAyADEALgA4ADMALAAgADEANgAxADMALgA1ADgALAAgADEANgAwADYALgA0ADUALAAgADEANQA5ADkALgA5ADYALAAgADEANQA5ADQALgA1ADgALAAgADEANQA4ADgALgA4ADgALAAgADEANQA4ADMALgA2ADIALAAgADEANQA3ADkALgA2ADUALAAgADEANQA2ADkALgA3ADIALAAgADEANQA1ADgALgAwADEALAAgADEANQA1ADgALgAyADIALAAgADEANQA2ADUALgA5ADIALAAgADEANQA3ADcALgAyADQALAAgADEANQA5ADEALgAwADMALAAgADEANQA5ADgALgA2ADUALAAgADEANQA5ADgALgA0ADkAOwBcAG4AIAAgACAAIAAxADUAMgAzAC4AMwAyACwAIAAxADUAMAA2AC4ANAA0ACwAIAAxADQAOQAzAC4AOAAyACwAIAAxADQAOAAyAC4ANwA2ACwAIAAxADQAOQA2AC4ANgAsACAAMQA1ADAAOAAuADgAOQAsACAAMQA1ADIAOAAuADkANAAsACAAMQA1ADQAOAAuADIANQAsACAAMQA1ADUAOAAuADkAOQAsACAAMQA1ADYAOQAuADQAMQAsACAAMQA1ADgAMgAuADkANQAsACAAMQA2ADAAMQAuADYANgAsACAAMQA2ADAANgAuADkAMQAsACAAMQA2ADEAMgAuADAAMQAsACAAMQA2ADEAMgAuADUAMQAsACAAMQA2ADAANwAuADIALAAgADEANQA5ADgALgA4ADIALAAgADEANQA5ADIALgA0ACwAIAAxADUAOAA2AC4AMQA4ACwAIAAxADUANwA5AC4ANQA3ACwAIAAxADUANwAyAC4AMgA3ACwAIAAxADUANgA1AC4ANwAxACwAIAAxADUANQA4AC4AOAAzACwAIAAxADUANAA4AC4AOAA0ACwAIAAxADUANAA4AC4AOQA5ACwAIAAxADUANQA4AC4AMAA4ACwAIAAxADUANwAxAC4ANwA0ACwAIAAxADUAOAA0AC4AMQA0ACwAIAAxADUAOAA2AC4AMAAzACwAIAAxADUAOAA0AC4ANwA3ADsAXABuACAAIAAgACAAMQA1ADAAOQAuADYAOAAsACAAMQA0ADkANAAuADcAMwAsACAAMQA0ADgAMgAuADUANQAsACAAMQA0ADcAMAAuADEAMQAsACAAMQA0ADgAOQAuADIANAAsACAAMQA1ADAANwAuADkAMQAsACAAMQA1ADIANQAuADYAMQAsACAAMQA1ADMAMwAuADIAMwAsACAAMQA1ADQANQAuADgAMwAsACAAMQA1ADUANgAuADUANQAsACAAMQA1ADcANAAuADMALAAgADEANQA4ADgALgA0ADMALAAgADEANQA4ADgALgA2ADIALAAgADEANQA5ADUALgA0ADgALAAgADEANgAwADMALgA5ADYALAAgADEANgAwADEALgA5ADUALAAgADEANQA5ADQALgA5ADQALAAgADEANQA4ADYALgA5ADQALAAgADEANQA4ADAALgA5ADkALAAgADEANQA3ADQALgAyADkALAAgADEANQA2ADUALgA1ADkALAAgADEANQA1ADcALgA2ADYALAAgADEANQA0ADgALgAwADkALAAgADEANQAzADkALgA4ADgALAAgADEANQAzADgALgA3ADgALAAgADEANQA1ADEALgA2ADcALAAgADEANQA2ADYALgA0ADMALAAgADEANQA3ADUALgA4ADEALAAgADEANQA3ADIALgAwADEALAAgADEANQA2ADkALgAxADYAOwBcAG4AIAAgACAAIAAxADUAMAAxAC4ANwA2ACwAIAAxADQAOAAyAC4AMgA1ACwAIAAxADQANgA3AC4AMAAxACwAIAAxADQANgA0AC4ANAA0ACwAIAAxADQAOAA1AC4ANQAyACwAIAAxADUAMAAzAC4ANQA4ACwAIAAxADUAMAA4AC4ANQAyACwAIAAxADUAMgAwAC4AMwA0ACwAIAAxADUAMwAzAC4AMAAxACwAIAAxADUANAA4AC4ANgA5ACwAIAAxADUANgA4AC4AMgA3ACwAIAAxADUANgA3AC4ANgA5ACwAIAAxADUANwAxAC4AMgA4ACwAIAAxADUANwA5AC4AOAAzACwAIAAxADUAOQAwAC4AOQAzACwAIAAxADUAOQAxAC4ANQA4ACwAIAAxADUAOQAwAC4AMAA3ACwAIAAxADUAOQAwAC4AMQAxACwAIAAxADUAOAAzAC4AMwAyACwAIAAxADUANwA1AC4ANgAzACwAIAAxADUANgA2AC4AMgA4ACwAIAAxADUANQAzAC4AOAAsACAAMQA1ADQAMQAuADAAMwAsACAAMQA1ADMAMAAuADEAOAAsACAAMQA1ADIANwAuADcAOAAsACAAMQA1ADQAMAAuADcANAAsACAAMQA1ADUAMwAuADEALAAgADEANQA2ADAALgA2ADIALAAgADEANQA1ADUALgAzADQALAAgADEANQA1ADQALgA3ADcAOwBcAG4AIAAgACAAIAAxADQAOAA5AC4ANQA0ACwAIAAxADQANwAzAC4ANgA4ACwAIAAxADQANQA0AC4ANAA4ACwAIAAxADQANgAxAC4AOAA2ACwAIAAxADQANwA4AC4AOAAsACAAMQA0ADgANgAuADMAMwAsACAAMQA0ADkANAAuADQAMQAsACAAMQA1ADAANgAuADQAOAAsACAAMQA1ADIAMQAuADkANgAsACAAMQA1ADQAMwAsACAAMQA1ADUAMgAuADAAMgAsACAAMQA1ADUAMAAuADEAMQAsACAAMQA1ADUANQAuADYAMwAsACAAMQA1ADYANgAuADYAOQAsACAAMQA1ADcANwAuADQALAAgADEANQA3ADUALgA4ACwAIAAxADUANwA1AC4AMAAxACwAIAAxADUANwA5AC4ANwA5ACwAIAAxADUAOAAyAC4AOQA0ACwAIAAxADUAOAA2AC4AMQA3ACwAIAAxADUANwAyAC4ANAAxACwAIAAxADUANQAzAC4AMQA3ACwAIAAxADUAMwA3AC4AMwA4ACwAIAAxADUAMgAyAC4ANwA0ACwAIAAxADUAMQA2AC4AMQAsACAAMQA1ADIAMwAuADkANgAsACAAMQA1ADMAMgAuADQAMwAsACAAMQA1ADMAOQAuADQAMQAsACAAMQA1ADMANAAuADQAMQAsACAAMQA1ADQAMAAuADYAMgA7AFwAbgAgACAAIAAgADEANAA3ADcALgA2ADYALAAgADEANAA2ADIALgA4ADEALAAgADEANAA0ADIALgA0ADUALAAgADEANAA1ADMALgA0ADgALAAgADEANAA2ADQALgA4ADUALAAgADEANAA3ADMALgA0ADkALAAgADEANAA4ADUALgA1ADkALAAgADEANQAwADMALgAxADIALAAgADEANQAyADEALgA5ADcALAAgADEANQAzADUALgA4ADIALAAgADEANQAyADkALgAzACwAIAAxADUAMwAzAC4AMAAxACwAIAAxADUAMwA5AC4AMAAzACwAIAAxADUANQAzAC4AMQA0ACwAIAAxADUANgAzAC4AMAA2ACwAIAAxADUANQA5AC4ANQA1ACwAIAAxADUANgAwAC4AMgA0ACwAIAAxADUANgA1AC4ANAA3ACwAIAAxADUANwAwAC4AMQA0ACwAIAAxADUANwA3AC4AMAAxACwAIAAxADUANwAzAC4AOAAyACwAIAAxADUANQA1AC4AMwA2ACwAIAAxADUAMwA2AC4ANQA0ACwAIAAxADUAMQA5AC4ANgA1ACwAIAAxADUAMAAzAC4AMgAsACAAMQA1ADAAOQAuADUALAAgADEANQAxADMALgA4ADMALAAgADEANQAxADgALgAzADQALAAgADEANQAxADkALgA4ADQALAAgADEANQAyADUALgA0ADQAOwBcAG4AIAAgACAAIAAxADQANgA5AC4ANAA2ACwAIAAxADQANQA0AC4ANAAzACwAIAAxADQAMwA0AC4ANwAxACwAIAAxADQANAA0AC4AMwA3ACwAIAAxADQANQAzAC4AOAAxACwAIAAxADQANgA5AC4ANAA3ACwAIAAxADQAOAA1AC4AOQA3ACwAIAAxADUAMAA0AC4AOQA1ACwAIAAxADUAMgAzAC4AMwAxACwAIAAxADUAMQA3AC4AOQA4ACwAIAAxADUAMQAyAC4AMQA3ACwAIAAxADUAMQA2AC4AMwA1ACwAIAAxADUAMgA0AC4AMAA5ACwAIAAxADUAMwA5AC4ANQAsACAAMQA1ADQANwAuADUAMwAsACAAMQA1ADQAMQAuADgANQAsACAAMQA1ADQAMwAuADkANQAsACAAMQA1ADQANwAuADYAMQAsACAAMQA1ADUAMwAuADYANAAsACAAMQA1ADYANQAuADEAOAAsACAAMQA1ADcANAAuADQANwAsACAAMQA1ADUANQAuADcANgAsACAAMQA1ADMAOQAuADAAMwAsACAAMQA1ADIAMQAuADIANAAsACAAMQA1ADAANAAuADkAOAAsACAAMQA0ADkANwAuADYAMQAsACAAMQA0ADkAOQAuADIANQAsACAAMQA1ADAAMQAuADEANAAsACAAMQA1ADAANQAsACAAMQA1ADEAMQAuADUAOQA7AFwAbgAgACAAIAAgADEANAA1ADYALgA1ADEALAAgADEANAA0ADUALgA2ADIALAAgADEANAAyADcALgAwADQALAAgADEANAAzADgALgAzADgALAAgADEANAA1ADQALgA1ACwAIAAxADQANwAwAC4AMwA5ACwAIAAxADQAOAA5AC4ANAAzACwAIAAxADUAMAA2AC4AOAA1ACwAIAAxADUAMQA0AC4AMQAyACwAIAAxADUAMAAyAC4AMQA1ACwAIAAxADQAOQA2AC4AMAA0ACwAIAAxADUAMAAxAC4AOQA1ACwAIAAxADUAMQAyAC4AOQAxACwAIAAxADUAMgA4AC4ANwA0ACwAIAAxADUAMgA3AC4ANQA5ACwAIAAxADUAMgA2AC4ANQA3ACwAIAAxADUAMgA2AC4AMQAsACAAMQA1ADMAMgAuADgAMgAsACAAMQA1ADQAMgAuADEANwAsACAAMQA1ADUANQAuADEAOAAsACAAMQA1ADYAMwAuADEAMgAsACAAMQA1ADUAOAAuADcALAAgADEANQA0ADIALgAzADQALAAgADEANQAyADYALgAyADkALAAgADEANQAxADIALgA1ADEALAAgADEANAA5ADEALgA5ADcALAAgADEANAA4ADEALgA5ADcALAAgADEANAA4ADgALgA4ADEALAAgADEANAA5ADEALgA0ACwAIAAxADQAOQA0AC4AOAA1ADsAXABuACAAIAAgACAAMQA0ADQANAAuADQAOAAsACAAMQA0ADMAMgAuADEAOQAsACAAMQA0ADEANwAuADYALAAgADEANAAzADUALgAyADgALAAgADEANAA1ADUALgA5ADIALAAgADEANAA3ADQALgAwADgALAAgADEANAA5ADQALgAxADMALAAgADEANQAxADAALgA2ADkALAAgADEANAA5ADkALgA5ADQALAAgADEANAA4ADcALgA3ADcALAAgADEANAA4ADIALgAzADIALAAgADEANAA4ADkALgA5ADgALAAgADEANQAwADQALgA3ADMALAAgADEANQAyADEALgA3ACwAIAAxADUAMQAzAC4ANQAsACAAMQA1ADAAOQAuADEAMwAsACAAMQA1ADEAMgAuADIAOQAsACAAMQA1ADIAMAAuADEAMgAsACAAMQA1ADMANAAuADEANgAsACAAMQA1ADQANwAuADgAMwAsACAAMQA1ADUAMAAuADgALAAgADEANQA0ADkALgA1ADIALAAgADEANQA0ADgALgAzACwAIAAxADUAMwA0AC4AMgAzACwAIAAxADUAMQA5AC4AOQAyACwAIAAxADUAMAA2AC4ANAA0ACwAIAAxADQAOAA5AC4AMwAyACwAIAAxADQANwAzAC4ANwAxACwAIAAxADQANwA0AC4AMgA3ACwAIAAxADQANwA1AC4AMAAzADsAXABuACAAIAAgACAAMQA0ADIAOQAuADIANwAsACAAMQA0ADEAOAAuADEANgAsACAAMQA0ADEANAAuADIAMgAsACAAMQA0ADMANAAuADUAMwAsACAAMQA0ADUAMgAuADMAMgAsACAAMQA0ADcANQAuADUANQAsACAAMQA0ADkANQAuADAAMwAsACAAMQA1ADAAMwAuADAANwAsACAAMQA0ADgANgAuADQAOAAsACAAMQA0ADcANAAuADMANwAsACAAMQA0ADYAOQAuADgAOQAsACAAMQA0ADcANwAuADYAMwAsACAAMQA0ADkANQAuADIANQAsACAAMQA1ADEAMAAuADgANAAsACAAMQA0ADkAOQAuADkANgAsACAAMQA0ADkAMwAuADAAOAAsACAAMQA0ADkAOQAuADMANAAsACAAMQA1ADAANgAuADYAOAAsACAAMQA1ADIAMgAuADIANQAsACAAMQA1ADMANgAuADkAMwAsACAAMQA1ADMAMwAuADYALAAgADEANQAzADQALgA2ADMALAAgADEANQA0ADIALgA5ADQALAAgADEANQA0ADYALgAxADkALAAgADEANQAzADIALgA4ACwAIAAxADUAMQA2AC4AOAA1ACwAIAAxADUAMAAxAC4AMAAyACwAIAAxADQAOAA2AC4AMAA1ACwAIAAxADQANwAwAC4AMQA3ACwAIAAxADQANQA4AC4AMwAxADsAXABuACAAIAAgACAAMQA0ADEANAAuADAAMgAsACAAMQA0ADAAMwAuADkAMgAsACAAMQA0ADEAMQAuADQAMgAsACAAMQA0ADMAMgAuADEAMQAsACAAMQA0ADUAMAAuADUALAAgADEANAA3ADIALgAyADEALAAgADEANAA5ADQALgA3ADkALAAgADEANAA5ADQALgA3ADEALAAgADEANAA3ADgALgA2ADQALAAgADEANAA2ADUALgAxADQALAAgADEANAA1ADgALgA1ADYALAAgADEANAA2ADUALgAyACwAIAAxADQAOAAwAC4ANQAyACwAIAAxADQAOQA4AC4AMQA1ACwAIAAxADQAOAA1AC4AMQAxACwAIAAxADQANwA4AC4ANgAyACwAIAAxADQAOAA1AC4AMgA3ACwAIAAxADQAOQA2AC4AOAA1ACwAIAAxADUAMQAyAC4AMQAyACwAIAAxADUAMgAwAC4AOQA0ACwAIAAxADUAMQA2AC4AOQAzACwAIAAxADUAMQA5AC4ANgA5ACwAIAAxADUAMgA5AC4AOAA2ACwAIAAxADUAMwA0AC4AMQA0ACwAIAAxADUAMwA1AC4ANwA5ACwAIAAxADUAMgA3AC4ANQA5ACwAIAAxADUAMQAzAC4ANwA5ACwAIAAxADUAMAAwAC4AMAA2ACwAIAAxADQAOAA3AC4ANQA2ACwAIAAxADQANwA5AC4ANAA7AFwAbgAgACAAIAAgADEANAAwADAALgA1ADkALAAgADEAMwA5ADMALgAwADMALAAgADEANAAxADIALgA3ADMALAAgADEANAAzADAALgA5ADYALAAgADEANAA1ADIALgAyADYALAAgADEANAA3ADQALgA1ADIALAAgADEANAA4ADIALgA1ADMALAAgADEANAA3ADcALgA2ADcALAAgADEANAA3ADAALgAyACwAIAAxADQANQA0AC4ANAAsACAAMQA0ADQANwAuADgANwAsACAAMQA0ADUANgAuADMANQAsACAAMQA0ADYAOAAuADYAOAAsACAAMQA0ADgANAAuADYANAAsACAAMQA0ADcAMwAuADgAMgAsACAAMQA0ADYANAAuADcAMQAsACAAMQA0ADcAMgAuADUAOAAsACAAMQA0ADgANQAuADQANAAsACAAMQA1ADAAMgAuADMAOAAsACAAMQA1ADAANQAuADkAMQAsACAAMQA1ADAAMgAuADUAMgAsACAAMQA1ADAANQAuADEANAAsACAAMQA1ADEANAAuADAANwAsACAAMQA1ADIAMAAuADAANAAsACAAMQA1ADIANgAuADcAOAAsACAAMQA1ADMAMwAuADQANQAsACAAMQA1ADIANwAuADMANwAsACAAMQA1ADEANgAuADEALAAgADEANQAwADQALgA1ADIALAAgADEANAA5ADgALgAzADEAOwBcAG4AIAAgACAAIAAxADMAOAA2AC4ANwAyACwAIAAxADMAOQA0AC4AMgAxACwAIAAxADQAMQA0AC4ANgAsACAAMQA0ADMANgAuADMAMwAsACAAMQA0ADUANgAuADMANAAsACAAMQA0ADcANAAuADEANQAsACAAMQA0ADcAMAAuADAAMwAsACAAMQA0ADYAMQAuADgANgAsACAAMQA0ADUAOAAuADYANwAsACAAMQA0ADQANQAuADgAMwAsACAAMQA0ADMANQAuADgANgAsACAAMQA0ADQANwAuADQAMQAsACAAMQA0ADYAMAAuADMANQAsACAAMQA0ADYAOQAuADMANQAsACAAMQA0ADYAMwAuADkANAAsACAAMQA0ADUAMgAuADkAMgAsACAAMQA0ADUAOQAuADkANgAsACAAMQA0ADcANAAuADMANgAsACAAMQA0ADgANgAuADEAOQAsACAAMQA0ADgAOQAuADAANwAsACAAMQA0ADgANQAuADgAOQAsACAAMQA0ADkAMQAuADIAMgAsACAAMQA0ADkAOAAuADcANAAsACAAMQA1ADAANgAuADgAMQAsACAAMQA1ADEANwAuADkAOAAsACAAMQA1ADMAMAAuADUALAAgADEANQA0ADAALgA0ADIALAAgADEANQAzADUALgAwADQALAAgADEANQAyADQALgA4ACwAIAAxADUAMQA2AC4ANwA1ADsAXABuACAAIAAgACAAMQAzADcAOAAuADMANAAsACAAMQA0ADAAMgAuADIAMgAsACAAMQA0ADIAMAAuADAAMgAsACAAMQA0ADMAOAAuADkAOQAsACAAMQA0ADUANwAuADMAOQAsACAAMQA0ADYANAAuADgANgAsACAAMQA0ADUANgAuADUANgAsACAAMQA0ADQANgAuADEANAAsACAAMQA0ADQAMgAuADgANQAsACAAMQA0ADMANwAuADIANgAsACAAMQA0ADIAMwAuADMALAAgADEANAAzADUALgAzADYALAAgADEANAA0ADkALgAwADYALAAgADEANAA1ADQALgAwADUALAAgADEANAA1ADQALgAzADkALAAgADEANAAzADcALgAzACwAIAAxADQANAA4AC4ANQAsACAAMQA0ADYAMAAuADUAOQAsACAAMQA0ADYANwAuADYAMwAsACAAMQA0ADcAMAAuADQAOAAsACAAMQA0ADYANwAuADMAOAAsACAAMQA0ADcANwAuADkAMwAsACAAMQA0ADgAOAAuADMANQAsACAAMQA0ADkAOQAuADIANgAsACAAMQA1ADEAMgAuADgAOQAsACAAMQA1ADIANQAuADUANAAsACAAMQA1ADMAOAAuADIAMQAsACAAMQA1ADQAOAAuADcAMQAsACAAMQA1ADQAMgAuADMANgAsACAAMQA1ADIANgAuADAANQA7AFwAbgAgACAAIAAgADEAMwA4ADYALgAyADYALAAgADEANAAwADUALgA1ADEALAAgADEANAAyADMALgAzADIALAAgADEANAAzADgALgA4ADIALAAgADEANAA0ADYALgA4ADYALAAgADEANAA1ADAALgA4ACwAIAAxADQANAA3AC4AMwA0ACwAIAAxADQAMwA1AC4AMAAyACwAIAAxADQAMwAwAC4ANgA0ACwAIAAxADQAMgA5AC4AMQAzACwAIAAxADQAMQA2AC4AOAAxACwAIAAxADQAMgA1AC4ANgA2ACwAIAAxADQAMwA2AC4AMwAyACwAIAAxADQAMwA4AC4ANAA4ACwAIAAxADQAMwA3AC4AMwA3ACwAIAAxADQAMgA5AC4AMAA3ACwAIAAxADQAMwAzAC4AOAA3ACwAIAAxADQANAAyAC4ANwAsACAAMQA0ADQAOQAuADYAOQAsACAAMQA0ADUAMwAuADkANgAsACAAMQA0ADUAMAAuADUAOAAsACAAMQA0ADYANAAuADUALAAgADEANAA4ADAALgA3ACwAIAAxADQAOQA0AC4ANQA1ACwAIAAxADUAMAA4AC4AMQAsACAAMQA1ADIAMQAuADcANwAsACAAMQA1ADMANAAuADkALAAgADEANQA0ADcALgA3ADYALAAgADEANQA1ADEALgA4ADEALAAgADEANQAzADQALgA0ADYAOwBcAG4AIAAgACAAIAAxADMAOAA3AC4AMgA3ACwAIAAxADQAMAA1AC4AMgA4ACwAIAAxADQAMgAwAC4AOQA0ACwAIAAxADQAMgA5AC4AMgAxACwAIAAxADQAMwAxAC4ANwAzACwAIAAxADQAMwA2AC4ANgAzACwAIAAxADQAMwA1AC4AOQAzACwAIAAxADQAMgAzAC4AOQAxACwAIAAxADQAMQA3AC4AOAA5ACwAIAAxADQAMQA5AC4ANwA0ACwAIAAxADQAMAA3AC4AOAA0ACwAIAAxADQAMQA4AC4AMQA2ACwAIAAxADQAMgAxAC4ANQA2ACwAIAAxADQAMgAwAC4AOAAxACwAIAAxADQAMQA5AC4AMwA0ACwAIAAxADQAMQA5AC4ANwA0ACwAIAAxADQAMQA5AC4AOAAxACwAIAAxADQAMgA2AC4ANgA5ACwAIAAxADQAMwAxAC4AMQA5ACwAIAAxADQAMwA2AC4AMwA1ACwAIAAxADQANQA1AC4AOAA2ACwAIAAxADQANgA4AC4AOQA1ACwAIAAxADQAOAAzAC4AMwA5ACwAIAAxADQAOQA1AC4AMAA5ACwAIAAxADUAMAA5AC4AMQA5ACwAIAAxADUAMgAxAC4ANAA1ACwAIAAxADUAMwA1AC4ANwAyACwAIAAxADUANAA5AC4ANQA3ACwAIAAxADUANQA2AC4ANAA2ACwAIAAxADUAMwA4AC4AMwA1ADsAXABuACAAIAAgACAAMQAzADgANgAuADEANgAsACAAMQA0ADAANAAuADQAMgAsACAAMQA0ADEANgAuADIANgAsACAAMQA0ADEANQAuADcAMQAsACAAMQA0ADEANAAuADMAMwAsACAAMQA0ADIAMAAuADYANgAsACAAMQA0ADIAMwAuADEANAAsACAAMQA0ADEAMwAuADMAOQAsACAAMQA0ADAAMgAuADcANwAsACAAMQA0ADAANwAuADMAOAAsACAAMQAzADkAOAAuADIANwAsACAAMQA0ADAANwAuADAANQAsACAAMQA0ADAANwAuADIAMwAsACAAMQA0ADAAMQAuADYAOAAsACAAMQA0ADAANgAuADMALAAgADEANAAxADQALgA2ADIALAAgADEANAAyADMALgAzADkALAAgADEANAAzADEALgA1ACwAIAAxADQAMwA4AC4ANAA2ACwAIAAxADQANAA2AC4AOQAxACwAIAAxADQANgAyAC4ANAA2ACwAIAAxADQANwA3AC4ANQA4ACwAIAAxADQAOQAyAC4AMgA0ACwAIAAxADUAMAA1AC4ANAAsACAAMQA1ADEANgAuADgAMwAsACAAMQA1ADIANwAuADIANAAsACAAMQA1ADMAOQAuADkAMQAsACAAMQA1ADUANQAuADMANQAsACAAMQA1ADYAMwAuADQAMgAsACAAMQA1ADQANQAuADQAMgA7AFwAbgAgACAAIAAgADEAMwA4ADcALgA2ADQALAAgADEAMwA5ADgALgA0ADEALAAgADEANAAwADAALgAzADUALAAgADEAMwA5ADgALgA3ADkALAAgADEAMwA5ADQALgA2ADcALAAgADEANAAwADAALgA3ADEALAAgADEANAAwADMALgA1ADkALAAgADEANAAwADAALgA1ADQALAAgADEAMwA5ADEALgA4ADgALAAgADEAMwA5ADYALgAxADcALAAgADEAMwA5ADAALgA3ADIALAAgADEAMwA5ADUALgA0ADcALAAgADEAMwA5ADQALgAwADIALAAgADEANAAwADIALgA5ADYALAAgADEANAAxADIALgA3ADQALAAgADEANAAyADQALgAxADMALAAgADEANAAzADUALgA0ADYALAAgADEANAA0ADUALgA5ADMALAAgADEANAA1ADIALgAyADIALAAgADEANAA1ADIALgAxADYALAAgADEANAA2ADYALgA2ADYALAAgADEANAA4ADIALgA2ADgALAAgADEANAA5ADgALgA0ADcALAAgADEANQAxADUALgAxADYALAAgADEANQAyADgALgAzADQALAAgADEANQAzADgALgA2ADIALAAgADEANQA0ADgALgA4ADcALAAgADEANQA2ADIALgAyADYALAAgADEANQA2ADkALgAzADYALAAgADEANQA2ADAALgA3ADMAOwBcAG4AIAAgACAAIAAxADMAOAAxAC4AMAA1ACwAIAAxADMAOAAxAC4AMQAsACAAMQAzADcAOQAuADYAMwAsACAAMQAzADcAOAAuADkANwAsACAAMQAzADcANAAuADEALAAgADEAMwA3ADkALgAxACwAIAAxADMAOAAyAC4AMAA5ACwAIAAxADMAOAAzAC4ANAA0ACwAIAAxADMAOAAyAC4ANQA4ACwAIAAxADMAOAA1AC4ANgA1ACwAIAAxADMAOAAyAC4ANQA4ACwAIAAxADMAOAAzAC4AOAAxACwAIAAxADMAOQA4AC4AMwA3ACwAIAAxADQAMQAwAC4ANAA5ACwAIAAxADQAMgAyAC4ANQA4ACwAIAAxADQAMwA0AC4ANQA3ACwAIAAxADQANAA0AC4AMgA4ACwAIAAxADQANQA0AC4AMwA3ACwAIAAxADQANgA0AC4ANwAyACwAIAAxADQANgA2AC4AMQAsACAAMQA0ADYAOQAuADgANQAsACAAMQA0ADgANAAuADAAOAAsACAAMQA0ADkAOAAuADUANgAsACAAMQA1ADEANgAsACAAMQA1ADMANAAuADEAMgAsACAAMQA1ADQANwAuADIANwAsACAAMQA1ADUAOQAuADQAOQAsACAAMQA1ADYAOAAuADQANwAsACAAMQA1ADcANgAuADkAMwAsACAAMQA1ADcANwAuADMAOAA7AFwAbgAgACAAIAAgADEAMwA2ADIALgAwADkALAAgADEAMwA2ADIALgA2ADgALAAgADEAMwA2ADEALgA0ADgALAAgADEAMwA2ADAALgA3ADEALAAgADEAMwA1ADEALgA0ADIALAAgADEAMwA1ADIALgA0ADEALAAgADEAMwA1ADQALgAxADMALAAgADEAMwA1ADkALgA2ACwAIAAxADMANwA2AC4AMgA1ACwAIAAxADMANwAzAC4AMQA5ACwAIAAxADMANwA5AC4AMgA3ACwAIAAxADMAOQA1AC4ANAA1ACwAIAAxADQAMAA5AC4AMgAzACwAIAAxADQAMgAyAC4AMgAsACAAMQA0ADMANAAuADYANQAsACAAMQA0ADQAOAAuADAAMQAsACAAMQA0ADUAOAAuADcAMwAsACAAMQA0ADYANgAuADMANAAsACAAMQA0ADcAMwAuADMAMQAsACAAMQA0ADcAOQAuADkANQAsACAAMQA0ADgAMgAuADkANgAsACAAMQA0ADgAOAAuADIANwAsACAAMQA1ADAAMAAuADMANQAsACAAMQA1ADEANgAuADkAMwAsACAAMQA1ADMAMwAuADMAMwAsACAAMQA1ADUAMQAuADMANgAsACAAMQA1ADYANQAuADgAOQAsACAAMQA1ADcANQAuADYANQAsACAAMQA1ADgAMwAuADAAMgAsACAAMQA1ADgANwAuADQAMwA7AFwAbgAgACAAIAAgADEAMwA0ADMALgA4ADUALAAgADEAMwA0ADQALgA3ADEALAAgADEAMwA0ADMALgAyADgALAAgADEAMwAzADkALgA4ADgALAAgADEAMwA0ADQALgA5ADEALAAgADEAMwA1ADUALgA5ADkALAAgADEAMwA2ADEALgA2ADYALAAgADEAMwA2ADUALgAwADEALAAgADEAMwA2ADkALgA1ADcALAAgADEAMwA4ADAALgA0ADcALAAgADEAMwA5ADAALgA5ADMALAAgADEANAAwADYALgAyACwAIAAxADQAMgAxAC4ANAA0ACwAIAAxADQAMwA0AC4ANgA5ACwAIAAxADQANAA3AC4ANQA3ACwAIAAxADQANQA5ACwAIAAxADQANwAwAC4AMwAzACwAIAAxADQAOAAwAC4AMAA4ACwAIAAxADQAOAA4AC4AMAA4ACwAIAAxADQAOQA0AC4AMQAyACwAIAAxADQAOQA2AC4AMgA2ACwAIAAxADUAMAAxAC4AMAA0ACwAIAAxADUAMAA5AC4AMQA5ACwAIAAxADUAMgAyAC4AMQA5ACwAIAAxADUAMwA2AC4ANAAsACAAMQA1ADUAMQAuADQAMwAsACAAMQA1ADYAOQAuADYALAAgADEANQA4ADIALgA0ADMALAAgADEANQA5ADEALgA3ADYALAAgADEANQA5ADUALgA3ADMAOwBcAG4AIAAgACAAIAAxADMAMgA0AC4AMAA3ACwAIAAxADMAMgA3AC4AOAAsACAAMQAzADMANQAuADcAOQAsACAAMQAzADMAOQAuADMAMgAsACAAMQAzADQANwAuADUAMwAsACAAMQAzADUANwAuADEAMgAsACAAMQAzADYANQAuADAANwAsACAAMQAzADcAMQAuADEALAAgADEAMwA3ADcALgA1ADkALAAgADEAMwA4ADkALgA4ADUALAAgADEANAAwADEALgA5ADYALAAgADEANAAxADQALgA4ADcALAAgADEANAAzADEALgA1ADQALAAgADEANAA0ADUALgAyACwAIAAxADQANQA3AC4AMAA5ACwAIAAxADQANgA5AC4AMwAyACwAIAAxADQAOAAxAC4AMAA4ACwAIAAxADQAOQAyAC4AMQA2ACwAIAAxADUAMAAxAC4ANAAzACwAIAAxADUAMAA5AC4ANAA1ACwAIAAxADUAMQAzAC4AMQA4ACwAIAAxADUAMQA1AC4ANAA0ACwAIAAxADUAMgAxAC4AMwAsACAAMQA1ADIAOQAuADkAMQAsACAAMQA1ADQAMwAuADAAMQAsACAAMQA1ADUANQAuADIAMQAsACAAMQA1ADcAMQAuADcAOQAsACAAMQA1ADgANgAuADYAMgAsACAAMQA1ADkAOAAuADQANAAsACAAMQA2ADAAMwAuADQANwA7AFwAbgAgACAAIAAgADEAMwAzADAALgA2ADcALAAgADEAMwAzADYALgA4ADUALAAgADEAMwA0ADQALgA0ADcALAAgADEAMwA1ADEALgA1ADkALAAgADEAMwA1ADQALgAyADcALAAgADEAMwA1ADQALgAzACwAIAAxADMANgAzAC4AMwA4ACwAIAAxADMANwAxAC4ANAAsACAAMQAzADgAMwAuADIALAAgADEAMwA5ADIALgA5ADQALAAgADEANAAwADYALgAwADQALAAgADEANAAxADcALgA0ADQALAAgADEANAAzADAALgA1ADkALAAgADEANAA0ADIALgAxADgALAAgADEANAA1ADMALgA4ADYALAAgADEANAA2ADYALgA2ADkALAAgADEANAA4ADAALgA0ADgALAAgADEANAA5ADYALgAxADcALAAgADEANQAxADAALgA5ADIALAAgADEANQAyADIALgAzADEALAAgADEANQAyADkALgA5ADgALAAgADEANQAzADIALgAzADQALAAgADEANQAzADUALgA5ADQALAAgADEANQA0ADIALgA1ADIALAAgADEANQA1ADIALgA5ACwAIAAxADUANgA0AC4AMQA0ACwAIAAxADUANwA3AC4AMgA0ACwAIAAxADUAOQAxAC4AMwA3ACwAIAAxADYAMAA0AC4AMQA1ACwAIAAxADYAMQAxAC4AMAA5ADsAXABuACAAIAAgACAAMQAzADMANAAuADgALAAgADEAMwA0ADQALgAxADMALAAgADEAMwA1ADEALgA4ADkALAAgADEAMwA2ADAALgAxADcALAAgADEAMwA2ADcALgA5ADYALAAgADEAMwA2ADgALgAwADcALAAgADEAMwA2ADQALgAxADMALAAgADEAMwA2ADUALgA1ADIALAAgADEAMwA3ADQALgA1ADYALAAgADEAMwA4ADMALgAzADIALAAgADEAMwA5ADQALgA2ADgALAAgADEANAAwADUALgA1ADMALAAgADEANAAxADYALgAzADMALAAgADEANAAyADYALgA1ADgALAAgADEANAAzADgALgA3ADYALAAgADEANAA1ADMALAAgADEANAA2ADgALgA2ADYALAAgADEANAA4ADMALgA2ADIALAAgADEANAA5ADcALgA4ADgALAAgADEANQAxADIALgA2ADEALAAgADEANQAzADAALgAwADkALAAgADEANQA0ADgALgA1ADMALAAgADEANQA1ADIALgA5ACwAIAAxADUANQA5AC4AMwA4ACwAIAAxADUANgA3AC4ANAAxACwAIAAxADUANwA2AC4ANwAsACAAMQA1ADgANwAuADQAOAAsACAAMQA1ADkAOQAuADQANwAsACAAMQA2ADEAMAAuADAANAAsACAAMQA2ADEAOAAuADAANQA7AFwAbgAgACAAIAAgADEAMwA0ADEALgA1ADYALAAgADEAMwA1ADUALgA0ACwAIAAxADMANgA1AC4AMwA0ACwAIAAxADMANwAwAC4ANQA1ACwAIAAxADMAOAA0AC4AMAA4ACwAIAAxADMAOAA3AC4ANAA2ACwAIAAxADMAOAA0AC4ANQA0ACwAIAAxADMAOAAyAC4ANAA0ACwAIAAxADMAOAAzAC4AMAA1ACwAIAAxADMAOAAyAC4ANQA3ACwAIAAxADMAOAA1AC4ANwAzACwAIAAxADMAOAA5AC4ANAA3ACwAIAAxADMAOQA5AC4AMgAxACwAIAAxADQAMQA1AC4AOAA5ACwAIAAxADQAMgA4AC4AOAA4ACwAIAAxADQANAAwAC4AMQAzACwAIAAxADQANQAzAC4AOAAxACwAIAAxADQANgA5AC4ANQA2ACwAIAAxADQAOAA0AC4AMgA4ACwAIAAxADUAMAAwAC4ANwA5ACwAIAAxADUAMgAzAC4ANgA5ACwAIAAxADUANAAyAC4AMwA1ACwAIAAxADUANQA3AC4AOAA4ACwAIAAxADUANwA1AC4AMQAzACwAIAAxADUAOAAwAC4ANQA4ACwAIAAxADUAOAA4AC4ANQA5ACwAIAAxADUAOQA5AC4AMwA0ACwAIAAxADYAMAA4AC4AOAAzACwAIAAxADYAMQA4AC4ANgA0ACwAIAAxADYAMgAwAC4ANgA5ADsAXABuACAAIAAgACAAMQAzADUAMgAuADEANAAsACAAMQAzADYANAAuADYAOQAsACAAMQAzADcANwAuADEANwAsACAAMQAzADgAOAAuADEAMgAsACAAMQAzADkANgAuADAANgAsACAAMQA0ADAANAAuADIALAAgADEANAAwADMALgAzADUALAAgADEANAAwADAALgAyACwAIAAxADMAOQA5AC4AMgA4ACwAIAAxADQAMAAxAC4AMQA4ACwAIAAxADQAMAAyAC4AOAA4ACwAIAAxADQAMAA3AC4ANwA3ACwAIAAxADQAMQAzAC4ANwA1ACwAIAAxADQAMQA4AC4AOQAzACwAIAAxADQAMgA1AC4AMAA4ACwAIAAxADQAMwAyAC4AMQAyACwAIAAxADQANAA3AC4ANQA0ACwAIAAxADQANgAxAC4AOAA5ACwAIAAxADQANwA4AC4AOAAxACwAIAAxADQAOQAyAC4ANAA0ACwAIAAxADUAMAA3AC4ANQAyACwAIAAxADUAMgA1AC4AMwAxACwAIAAxADUANAA1AC4ANwAyACwAIAAxADUANgAzAC4AMgA3ACwAIAAxADUAOAAwAC4ANwAsACAAMQA1ADkANwAuADAANwAsACAAMQA2ADEAMAAuADUAMwAsACAAMQA2ADEAOAAuADUANQAsACAAMQA2ADIAOAAuADMALAAgADEANgAyADEALgAzADcAOwBcAG4AIAAgACAAIAAxADMANgA1AC4AMAA3ACwAIAAxADMANwA2AC4ANgA3ACwAIAAxADMAOAA3AC4AMwA3ACwAIAAxADQAMAAwAC4AMgAxACwAIAAxADQAMQAxAC4AMwAzACwAIAAxADQAMQA5AC4AMwAsACAAMQA0ADIAMAAuADkAOAAsACAAMQA0ADEANwAuADUAOQAsACAAMQA0ADEAMwAuADcAOAAsACAAMQA0ADEAOQAuADAAOQAsACAAMQA0ADEANwAuADEAMgAsACAAMQA0ADIANAAuADcAMQAsACAAMQA0ADIAOAAuADMAMgAsACAAMQA0ADMAMAAuADcAOQAsACAAMQA0ADMANwAuADYANgAsACAAMQA0ADQAMwAuADUAOQAsACAAMQA0ADUAMQAuADUAMgAsACAAMQA0ADYAMQAuADAANwAsACAAMQA0ADcANQAuADEAMQAsACAAMQA0ADgAOQAuADgANwAsACAAMQA1ADAAMgAuADcAMQAsACAAMQA1ADEAOQAuADMANwAsACAAMQA1ADMANgAuADYAMQAsACAAMQA1ADUAMgAuADIAMgAsACAAMQA1ADcANAAuADcAOAAsACAAMQA1ADkANwAuADkANQAsACAAMQA2ADEANQAuADgANAAsACAAMQA2ADIAOAAuADYAMQAsACAAMQA2ADMAMgAuADAANwAsACAAMQA2ADIAOAAuADEAXABuAH0AOwBcAG4AXABuAC8ALwBTAGEAdwB0AG8AbwB0AGgAIABSAGEAbgBnAGUALAAgAEkAZABhAGgAYQAgADQANAAuADEAMwA3ACwALQAxADEANAAuADkAMwA4AFwAbgBTAGEAdwB0AG8AbwB0AGgAPQBcAG4AIAAgACAAIAB7ADIAMQA2ADkALgAwADMALAAgADIAMQA2ADUALgAyACwAIAAyADEANQA4AC4ANAA3ACwAIAAyADEANQA3AC4AOQA1ACwAIAAyADEANQA3AC4ANwA1ACwAIAAyADEANQA3AC4AMwAsACAAMgAxADYAMQAuADYANgAsACAAMgAxADcAMwAuADcAOAAsACAAMgAxADgANQAuADgALAAgADIAMQA5ADIALgAzACwAIAAyADEAOAA1AC4ANwA2ACwAIAAyADEAOAAyAC4ANgA1ACwAIAAyADEANgA4AC4ANAAxACwAIAAyADEANQAyAC4ANgA5ACwAIAAyADEAMwA3AC4ANAAzACwAIAAyADEAMgA4AC4ANgA3ACwAIAAyADEAMgA0AC4ANgA3ACwAIAAyADEAMQA5AC4AOQA2ACwAIAAyADEAMQA3AC4AMwA5ACwAIAAyADEAMQAzAC4ANwA5ACwAIAAyADEAMAAzAC4ANAA1ACwAIAAyADAAOAA4AC4ANQA1ACwAIAAyADAANwAyAC4ANgA0ACwAIAAyADAANQA4AC4AMAA3ACwAIAAyADAANAA0AC4AMgAyACwAIAAyADAAMwAxAC4ANQA4ACwAIAAyADAAMgA3AC4AMgA4ACwAIAAyADAAMQA1AC4AMwA0ACwAIAAyADAAMAA0AC4AMgAsACAAMQA5ADkAOQAuADcAMwA7AFwAbgAgACAAIAAgADIAMQA2ADQALgAxADIALAAgADIAMQA2ADIALgAwADQALAAgADIAMQA1ADgALgA0ADIALAAgADIAMQA1ADgALgAwADcALAAgADIAMQA1ADcALgA2ADQALAAgADIAMQA1ADcALgAzADcALAAgADIAMQA1ADkALgAxADQALAAgADIAMQA3ADEALgAxADEALAAgADIAMQA4ADMALgAxADkALAAgADIAMQA4ADYALgA4ADkALAAgADIAMQA4ADIALgAzADcALAAgADIAMQA4ADUALgA1ADgALAAgADIAMQA3ADQALgA2ADMALAAgADIAMQA1ADkALgA0ADEALAAgADIAMQA0ADIALgAwADcALAAgADIAMQAzADAALgA3ADEALAAgADIAMQAyADcALgAxADYALAAgADIAMQAyADEALgA5ADcALAAgADIAMQAxADcALgA4ADEALAAgADIAMQAxADUALgA5ACwAIAAyADEAMAA4AC4ANgA1ACwAIAAyADAAOQA1AC4ANgA3ACwAIAAyADAANwA5AC4AMwAxACwAIAAyADAANgA0AC4ANAAyACwAIAAyADAANQAxAC4AMAAxACwAIAAyADAAMwA2AC4AOAA4ACwAIAAyADAAMgA4AC4AOAA2ACwAIAAyADAAMgAzAC4AMQA3ACwAIAAyADAAMQAzAC4AMgA1ACwAIAAyADAAMAAzAC4AMwA5ADsAXABuACAAIAAgACAAMgAxADUAOQAuADIANgAsACAAMgAxADUAOAAuADcAOAAsACAAMgAxADUAOAAuADIALAAgADIAMQA1ADcALgA3ADIALAAgADIAMQA1ADcALgA2ADQALAAgADIAMQA1ADcALgAyADUALAAgADIAMQA1ADgALgA3ADcALAAgADIAMQA2ADkALgAxADIALAAgADIAMQA4ADAALgA5ADMALAAgADIAMQA4ADUALgAxADIALAAgADIAMQA4ADAALgA4ADgALAAgADIAMQA4ADEALgA1ADMALAAgADIAMQA3ADkALgA5ADQALAAgADIAMQA2ADQALgA3ADkALAAgADIAMQA0ADgALgA3ACwAIAAyADEAMwA1AC4ANwA1ACwAIAAyADEAMgA5AC4AMwA1ACwAIAAyADEAMgA2AC4AOAA1ACwAIAAyADEAMQA5AC4AMAAyACwAIAAyADEAMQAzAC4ANAA0ACwAIAAyADEAMQAwAC4AMQAxACwAIAAyADAAOQA2AC4ANwA0ACwAIAAyADAAOAAxAC4ANwA5ACwAIAAyADAANgA3AC4AOQA2ACwAIAAyADAANQA4AC4AMAAxACwAIAAyADAANAA3AC4AMwA1ACwAIAAyADAAMwAzAC4ANgAxACwAIAAyADAAMgA1AC4ANgA0ACwAIAAyADAAMQA4ACwAIAAyADAAMAA4AC4AMgAyADsAXABuACAAIAAgACAAMgAxADUAOAAuADkANgAsACAAMgAxADUAOAAuADUANQAsACAAMgAxADUAOAAuADQANQAsACAAMgAxADUAOAAuADEANQAsACAAMgAxADUANwAuADIALAAgADIAMQA1ADcALgAyADEALAAgADIAMQA1ADcALgA5ACwAIAAyADEANgA2AC4ANQA4ACwAIAAyADEANwA5AC4AMAAyACwAIAAyADEAOAA2AC4AMwAxACwAIAAyADEAOAAwAC4ANgA1ACwAIAAyADEANwA5AC4AMQA2ACwAIAAyADEAOAAwAC4AMgAzACwAIAAyADEANwAwAC4AMAA5ACwAIAAyADEANQA2AC4AMQA2ACwAIAAyADEANAAzAC4AMQA4ACwAIAAyADEAMwA4AC4AMgA3ACwAIAAyADEAMwAzAC4AOAA1ACwAIAAyADEAMgAyAC4ANgA5ACwAIAAyADEAMQA1AC4AOAA0ACwAIAAyADEAMQAxAC4AMgAyACwAIAAyADEAMAAzAC4AMAAzACwAIAAyADAAOAA4AC4ANwAxACwAIAAyADAANwAyAC4AOQAxACwAIAAyADAANgAzAC4AMQA5ACwAIAAyADAANQA2AC4ANwAsACAAMgAwADQAMQAuADYANgAsACAAMgAwADIAOQAsACAAMgAwADIAMwAuADYAMwAsACAAMgAwADEANwAuADAAMQA7AFwAbgAgACAAIAAgADIAMQA1ADkALAAgADIAMQA1ADgALgA0ADcALAAgADIAMQA1ADcALgA4ADcALAAgADIAMQA1ADcALgA4ADUALAAgADIAMQA1ADcALgA3ADQALAAgADIAMQA1ADcALgAzADEALAAgADIAMQA1ADYALgA2ADQALAAgADIAMQA2ADMALgA0ACwAIAAyADEANwA1AC4ANAAzACwAIAAyADEAOAA1AC4ANgAyACwAIAAyADEAOAAzAC4ANAA5ACwAIAAyADEANwA3AC4AMQAzACwAIAAyADEANwA3AC4AMAA5ACwAIAAyADEANwA0AC4AMAA3ACwAIAAyADEANgA1AC4ANwAyACwAIAAyADEANQA2AC4AOAA0ACwAIAAyADEANAA5AC4AMgA4ACwAIAAyADEANAAwAC4AOQAxACwAIAAyADEAMgA5AC4AMAA1ACwAIAAyADEAMQA4AC4AMQAyACwAIAAyADEAMQA0AC4AOQA0ACwAIAAyADEAMAA4AC4ANwA1ACwAIAAyADAAOQA0AC4ANwAxACwAIAAyADAAOAAwAC4ANgAxACwAIAAyADAANgA3AC4AMAAzACwAIAAyADAANgA0AC4AMgA0ACwAIAAyADAANAA5AC4ANAAxACwAIAAyADAAMwA1AC4ANwAxACwAIAAyADAAMgA1AC4ANQA5ACwAIAAyADAAMgAyAC4AOAA2ADsAXABuACAAIAAgACAAMgAxADYAMQAuADAANwAsACAAMgAxADUAOQAuADAANwAsACAAMgAxADUAOAAuADAAMQAsACAAMgAxADUANwAuADQANwAsACAAMgAxADUANwAuADEANwAsACAAMgAxADUANgAuADcAOAAsACAAMgAxADUANgAuADUANwAsACAAMgAxADYAMAAuADQANgAsACAAMgAxADcAMQAuADUANgAsACAAMgAxADgAMQAuADYANwAsACAAMgAxADcANgAuADUALAAgADIAMQA2ADkALgAxADcALAAgADIAMQA3ADIALgAyADgALAAgADIAMQA3ADYALgA2ADYALAAgADIAMQA3ADQALgA3ACwAIAAyADEANwAwAC4AMgA4ACwAIAAyADEANgA1AC4AOQA2ACwAIAAyADEANQAzAC4AMgAyACwAIAAyADEAMwA4AC4AMgA0ACwAIAAyADEAMgA0AC4ANgAxACwAIAAyADEAMQA2AC4ANwA0ACwAIAAyADEAMQA1AC4AMQAxACwAIAAyADEAMAA2AC4ANAA0ACwAIAAyADAAOQAwAC4AOAA0ACwAIAAyADAANwA2AC4AOAAsACAAMgAwADYAOQAuADUAOAAsACAAMgAwADUANgAuADYALAAgADIAMAA0ADQALgA3ADEALAAgADIAMAAzADQALgA0ADkALAAgADIAMAAyADMALgA1ADkAOwBcAG4AIAAgACAAIAAyADEANgA1AC4ANAA4ACwAIAAyADEANgAzAC4AMQA3ACwAIAAyADEANgAwAC4ANwAyACwAIAAyADEANQA4AC4AMQA0ACwAIAAyADEANQA3AC4AMwA2ACwAIAAyADEANQA2AC4AOAAyACwAIAAyADEANQA2AC4ANAA1ACwAIAAyADEANQA4AC4ANwA1ACwAIAAyADEANgA5AC4AMQAsACAAMgAxADcANwAuADkANwAsACAAMgAxADcANAAuADEANQAsACAAMgAxADYANwAuADEANQAsACAAMgAxADYAMwAuADIAOQAsACAAMgAxADYAOQAuADkANAAsACAAMgAxADcANgAuADQAMwAsACAAMgAxADgAMQAuADEAMwAsACAAMgAxADcANwAuADMANQAsACAAMgAxADYAMwAuADUALAAgADIAMQA0ADgALgA0ADcALAAgADIAMQAzADMALgA3ADkALAAgADIAMQAxADkALgA2ADYALAAgADIAMQAxADYALgAxACwAIAAyADEAMQA2AC4ANAA0ACwAIAAyADEAMAAzAC4ANQA1ACwAIAAyADAAOQAwAC4AMAAyACwAIAAyADAANwA3AC4AMgA0ACwAIAAyADAANgA0AC4AMwA3ACwAIAAyADAANQA0AC4ANwA5ACwAIAAyADAANAA0AC4AOQAyACwAIAAyADAAMwAxAC4AMwA0ADsAXABuACAAIAAgACAAMgAxADcANAAuADUAOQAsACAAMgAxADcAMQAuADMAMwAsACAAMgAxADYANwAuADgANwAsACAAMgAxADYANQAuADIAOAAsACAAMgAxADYAMQAuADEAMQAsACAAMgAxADUANwAuADIANwAsACAAMgAxADUANgAuADQAMQAsACAAMgAxADUANgAuADQANgAsACAAMgAxADYANQAuADMALAAgADIAMQA3ADEALgAzADkALAAgADIAMQA2ADkALgAyADgALAAgADIAMQA2ADIALgA5ADcALAAgADIAMQA1ADcALgAxADEALAAgADIAMQA1ADkALgAyADUALAAgADIAMQA2ADQALgAwADUALAAgADIAMQA2ADkALgA3ADYALAAgADIAMQA3ADUALgA1ADQALAAgADIAMQA2ADUALgA5ACwAIAAyADEANQAyAC4ANQAyACwAIAAyADEAMwA4AC4AMAA0ACwAIAAyADEAMgAzAC4AOAAxACwAIAAyADEAMQA2AC4AMgA4ACwAIAAyADEAMQA2AC4ANAAxACwAIAAyADEAMQA1AC4ANAA1ACwAIAAyADEAMAAyAC4AOQA1ACwAIAAyADAAOQAwAC4AMAAyACwAIAAyADAANwA2AC4ANgAsACAAMgAwADYANAAuADgANAAsACAAMgAwADUANAAuADMAMQAsACAAMgAwADQAMQAuADEAOQA7AFwAbgAgACAAIAAgADIAMQA4ADUALgA3ADIALAAgADIAMQA4ADEALgA5ADcALAAgADIAMQA3ADYALgAxADMALAAgADIAMQA3ADIALAAgADIAMQA2ADcALgA4ADUALAAgADIAMQA2ADEALgAwADIALAAgADIAMQA1ADcALgA4ADYALAAgADIAMQA1ADUALgA3ADkALAAgADIAMQA1ADgALgA1ADcALAAgADIAMQA2ADUALgA0ADUALAAgADIAMQA2ADAALgA3ADYALAAgADIAMQA1ADYALgA0ADEALAAgADIAMQA1ADMALgA1ADMALAAgADIAMQA1ADIALgA0ADEALAAgADIAMQA1ADIALgAzADYALAAgADIAMQA1ADkALgA2ACwAIAAyADEANgA4AC4AMQAsACAAMgAxADYANQAuADkAMwAsACAAMgAxADUAOAAuADEAOQAsACAAMgAxADQANAAuADkAMQAsACAAMgAxADIAOQAuADYAMQAsACAAMgAxADEANwAuADcAMgAsACAAMgAxADEANQAuADUANgAsACAAMgAxADIAMQAuADMALAAgADIAMQAxADUALgAyADkALAAgADIAMQAwADMALgAyADgALAAgADIAMAA5ADAALgA5ADMALAAgADIAMAA3ADYALgA3ADUALAAgADIAMAA2ADMALgA0ADUALAAgADIAMAA1ADEALgA5ADEAOwBcAG4AIAAgACAAIAAyADEAOQA4AC4ANQA3ACwAIAAyADEAOQA0AC4AMQAsACAAMgAxADgANgAuADYANQAsACAAMgAxADgAMAAuADIANAAsACAAMgAxADcAMwAuADIAMQAsACAAMgAxADYANgAuADMAOAAsACAAMgAxADYAMQAuADkANwAsACAAMgAxADUAOAAuADMANAAsACAAMgAxADUANQAuADQANQAsACAAMgAxADUANwAuADAAOAAsACAAMgAxADUANAAuADkAMgAsACAAMgAxADUAMQAuADYANQAsACAAMgAxADQAOQAuADUANQAsACAAMgAxADQAOAAuADQANQAsACAAMgAxADQANwAuADAAOQAsACAAMgAxADUAMQAuADYANwAsACAAMgAxADYAMQAuADgAMQAsACAAMgAxADYAOAAuADIAOQAsACAAMgAxADYANgAuADIANgAsACAAMgAxADUAMgAuADQAOAAsACAAMgAxADMAOAAuADcAMwAsACAAMgAxADIANgAuADAANAAsACAAMgAxADEANwAuADcAOQAsACAAMgAxADEANwAuADgAMQAsACAAMgAxADIAMQAuADcALAAgADIAMQAxADUALgA2ADcALAAgADIAMQAwADUALgAyADEALAAgADIAMAA5ADAALgAxACwAIAAyADAANwA2AC4AMAA0ACwAIAAyADAANgAyAC4ANAAyADsAXABuACAAIAAgACAAMgAyADEAMAAuADkALAAgADIAMgAwADUALgAyADUALAAgADIAMQA5ADYALgAxADQALAAgADIAMQA4ADYALgA4ADQALAAgADIAMQA4ADAALgAyADgALAAgADIAMQA3ADQALgAwADUALAAgADIAMQA2ADgALgAxADQALAAgADIAMQA2ADMALgA2ADkALAAgADIAMQA2ADAALgAyADIALAAgADIAMQA1ADYALgAxADEALAAgADIAMQA1ADQALgA0ADEALAAgADIAMQA1ADYALgA0ADUALAAgADIAMQA1ADgALgA2ADgALAAgADIAMQA1ADYALgAyADMALAAgADIAMQA1ADEALgAxADEALAAgADIAMQA0ADMALgA0ADgALAAgADIAMQA1ADQALgAzADEALAAgADIAMQA2ADIALgA5ADcALAAgADIAMQA2ADYALgAwADcALAAgADIAMQA2ADAALgAyADUALAAgADIAMQA0ADkALgA2ADYALAAgADIAMQAzADgALgA0ADIALAAgADIAMQAzADEALgAyADEALAAgADIAMQAyADYALgA0ADcALAAgADIAMQAyADAALgAyADcALAAgADIAMQAxADcALgAwADQALAAgADIAMQAxADIALgA1ADQALAAgADIAMQAwADIALgA4ADQALAAgADIAMAA4ADkALgAyACwAIAAyADAANwAzAC4AMwAxADsAXABuACAAIAAgACAAMgAxADkAOAAuADcALAAgADIAMQA5ADUALgA0ACwAIAAyADEAOAA5AC4AMQAyACwAIAAyADEAOAA1AC4AMQAzACwAIAAyADEAOAA0AC4AMwAyACwAIAAyADEAOAAzAC4AMAAyACwAIAAyADEANwA3AC4AOQA1ACwAIAAyADEANwA1AC4AMQA0ACwAIAAyADEANwAyAC4AOAA0ACwAIAAyADEANgA5AC4AMQAyACwAIAAyADEANgA2AC4ANwA2ACwAIAAyADEANgA2AC4AOAAsACAAMgAxADYANwAuADcAOAAsACAAMgAxADUAOQAuADkAMwAsACAAMgAxADQAOAAuADEALAAgADIAMQA0ADEALgAzACwAIAAyADEANAA3AC4AOQA0ACwAIAAyADEANQA3AC4AMgA5ACwAIAAyADEANQA2AC4ANwAzACwAIAAyADEANQA4AC4AMAAxACwAIAAyADEANgAwAC4AMgA5ACwAIAAyADEANQAyAC4AOAA4ACwAIAAyADEANAA3AC4AMwA2ACwAIAAyADEANAAyAC4AMQAzACwAIAAyADEAMwAyAC4AOQAyACwAIAAyADEAMgAzACwAIAAyADEAMQA0AC4ANwAyACwAIAAyADEAMAA1AC4ANgA5ACwAIAAyADAAOQA4AC4AMwA1ACwAIAAyADAAOAA0AC4ANgAyADsAXABuACAAIAAgACAAMgAxADcAOQAuADYANQAsACAAMgAxADcAOQAuADAAMwAsACAAMgAxADgAMQAuADYANgAsACAAMgAxADcAOAAuADEAOAAsACAAMgAxADgAMwAuADcANwAsACAAMgAxADgANwAuADMANAAsACAAMgAxADgANwAuADIANwAsACAAMgAxADgANQAuADAAMgAsACAAMgAxADgAMgAuADEANAAsACAAMgAxADcAOQAuADQAOQAsACAAMgAxADcANAAuADMANAAsACAAMgAxADYANwAuADUANgAsACAAMgAxADYAMgAuADAAMwAsACAAMgAxADUANAAuADgANwAsACAAMgAxADQANQAuADcAOQAsACAAMgAxADQAMQAuADEANgAsACAAMgAxADQAMQAuADIAMwAsACAAMgAxADUAMAAuADUAOAAsACAAMgAxADUAMAAuADIALAAgADIAMQA1ADAALgA4ADkALAAgADIAMQA1ADgALgAxADMALAAgADIAMQA1ADkALgA2ADkALAAgADIAMQA1ADMALgA5ACwAIAAyADEANQAxAC4AOQA4ACwAIAAyADEANAA1AC4ANwA4ACwAIAAyADEAMwA0AC4ANQA4ACwAIAAyADEAMgAyAC4AMgAsACAAMgAxADAAOQAuADgAOQAsACAAMgAxADAAMQAuADIANAAsACAAMgAwADkAMQAuADgAMgA7AFwAbgAgACAAIAAgADIAMQA3ADIALgA5ADkALAAgADIAMQA3ADIALgA3ADQALAAgADIAMQA3ADEALgA2ADcALAAgADIAMQA3ADEALgAzADEALAAgADIAMQA3ADAALgA0ADYALAAgADIAMQA3ADAALgAwADUALAAgADIAMQA3ADMALgA4ADUALAAgADIAMQA3ADgALgAyADkALAAgADIAMQA3ADUALgA3ADIALAAgADIAMQA3ADIALgA1ADEALAAgADIAMQA3ADAALgA2ADIALAAgADIAMQA2ADQALgAzADYALAAgADIAMQA1ADYALgAxADQALAAgADIAMQA0ADgALgAxADUALAAgADIAMQA0ADIALAAgADIAMQA0ADAALgA2ADMALAAgADIAMQA0ADAALgA3ADYALAAgADIAMQA0ADAALgA0ADUALAAgADIAMQA0ADcALgAzADYALAAgADIAMQA0ADYALgA3ADUALAAgADIAMQA1ADAALgAxADUALAAgADIAMQA1ADIALgA5ACwAIAAyADEANQA0AC4AOAAxACwAIAAyADEANQAwAC4ANwAxACwAIAAyADEANAA2AC4ANwA0ACwAIAAyADEANAAxAC4AOAAzACwAIAAyADEAMgA5AC4AMwA0ACwAIAAyADEAMQA0AC4AMQA0ACwAIAAyADAAOQA5AC4AMgA2ACwAIAAyADAAOAA0AC4AMAAyADsAXABuACAAIAAgACAAMgAxADYANQAuADYANgAsACAAMgAxADYAMgAuADkAOQAsACAAMgAxADYAMQAuADQAMgAsACAAMgAxADUAOQAuADYAOAAsACAAMgAxADUANAAuADkALAAgADIAMQA1ADYALgAwADYALAAgADIAMQA2ADEALgA5ADkALAAgADIAMQA2ADgALgA4ADgALAAgADIAMQA2ADkALgA1ADMALAAgADIAMQA2ADgALgA5ADQALAAgADIAMQA2ADUALgAxADYALAAgADIAMQA2ADAALAAgADIAMQA1ADMALgA5ADYALAAgADIAMQA0ADgALgAxADIALAAgADIAMQA0ADIALgAwADYALAAgADIAMQA0ADAALgAzADcALAAgADIAMQA0ADAALgAzADgALAAgADIAMQA0ADAALgA1ADcALAAgADIAMQA0ADAALgAxADgALAAgADIAMQA0ADAALgAyADcALAAgADIAMQA0ADIALgA3ADEALAAgADIAMQA0ADMALgAxACwAIAAyADEANAA4AC4AMgA0ACwAIAAyADEANAA1AC4ANwA0ACwAIAAyADEANAA3AC4ANQA0ACwAIAAyADEANAAwAC4ANQAsACAAMgAxADIANgAuADUAOQAsACAAMgAxADEAMAAuADMAMgAsACAAMgAwADkANAAuADQANgAsACAAMgAwADcANwAuADkANAA7AFwAbgAgACAAIAAgADIAMQA1ADUALgA5ADkALAAgADIAMQA1ADIALAAgADIAMQA1ADQALgAzADkALAAgADIAMQA1ADIALgA2ADMALAAgADIAMQA1ADEALgA1ADgALAAgADIAMQA1ADEALgA3ADcALAAgADIAMQA1ADYALAAgADIAMQA2ADEALgAxADgALAAgADIAMQA2ADIALgA2ADcALAAgADIAMQA1ADkALgA3ADEALAAgADIAMQA1ADYALgA0ADEALAAgADIAMQA1ADIALgAxADYALAAgADIAMQA0ADkALgAyACwAIAAyADEANAA3AC4AOAAyACwAIAAyADEANAA3AC4AOAA4ACwAIAAyADEANAA1AC4ANQA4ACwAIAAyADEANAA0AC4AOAA1ACwAIAAyADEANAA1ACwAIAAyADEANAA0AC4ANgA1ACwAIAAyADEANAAzAC4ANgAyACwAIAAyADEANAAzAC4ANQAsACAAMgAxADQAMwAsACAAMgAxADQAMQAuADYANgAsACAAMgAxADQAMAAuADAAMgAsACAAMgAxADMANAAuADQANQAsACAAMgAxADMAMQAuADMAMQAsACAAMgAxADEAOAAuADgAMwAsACAAMgAxADAANAAuADMALAAgADIAMAA4ADkALgA0ADIALAAgADIAMAA4ADEALgAzADEAOwBcAG4AIAAgACAAIAAyADEANAA3AC4AMwAyACwAIAAyADEANAA5AC4AMQA1ACwAIAAyADEANAA3AC4ANwAsACAAMgAxADQAMgAuADIANQAsACAAMgAxADQAMQAuADcAOQAsACAAMgAxADQAMwAuADYAMgAsACAAMgAxADQAMQAuADYAMQAsACAAMgAxADQAMwAuADAANAAsACAAMgAxADQANgAuADcAMQAsACAAMgAxADUAMAAuADcAOQAsACAAMgAxADUAMAAuADgALAAgADIAMQA0ADcALgA1ADQALAAgADIAMQA0ADUALgA4ADQALAAgADIAMQA0ADMALgAyADMALAAgADIAMQA0ADIALgA4ADEALAAgADIAMQA0ADEALgAzADEALAAgADIAMQA0ADEALgA3ADYALAAgADIAMQA0ADIALgAxADEALAAgADIAMQA0ADMALgAxADcALAAgADIAMQA0ADIALgA2ACwAIAAyADEANAAwAC4ANAAxACwAIAAyADEAMwA4AC4AMwA5ACwAIAAyADEAMwA3AC4AMwA2ACwAIAAyADEAMwA3AC4ANAA3ACwAIAAyADEAMwA0AC4AOAA4ACwAIAAyADEAMgA4AC4AMgA2ACwAIAAyADEAMQA5AC4AOAA1ACwAIAAyADEAMQAxAC4AMQAzACwAIAAyADEAMAAzAC4AMAA5ACwAIAAyADAAOQA0AC4AMgA0ADsAXABuACAAIAAgACAAMgAxADMAOAAuADkAOAAsACAAMgAxADMANQAuADgALAAgADIAMQAzADUALAAgADIAMQA0ADAALgAyADcALAAgADIAMQAzADgALgAzADQALAAgADIAMQAzADYALgA4ADkALAAgADIAMQAzADIALAAgADIAMQAzADIALgAwADYALAAgADIAMQAzADIALgAwADcALAAgADIAMQAzADcALgAxADMALAAgADIAMQAzADcALgAyADMALAAgADIAMQAzADgALgAyADgALAAgADIAMQAzADgALgA5ADMALAAgADIAMQA0ADAALgAwADIALAAgADIAMQA0ADEALgA0ADcALAAgADIAMQAzADkALgA5ADIALAAgADIAMQAzADcALgA5ADkALAAgADIAMQAzADcALgAxADUALAAgADIAMQAzADcALgAxADUALAAgADIAMQAzADgALgAwADMALAAgADIAMQAzADcALgAwADEALAAgADIAMQAzADMALgA3ADMALAAgADIAMQAzADQALgA0ADgALAAgADIAMQAzADYALgA2ADMALAAgADIAMQAzADMALgA1ADEALAAgADIAMQAyADYALgA5ADQALAAgADIAMQAyADIALgA1ADIALAAgADIAMQAxADgALgA5ADMALAAgADIAMQAxADQALgA0ADcALAAgADIAMQAwADUALgA0ADsAXABuACAAIAAgACAAMgAxADMANgAuADYANAAsACAAMgAxADMANQAuADIANQAsACAAMgAxADMAMgAuADYANAAsACAAMgAxADMAMAAuADUANwAsACAAMgAxADIAOQAuADcAMwAsACAAMgAxADMAMwAuADkAMwAsACAAMgAxADMAMQAuADkANQAsACAAMgAxADIAOQAuADcANAAsACAAMgAxADIANwAuADcAMgAsACAAMgAxADIAOAAuADMAMgAsACAAMgAxADMAMAAuADgALAAgADIAMQAzADMALgAyACwAIAAyADEAMwAwAC4AMgA3ACwAIAAyADEAMwAwAC4AMwAxACwAIAAyADEAMwAxAC4ANAA3ACwAIAAyADEAMwAzAC4AMQAsACAAMgAxADMAMwAuADQANgAsACAAMgAxADMANgAuADIAOAAsACAAMgAxADMAOAAuADMAOQAsACAAMgAxADMANQAuADUAMgAsACAAMgAxADMAMgAuADgALAAgADIAMQAzADEALgAxADgALAAgADIAMQAzADEALgAxADkALAAgADIAMQAzADIALgAwADcALAAgADIAMQAyADcALgA0ADQALAAgADIAMQAyADQALgA4ACwAIAAyADEAMgAzAC4ANgA1ACwAIAAyADEAMgA0AC4AMgA0ACwAIAAyADEAMgAwAC4ANwA0ACwAIAAyADEAMAA5AC4AMwA2ADsAXABuACAAIAAgACAAMgAxADIANwAuADYANgAsACAAMgAxADMAMAAuADEAMgAsACAAMgAxADMAMAAuADYALAAgADIAMQAzADAALgAyADYALAAgADIAMQAyADcALgAyADkALAAgADIAMQAyADkALgAyADUALAAgADIAMQAyADYALgA4ADUALAAgADIAMQAyADQALgA0ADgALAAgADIAMQAyADQALgA2ADQALAAgADIAMQAyADAALgA2ADEALAAgADIAMQAyADEALgAzADMALAAgADIAMQAyADIALgAwADgALAAgADIAMQAyADQALgA3ADgALAAgADIAMQAyADIALgA0ADcALAAgADIAMQAyADMALgAxADgALAAgADIAMQAyADUALgA0ADQALAAgADIAMQAyADcALgA0ADcALAAgADIAMQAyADcALgA1ADMALAAgADIAMQAzADIALgA1ADMALAAgADIAMQAzADUALgAxACwAIAAyADEAMwA1AC4AMQAzACwAIAAyADEAMwAxAC4AMgAyACwAIAAyADEAMgA3AC4AMgAzACwAIAAyADEAMgAzAC4AMwA1ACwAIAAyADEAMgAwAC4AMwAxACwAIAAyADEAMQA2AC4AOAA5ACwAIAAyADEAMQA1AC4AMgAxACwAIAAyADEAMQA1AC4ANwA1ACwAIAAyADEAMQAzAC4ANQA4ACwAIAAyADEAMQAyAC4ANgA0ADsAXABuACAAIAAgACAAMgAxADEAMAAuADQAMwAsACAAMgAxADEAMQAuADAANwAsACAAMgAxADEAMwAuADMAOAAsACAAMgAxADEAOAAuADgAOQAsACAAMgAxADEAOAAuADQANQAsACAAMgAxADIAMQAuADgANgAsACAAMgAxADIANAAuADkANwAsACAAMgAxADEAOAAuADUANwAsACAAMgAxADEANwAuADcANAAsACAAMgAxADEANwAuADUANgAsACAAMgAxADEANwAuADgAMQAsACAAMgAxADIAMQAuADAAMQAsACAAMgAxADEAOQAuADUAMQAsACAAMgAxADEAOQAuADkAMgAsACAAMgAxADEAOQAuADEANQAsACAAMgAxADIAMQAuADIAMgAsACAAMgAxADIAMwAuADUANQAsACAAMgAxADIANQAuADEANQAsACAAMgAxADIAOAAsACAAMgAxADIANgAuADkANgAsACAAMgAxADIANwAuADIAMwAsACAAMgAxADIANQAuADcAMgAsACAAMgAxADIANAAuADgANwAsACAAMgAxADIAMQAuADAANwAsACAAMgAxADEANwAuADMANQAsACAAMgAxADEAMwAuADMANwAsACAAMgAxADEAMAAuADIAMQAsACAAMgAxADAAOAAuADIAOQAsACAAMgAxADAANgAuADgAMgAsACAAMgAxADAANQAuADgANQA7AFwAbgAgACAAIAAgADIAMQAwADAALgAzADcALAAgADIAMQAwADEALgAwADIALAAgADIAMQAwADEALgA0ADkALAAgADIAMQAwADEALgA3ADUALAAgADIAMQAwADUALgA2ADgALAAgADIAMQAwADQALgA5ADMALAAgADIAMQAwADUALgA5ADUALAAgADIAMQAxADUALgAyADIALAAgADIAMQAxADUALgA2ADgALAAgADIAMQAxADQALgAyACwAIAAyADEAMQA0AC4ANgAyACwAIAAyADEAMQA0AC4AOQA4ACwAIAAyADEAMQA1AC4AMwAsACAAMgAxADEANAAuADcANgAsACAAMgAxADEANQAuADkAOAAsACAAMgAxADEANwAuADYANAAsACAAMgAxADIAMQAuADIANgAsACAAMgAxADIAMwAuADQANwAsACAAMgAxADIAMwAuADAAOAAsACAAMgAxADIAMQAuADIANAAsACAAMgAxADEAOAAuADAANwAsACAAMgAxADEANgAsACAAMgAxADEANQAuADcANAAsACAAMgAxADEANQAuADEAOAAsACAAMgAxADEAMwAuADUANQAsACAAMgAxADEAMgAuADEAMgAsACAAMgAxADAAOQAuADcANwAsACAAMgAxADAANQAuADkANgAsACAAMgAxADAANAAuADQALAAgADIAMQAwADIALgA1ADgAOwBcAG4AIAAgACAAIAAyADAAOAA3AC4AMAAzACwAIAAyADAAOAA5AC4AOAAxACwAIAAyADAAOQAwAC4ANgAxACwAIAAyADAAOQAxAC4AMQAzACwAIAAyADAAOQAyAC4AMQAsACAAMgAwADkAMwAuADQANQAsACAAMgAwADkANQAuADQANAAsACAAMgAwADkAOAAuADUAOQAsACAAMgAxADAANAAuADcALAAgADIAMQAwADkALgA5ADIALAAgADIAMQAwADkALgA4ACwAIAAyADEAMAA3AC4AOAA2ACwAIAAyADEAMAA4AC4ANQA5ACwAIAAyADEAMAA5AC4ANQA4ACwAIAAyADEAMQAxAC4AMwA3ACwAIAAyADEAMQA0AC4AMQA2ACwAIAAyADEAMQA3AC4ANgAyACwAIAAyADEAMQA3AC4AMAA1ACwAIAAyADEAMQA2AC4ANwA2ACwAIAAyADEAMQA1AC4AMAAzACwAIAAyADEAMQAyAC4AOAAyACwAIAAyADEAMAA5AC4ANQAxACwAIAAyADEAMAA3AC4AMwA5ACwAIAAyADEAMAA3AC4AMwA2ACwAIAAyADEAMAA2AC4ANQAxACwAIAAyADEAMAA1AC4AMQA4ACwAIAAyADEAMAA1AC4AMwAsACAAMgAxADAANAAuADkAOAAsACAAMgAxADAAMgAuADQAMgAsACAAMgAwADkAOQAuADcANAA7AFwAbgAgACAAIAAgADIAMAA3ADQALgA3ADEALAAgADIAMAA3ADUALgA3ADEALAAgADIAMAA3ADUALgAzADEALAAgADIAMAA3ADcALgA0ADEALAAgADIAMAA3ADkALgA5ADUALAAgADIAMAA4ADIALgA1ADQALAAgADIAMAA4ADQALgA2ACwAIAAyADAAOAA2AC4AMwA0ACwAIAAyADAAOAA4AC4AOQA1ACwAIAAyADAAOQAyAC4AMwA4ACwAIAAyADAAOQA3AC4AOQAsACAAMgAxADAANgAuADIAMgAsACAAMgAxADAAMQAuADMANgAsACAAMgAxADAAMgAuADEANAAsACAAMgAxADAANAAuADMAMgAsACAAMgAxADAAOAAuADMAOAAsACAAMgAxADEAMQAuADQANgAsACAAMgAxADEAMgAuADIAMwAsACAAMgAxADAANwAuADQAMQAsACAAMgAxADAANwAuADUAMwAsACAAMgAxADAANwAuADMAMQAsACAAMgAxADAANQAuADYALAAgADIAMQAwADMALgAxADQALAAgADIAMQAwADEALgAwADgALAAgADIAMAA5ADkALgAwADYALAAgADIAMAA5ADcALgA0ADgALAAgADIAMAA5ADcALgA3ADgALAAgADIAMAA5ADkALgAxADMALAAgADIAMAA5ADcALgA1ADcALAAgADIAMAA5ADYALgA0ADcAOwBcAG4AIAAgACAAIAAyADAANgAwAC4AMQA2ACwAIAAyADAANgA0AC4AMgA5ACwAIAAyADAANgA3AC4AOAA1ACwAIAAyADAANwAwAC4ANAAsACAAMgAwADYANwAuADYANgAsACAAMgAwADYAOAAuADkAMwAsACAAMgAwADcAMgAuADgANgAsACAAMgAwADcANAAuADQAMgAsACAAMgAwADcANwAuADUANAAsACAAMgAwADgAMQAuADEAOQAsACAAMgAwADgANAAuADMAMwAsACAAMgAwADkAMwAuADEANQAsACAAMgAxADAAMAAuADAAMwAsACAAMgAwADkAOQAuADUAOQAsACAAMgAwADkAOAAuADkAMgAsACAAMgAxADAAMQAuADQANgAsACAAMgAxADAAMQAuADQANwAsACAAMgAxADAAMwAuADcANQAsACAAMgAxADAANAAuADMANwAsACAAMgAxADAAMgAuADAANwAsACAAMgAwADkAOAAuADgANQAsACAAMgAwADkAOAAuADAAOAAsACAAMgAwADkANwAuADkAMwAsACAAMgAwADkANwAuADMAOQAsACAAMgAwADkANQAuADcALAAgADIAMAA5ADMALgA2ADMALAAgADIAMAA5ADEALgA4ADYALAAgADIAMAA5ADAALgA4ADIALAAgADIAMAA5ADAALgA0ADcALAAgADIAMAA4ADgALgA4ADgAOwBcAG4AIAAgACAAIAAyADAANQAzAC4ANQA2ACwAIAAyADAANQAzAC4AMgA2ACwAIAAyADAANQA0AC4AMwA2ACwAIAAyADAANQA5AC4AMwA1ACwAIAAyADAANgAzAC4ANgAzACwAIAAyADAANgAxAC4ANgAzACwAIAAyADAANQA5AC4ANwA3ACwAIAAyADAANgAyAC4ANAAyACwAIAAyADAANgA2AC4AMwA1ACwAIAAyADAANwAwAC4AMgA5ACwAIAAyADAANwAzAC4AMgA3ACwAIAAyADAANwA3AC4AMgAzACwAIAAyADAAOAAyAC4AOAA0ACwAIAAyADAAOAA4AC4ANgA4ACwAIAAyADAAOQAxAC4ANwAxACwAIAAyADAAOAA5AC4ANQAxACwAIAAyADAAOQAxAC4ANgA3ACwAIAAyADAAOQA0AC4ANAAxACwAIAAyADAAOQA1AC4AMQAyACwAIAAyADAAOQA0AC4AOQA3ACwAIAAyADAAOQA0AC4AMgA5ACwAIAAyADAAOQAyAC4AMwA2ACwAIAAyADAAOAA5AC4AMgA0ACwAIAAyADAAOQAwAC4ANAAxACwAIAAyADAAOAA5AC4AOAAsACAAMgAwADgANwAuADYANgAsACAAMgAwADgANwAuADMAOAAsACAAMgAwADgANgAuADgAOQAsACAAMgAwADgANQAuADEANgAsACAAMgAwADgANAAuADMAMwA7AFwAbgAgACAAIAAgADIAMAA1ADMALgA1ADkALAAgADIAMAA1ADMALgA0ADQALAAgADIAMAA1ADMALgAzADkALAAgADIAMAA1ADMALgAxADUALAAgADIAMAA1ADMALgA2ADgALAAgADIAMAA1ADkALgAzADgALAAgADIAMAA1ADYALgA4ADIALAAgADIAMAA1ADQALgA3ADEALAAgADIAMAA1ADUALgAwADMALAAgADIAMAA1ADcALAAgADIAMAA2ADAALgA5ADcALAAgADIAMAA2ADQALgA0ADIALAAgADIAMAA2ADcALgA2ADgALAAgADIAMAA3ADEALgA1ADQALAAgADIAMAA3ADYALgAzADQALAAgADIAMAA3ADgALgA1ADEALAAgADIAMAA4ADEALgA1ADQALAAgADIAMAA4ADQALgAzACwAIAAyADAAOAA0AC4AMgAyACwAIAAyADAAOAA0AC4AOAA3ACwAIAAyADAAOAA0AC4ANQA0ACwAIAAyADAAOAA0AC4AOAA2ACwAIAAyADAAOAA0AC4AMQA3ACwAIAAyADAAOAAxAC4AOAA5ACwAIAAyADAAOAAxAC4ANAAyACwAIAAyADAAOAAwAC4ANQAsACAAMgAwADcAOQAuADkANgAsACAAMgAwADcAOQAuADMAMgAsACAAMgAwADcAOQAuADAAMwAsACAAMgAwADcAOAAuADUANQA7AFwAbgAgACAAIAAgADIAMAA1ADMALgAzADgALAAgADIAMAA1ADMALgAzADgALAAgADIAMAA1ADMALgAzADEALAAgADIAMAA1ADMALgAzACwAIAAyADAANQAyAC4AOQA5ACwAIAAyADAANQA2AC4AMgAyACwAIAAyADAANQA2AC4AOQA2ACwAIAAyADAANQAyAC4AOQAxACwAIAAyADAANQAxAC4ANAAsACAAMgAwADUAMAAuADYALAAgADIAMAA1ADIALgA1ADMALAAgADIAMAA1ADQALgAxADMALAAgADIAMAA1ADgALgA0ADUALAAgADIAMAA2ADEALgA2ACwAIAAyADAANgA3AC4AMQAxACwAIAAyADAANwAwAC4ANwA1ACwAIAAyADAANwAzAC4AOQA5ACwAIAAyADAANwA2AC4ANAAzACwAIAAyADAANwA3AC4AMwAsACAAMgAwADcANgAuADQAMwAsACAAMgAwADcANQAuADcAMQAsACAAMgAwADcANgAuADIAOAAsACAAMgAwADcANwAuADIAOAAsACAAMgAwADcANgAuADMAMQAsACAAMgAwADcANAAuADgAOAAsACAAMgAwADcANQAuADEAOQAsACAAMgAwADcANAAuADEANAAsACAAMgAwADcAMwAuADYALAAgADIAMAA3ADIALgAzADMALAAgADIAMAA3ADEALgA3ADMAOwBcAG4AIAAgACAAIAAyADAANQAzAC4ANAAyACwAIAAyADAANQAzAC4AMgA2ACwAIAAyADAANQAzAC4AMgA4ACwAIAAyADAANQAzAC4AMAA0ACwAIAAyADAANQAyAC4AOQAxACwAIAAyADAANQA0AC4AOAAsACAAMgAwADUANwAuADUALAAgADIAMAA1ADEALgA3ADQALAAgADIAMAA1ADAALgAzADIALAAgADIAMAA0ADkALgA1ADUALAAgADIAMAA0ADkALgAzADIALAAgADIAMAA0ADkALgAzADYALAAgADIAMAA0ADkALgA1ADUALAAgADIAMAA1ADIALgA1ADYALAAgADIAMAA1ADcALgA2ADMALAAgADIAMAA2ADIALgAzADkALAAgADIAMAA2ADQALgA5ADgALAAgADIAMAA2ADcALgAxADUALAAgADIAMAA3ADAALgA4ADYALAAgADIAMAA3ADEALgAzADkALAAgADIAMAA3ADAALgA2ADgALAAgADIAMAA3ADAALgA4ADcALAAgADIAMAA3ADEALgAwADMALAAgADIAMAA3ADEALgA1ADcALAAgADIAMAA3ADAALgA0ADYALAAgADIAMAA2ADgALgA1ADgALAAgADIAMAA2ADcALgA3ADIALAAgADIAMAA2ADgALgAxADMALAAgADIAMAA2ADcALgA0ADkALAAgADIAMAA2ADYALgAxADsAXABuACAAIAAgACAAMgAwADUAMwAuADUAOAAsACAAMgAwADUAMwAuADMANAAsACAAMgAwADUAMgAuADkAOQAsACAAMgAwADUAMgAuADkANQAsACAAMgAwADUAMwAuADYAOAAsACAAMgAwADUANgAuADUANAAsACAAMgAwADUAOAAuADAANgAsACAAMgAwADUAMQAuADQANAAsACAAMgAwADQAOQAuADMANgAsACAAMgAwADQAOQAuADQANAAsACAAMgAwADQAOQAuADEANQAsACAAMgAwADQAOAAuADkANgAsACAAMgAwADQAOAAuADkANAAsACAAMgAwADQAOAAuADgAMgAsACAAMgAwADQAOQAuADIAMgAsACAAMgAwADUAMAAuADgANQAsACAAMgAwADUANAAuADgAMwAsACAAMgAwADUAOQAuADEAMQAsACAAMgAwADYAMgAuADAAMgAsACAAMgAwADYANQAuADIANgAsACAAMgAwADYAOQAuADAANwAsACAAMgAwADYANgAuADcAMgAsACAAMgAwADYANgAuADUANAAsACAAMgAwADYANgAuADYANgAsACAAMgAwADYANQAuADEANAAsACAAMgAwADYANAAuADEANwAsACAAMgAwADYANQAuADEAOAAsACAAMgAwADYAMgAuADQANwAsACAAMgAwADYAMgAuADMAMgAsACAAMgAwADYAMgAuADIAOAB9ADsAXABuAFwAbgAvAC8AUABpAHQAdABzAGIAdQByAGcAaAAsACAAUABBACAAIAAgACAANAAwAC4ANAA0ADAANgAsAC0ANwA5AC4AOQA5ADUAOQBcAG4AUABpAHQAdABzAGIAdQByAGcAaABcAG4APQAgACAAIAB7ADIAMwAzAC4AMgA4ACwAIAAyADMANAAuADMANgAsACAAMgAzADUALgA3ADgALAAgADIAMwA2AC4ANQA0ACwAIAAyADMANwAuADYAOAAsACAAMgAzADkALgA0ACwAIAAyADQAMQAuADIALAAgADIANAAyAC4AMQAxACwAIAAyADMANgAuADYANwAsACAAMgAzADQALgA4ADQALAAgADIANAA0AC4AMwA4ACwAIAAyADQANgAuADEAMwAsACAAMgA0ADYALgAxADUALAAgADIANAA1AC4AOAAxACwAIAAyADQANgAuADQAMgAsACAAMgA0ADcALgA5ADYALAAgADIANAA5AC4ANgAzACwAIAAyADUAMQAuADIANQAsACAAMgA1ADMALgAxADgALAAgADIANQA0AC4ANgA2ACwAIAAyADUANgAuADAANQAsACAAMgA1ADYALgA5ADIALAAgADIANQA4AC4AMAA3ACwAIAAyADUAOQAuADIAMQAsACAAMgA2ADAALgA5ADQALAAgADIANgAzAC4AMAA0ACwAIAAyADYANQAuADMAMwAsACAAMgA2ADcALgA1ACwAIAAyADYAOQAuADIAMQAsACAAMgA2ADkALgA4ADkAOwBcAG4AIAAgACAAIAAyADMAMgAuADgALAAgADIAMwAyAC4AOAA1ACwAIAAyADMAMwAuADEAMQAsACAAMgAzADQALgAxADYALAAgADIAMwA3AC4ANwA2ACwAIAAyADMAOAAuADIALAAgADIAMwA5AC4ANQA3ACwAIAAyADQAMAAuADYANgAsACAAMgAzADgALgAzADUALAAgADIAMwA1AC4ANQAyACwAIAAyADMAMwAuADYAOQAsACAAMgA0ADcALgAyADkALAAgADIANAA2AC4AOQA4ACwAIAAyADQANgAuADQAMwAsACAAMgA0ADcALgAzADQALAAgADIANAA5AC4AMQA4ACwAIAAyADUAMAAuADgANAAsACAAMgA1ADIALgA0ADEALAAgADIANQAzAC4AOAAyACwAIAAyADUANQAuADUAOAAsACAAMgA1ADcALgAwADIALAAgADIANQA3AC4AOQA1ACwAIAAyADUAOAAuADkAMwAsACAAMgA1ADkALgA3ADMALAAgADIANgAxAC4AOQAyACwAIAAyADYAMwAuADcAOQAsACAAMgA2ADcALgAwADIALAAgADIANwAwAC4AMQAyACwAIAAyADcAMAAuADMAOAAsACAAMgA3ADEALgA4ADcAOwBcAG4AIAAgACAAIAAyADMAMgAuADIANQAsACAAMgAzADEALgA5ADQALAAgADIAMwAyAC4AOQAxACwAIAAyADMAMwAuADUANgAsACAAMgAzADMALgA0ACwAIAAyADMAOQAuADAANwAsACAAMgAzADkALgAzADgALAAgADIANAAwAC4AMQAyACwAIAAyADMAOQAuADgAMQAsACAAMgAzADUALgA0ADEALAAgADIAMwAzAC4ANgA3ACwAIAAyADQAMwAuADQALAAgADIANAA3ACwAIAAyADQANgAuADcAMwAsACAAMgA0ADgALgAzADIALAAgADIANQAwAC4AMgA5ACwAIAAyADUAMQAuADQANgAsACAAMgA1ADIALgA3ADkALAAgADIANQA1AC4ANAA3ACwAIAAyADUANgAuADUANAAsACAAMgA1ADgALgAxADQALAAgADIANQA4AC4ANgA4ACwAIAAyADYAMAAuADMAMwAsACAAMgA2ADEALgA0ADcALAAgADIANgAzAC4AMgA2ACwAIAAyADYANgAuADgALAAgADIANwAwAC4ANwAxACwAIAAyADcAMQAuADAAOQAsACAAMgA3ADEALgA4ADUALAAgADIANwAzAC4AMwAxADsAXABuACAAIAAgACAAMgAzADEALgAyADIALAAgADIAMwAxAC4AMgA1ACwAIAAyADMAMgAuADAANwAsACAAMgAzADMALgAzACwAIAAyADMAMwAuADMAMgAsACAAMgAzADkALgA2ADEALAAgADIAMwA4AC4AMAA5ACwAIAAyADMANwAuADYAOAAsACAAMgAzADkALgAxADcALAAgADIAMwA1AC4ANAA1ACwAIAAyADMAMgAuADIAMQAsACAAMgA0ADEALgAxADgALAAgADIANAA2AC4ANgAzACwAIAAyADQANwAuADkANgAsACAAMgA0ADkALgA0ADkALAAgADIANQAxAC4AMgA1ACwAIAAyADUAMgAuADUANwAsACAAMgA1ADYALgAyADcALAAgADIANQA3AC4ANwA0ACwAIAAyADUANwAuADMAOQAsACAAMgA1ADgALgA3ADYALAAgADIANQA5AC4AOQA0ACwAIAAyADYAMAAuADUAOQAsACAAMgA2ADIALgA5ADkALAAgADIANgA0AC4ANQA0ACwAIAAyADYAOQAuADgAMwAsACAAMgA3ADEALgAzACwAIAAyADcAMQAuADgALAAgADIANwAzAC4AMwA5ACwAIAAyADcANQAuADQANQA7AFwAbgAgACAAIAAgADIAMgA5AC4ANgAxACwAIAAyADMAMAAuADgAMgAsACAAMgAzADAALgA4ADUALAAgADIAMwAyAC4AMwAzACwAIAAyADMAMwAuADEAMwAsACAAMgAzADMALgA2ADQALAAgADIAMwA0AC4AOAAxACwAIAAyADMANQAuADAANQAsACAAMgAzADQALgA2ADUALAAgADIAMwAwAC4ANQA2ACwAIAAyADMANwAuADAANgAsACAAMgAzADQALgAxADMALAAgADIANAA2AC4AOAA0ACwAIAAyADQAOQAuADAANAAsACAAMgA1ADEALgAzADMALAAgADIANQAxAC4ANwA2ACwAIAAyADUAMwAuADMAMQAsACAAMgA1ADcALgAxACwAIAAyADUANwAuADYANwAsACAAMgA1ADgALgA1ADYALAAgADIANQA5AC4ANwAsACAAMgA2ADAALgA5ADYALAAgADIANgAxAC4ANgA4ACwAIAAyADYANAAuADMAMwAsACAAMgA2ADkALgA5ADMALAAgADIANwAxAC4AMgA1ACwAIAAyADcAMQAuADkAOQAsACAAMgA3ADMALgAyADMALAAgADIANwA1AC4AMwAxACwAIAAyADcANgAuADQAOQA7AFwAbgAgACAAIAAgADIAMgA5AC4AMAA5ACwAIAAyADMAMQAuADAANQAsACAAMgAzADAALgA3ADkALAAgADIAMwAwAC4AOAA0ACwAIAAyADMAMQAuADkAOQAsACAAMgAzADMALgAzADkALAAgADIAMwA0AC4AOQAzACwAIAAyADMANQAuADIAMgAsACAAMgAzADgALgA2ADQALAAgADIAMwA4AC4AOQA4ACwAIAAyADMAOAAuADYAMwAsACAAMgAzADYALgAzADQALAAgADIANAA3AC4AOQA5ACwAIAAyADUAMAAuADEANwAsACAAMgA1ADIALgA2ADIALAAgADIANQA0AC4AMgAyACwAIAAyADUANQAuADQALAAgADIANQA3AC4AMgA0ACwAIAAyADUAOAAuADIALAAgADIANQA4AC4AOQA5ACwAIAAyADYAMAAuADcANwAsACAAMgA2ADEALgAxADUALAAgADIANgA0AC4AMQAzACwAIAAyADYANQAuADYANgAsACAAMgA3ADEALgA3ADcALAAgADIANwAyAC4AMQA5ACwAIAAyADcAMwAsACAAMgA3ADUALgAzACwAIAAyADcANwAuADYAOQAsACAAMgA3ADkALgAzADUAOwBcAG4AIAAgACAAIAAyADIANwAuADMANAAsACAAMgAyADgALgA5ADMALAAgADIAMgA5AC4ANQA5ACwAIAAyADMAMAAuADQALAAgADIAMwAxAC4ANAAyACwAIAAyADIAOAAuADQAOAAsACAAMgAzADYALgAyADkALAAgADIANAAwAC4ANAA1ACwAIAAyADMAOAAuADkALAAgADIANAAxAC4AMQA0ACwAIAAyADQAMAAuADYAOQAsACAAMgAzADgALgA1ACwAIAAyADMANAAuADgAMQAsACAAMgA1ADEALgA1ADYALAAgADIANQAzAC4AOAA4ACwAIAAyADUANgAuADIAOQAsACAAMgA1ADgALgAzADYALAAgADIANQA4AC4ANAA5ACwAIAAyADUAOQAuADEAMQAsACAAMgA1ADkALgA3ADYALAAgADIANgAyAC4ANwA5ACwAIAAyADYANAAuADAAOAAsACAAMgA2ADMALgA3ADYALAAgADIANgA2AC4AOQA3ACwAIAAyADcAMgAuADkALAAgADIANwAzAC4ANAA2ACwAIAAyADcANAAuADcANAAsACAAMgA3ADgALgA5ADIALAAgADIAOAAwACwAIAAyADgAMQAuADkAMQA7AFwAbgAgACAAIAAgADIAMgA2AC4AOAA5ACwAIAAyADIANwAuADUANQAsACAAMgAyADgALgA3ADIALAAgADIAMwAwAC4AMQAzACwAIAAyADIAOQAuADgANAAsACAAMgAyADgALgA1ADkALAAgADIAMgA3AC4AOQA2ACwAIAAyADMAOAAuADAANgAsACAAMgAzADgALgA4ADkALAAgADIANAAzAC4ANwA5ACwAIAAyADQAMwAsACAAMgAzADgALgA5ADIALAAgADIAMwA2AC4ANgA5ACwAIAAyADQAOQAuADgAMwAsACAAMgA1ADYALgAwADMALAAgADIANQA3AC4ANwA2ACwAIAAyADUAOQAuADQANwAsACAAMgA1ADkALgA3ADUALAAgADIANQA5AC4AOQAsACAAMgA2ADUALAAgADIANgA1AC4AMgAsACAAMgA2ADUALgAwADcALAAgADIANwAwAC4AMQAsACAAMgA3ADMALgA4ADMALAAgADIANwAyAC4ANQA2ACwAIAAyADcANQAuADkANAAsACAAMgA3ADcALgAyADQALAAgADIANwA5AC4ANAA2ACwAIAAyADgAMgAuADgAMgAsACAAMgA4ADMALgA2ADIAOwBcAG4AIAAgACAAIAAyADIANgAuADYAOAAsACAAMgAyADYALgA0ADYALAAgADIAMgA3AC4ANgA0ACwAIAAyADIAOAAuADkAMQAsACAAMgAyADkALgAwADkALAAgADIAMgA4AC4ANgA5ACwAIAAyADIAOAAuADEAMgAsACAAMgAzADEALgA4ADcALAAgADIAMwA4AC4AOAA3ACwAIAAyADQANQAuADEAOQAsACAAMgA0ADcALgA1ADQALAAgADIANAAzAC4ANQAzACwAIAAyADMAOAAuADkAMgAsACAAMgAzADYALgA0ADYALAAgADIANQA1AC4ANwA2ACwAIAAyADUAOQAuADgAMQAsACAAMgA2ADEALgAwADUALAAgADIANgAxAC4ANgA1ACwAIAAyADYANgAuADYAMQAsACAAMgA2ADcALgAwADEALAAgADIANgA0AC4AOQAsACAAMgA2ADYALgAzADgALAAgADIANwAzAC4ANgA2ACwAIAAyADcANQAuADcAOAAsACAAMgA3ADUALgA5ADQALAAgADIANwA3AC4AMAA4ACwAIAAyADgAMAAuADIAOQAsACAAMgA4ADEALgA1ADIALAAgADIAOAA0AC4AOAA5ACwAIAAyADgANQAuADgAMwA7AFwAbgAgACAAIAAgADIAMgA2AC4AMAA1ACwAIAAyADIANgAuADEAMQAsACAAMgAyADYALgA3ADEALAAgADIAMgA4AC4AOQA4ACwAIAAyADIAOQAuADAAMgAsACAAMgAyADgALgAyADUALAAgADIAMgA5AC4ANgA1ACwAIAAyADMAMQAuADkAOQAsACAAMgAzADEALgAzADgALAAgADIAMwA5AC4AMwA5ACwAIAAyADMAOQAuADAANAAsACAAMgA0ADUALgAxADUALAAgADIANAAwAC4AMQA5ACwAIAAyADMANwAuADgANgAsACAAMgA0ADcALgA1ADMALAAgADIANgA0AC4AMAA4ACwAIAAyADYAMwAuADYAMgAsACAAMgA2ADYALgA0ADMALAAgADIANgA5AC4AOQA5ACwAIAAyADcAMAAuADUAOAAsACAAMgA2ADYALgAyADkALAAgADIANwAyAC4AOQA0ACwAIAAyADcANwAuADEANAAsACAAMgA3ADcALgA4ADIALAAgADIANwA4AC4AMAA0ACwAIAAyADcAOQAuADgANAAsACAAMgA4ADEALgA5ADgALAAgADIAOAA1AC4AOQA4ACwAIAAyADgANgAuADIANwAsACAAMgA4ADgALgAxADUAOwBcAG4AIAAgACAAIAAyADIANQAuADUAMQAsACAAMgAyADUALgA2ADgALAAgADIAMgA1AC4ANgA5ACwAIAAyADIANgAuADgAMwAsACAAMgAyADcALgA2ACwAIAAyADIANwAuADYALAAgADIAMgA4AC4AMAAyACwAIAAyADIAOQAuADQALAAgADIAMgA4AC4ANgA3ACwAIAAyADIAOQAuADUAOQAsACAAMgAzADIALgA5ACwAIAAyADMANwAuADIANQAsACAAMgA0ADEALgAyADcALAAgADIAMwA5AC4AMQA5ACwAIAAyADMANgAuADcAOQAsACAAMgA0ADUALgA5ADkALAAgADIANgA0AC4ANgAyACwAIAAyADYANgAuADUANwAsACAAMgA3ADEALgAwADcALAAgADIANwA0AC4AMAA2ACwAIAAyADcAMgAuADQANgAsACAAMgA3ADYALgAwADEALAAgADIANwA5AC4AOAA4ACwAIAAyADgAMAAuADEAMQAsACAAMgA4ADAALgA2ADkALAAgADIAOAAyAC4AOAA2ACwAIAAyADgAMwAuADkAMwAsACAAMgA4ADYALgAyADEALAAgADIAOAA3AC4AOQA3ACwAIAAyADgAOQAuADQAMgA7AFwAbgAgACAAIAAgADIAMgA1AC4AMQA2ACwAIAAyADIANQAuADMANQAsACAAMgAyADUALgAzADgALAAgADIAMgA2AC4AMQAyACwAIAAyADIANgAuADcAOAAsACAAMgAyADcALgA2ADYALAAgADIAMgA2AC4AOAA4ACwAIAAyADIANwAuADQAOAAsACAAMgAyADgALgA0ACwAIAAyADIAOQAuADEAMgAsACAAMgAyADkALgA4ADIALAAgADIAMwAwAC4AMwA3ACwAIAAyADMANwAuADUANQAsACAAMgA0ADAALgA3ADgALAAgADIAMwA5AC4AMwAyACwAIAAyADQAMgAuADUAMwAsACAAMgA2ADQALgAxADUALAAgADIANgA0AC4ANAAyACwAIAAyADYANwAuADcAMwAsACAAMgA3ADYALgA0ADUALAAgADIANwA4AC4ANQA2ACwAIAAyADgAMQAuADYAMQAsACAAMgA4ADIALgA0ADUALAAgADIAOAAyAC4AOAAxACwAIAAyADgANgAuADIAMgAsACAAMgA4ADgALgA5ADUALAAgADIAOQAxAC4AOQA1ACwAIAAyADgANwAuADgANwAsACAAMgA4ADkALgA5ADkALAAgADIAOQAxAC4ANgA2ADsAXABuACAAIAAgACAAMgAyADQALgA5ADYALAAgADIAMgA1AC4AMQA5ACwAIAAyADIANQAuADIAMgAsACAAMgAyADUALgA0ADYALAAgADIAMgA1AC4AOAA2ACwAIAAyADIANQAuADkAOQAsACAAMgAyADYALgAzADMALAAgADIAMgA3AC4AMAA0ACwAIAAyADIAOAAuADUALAAgADIAMgA4AC4AMgA2ACwAIAAyADMAMAAuADUAOAAsACAAMgAzADAALgAzACwAIAAyADMAMAAuADMAOQAsACAAMgAzADQALgA3ADEALAAgADIAMwA5AC4ANAAsACAAMgAzADgALgAzADgALAAgADIANAAzAC4ANQAxACwAIAAyADYANAAuADYANwAsACAAMgA3ADEALgA4ADYALAAgADIAOAAwAC4AMwA2ACwAIAAyADgAMAAuADQANQAsACAAMgA4ADMALgAyADQALAAgADIAOAA2AC4AMQAzACwAIAAyADgAOAAuADkANwAsACAAMgA4ADkALgAwADIALAAgADIAOQAxAC4ANgA0ACwAIAAyADkAMQAuADYAMQAsACAAMgA5ADMALgA3ADEALAAgADIAOQAyAC4ANgA0ACwAIAAyADkAMwAuADgAMQA7AFwAbgAgACAAIAAgADIAMgA1AC4ANAAyACwAIAAyADIANAAuADkAMwAsACAAMgAyADUALgAxADQALAAgADIAMgA1AC4AOAA3ACwAIAAyADIANQAuADgAOQAsACAAMgAyADUALgA4ADUALAAgADIAMgA2ACwAIAAyADIANQAuADUAMQAsACAAMgAyADUALgAzADYALAAgADIAMgA1AC4ANgAzACwAIAAyADIANwAuADQAOAAsACAAMgAyADkALgAzADEALAAgADIAMwAwAC4AMwA4ACwAIAAyADMAMAAuADUAOAAsACAAMgAzADQALgAyADMALAAgADIANAAwAC4AMAA4ACwAIAAyADQAMAAuADQAMgAsACAAMgA1ADUALgA1ADIALAAgADIANwA4AC4AOAA0ACwAIAAyADgAMQAsACAAMgA4ADEALgA5ADYALAAgADIAOAA0AC4AMwAzACwAIAAyADgAOAAuADAAMgAsACAAMgA5ADAALgAyADMALAAgADIAOQAxAC4AMAAzACwAIAAyADkAMwAuADMANwAsACAAMgA5ADQALgA1ADcALAAgADIAOQA1AC4AOQAzACwAIAAyADkANQAuADUANAAsACAAMgA5ADgALgA3ADMAOwBcAG4AIAAgACAAIAAyADIANAAuADcANAAsACAAMgAyADQALgA2ADMALAAgADIAMgA1AC4ANwA4ACwAIAAyADIANQAuADYAOAAsACAAMgAyADUALgA3ADcALAAgADIAMgA1AC4AOAAzACwAIAAyADIANQAuADcANwAsACAAMgAyADUALgA0ADQALAAgADIAMgA0AC4AOQA4ACwAIAAyADIANgAuADIALAAgADIAMgA1AC4ANgAyACwAIAAyADIANgAuADQALAAgADIAMgA4AC4ANAAzACwAIAAyADMAMAAuADQANgAsACAAMgAzADAALgA2ADQALAAgADIAMwAyAC4ANQA5ACwAIAAyADMAOQAuADQANQAsACAAMgA0ADEALgAyADEALAAgADIANwA2AC4ANAA0ACwAIAAyADgAMgAuADQAOAAsACAAMgA4ADMALgA0ADQALAAgADIAOAA3AC4AMgA3ACwAIAAyADkAMAAuADcALAAgADIAOQAyAC4ANwAxACwAIAAyADkAMgAuADQAMwAsACAAMgA5ADQALgA4ADEALAAgADIAOQA2AC4AOQAzACwAIAAyADkAOAAuADIANAAsACAAMwAwADAALgA4ADkALAAgADMAMAAxAC4AMAA3ADsAXABuACAAIAAgACAAMgAyADQALgA1ADkALAAgADIAMgA0AC4ANgAzACwAIAAyADIANQAuADAANgAsACAAMgAyADUALgAxADEALAAgADIAMgA1AC4ANgA1ACwAIAAyADIANQAuADgANQAsACAAMgAyADUALgA3ADkALAAgADIAMgA1AC4ANQA5ACwAIAAyADIANQAuADMAMwAsACAAMgAyADUALgAwADgALAAgADIAMgA1AC4AMgA1ACwAIAAyADIANQAuADAANAAsACAAMgAyADYALgAxADUALAAgADIAMgA4AC4AOAA1ACwAIAAyADMAMAAuADcANwAsACAAMgAzADAALgA2ADcALAAgADIAMwAwAC4AOQA3ACwAIAAyADMAOAAuADEANQAsACAAMgA1ADAALgA2ADEALAAgADIAOAAxAC4ANwA2ACwAIAAyADgANAAuADAAMQAsACAAMgA4ADkALgAyADkALAAgADIAOQA0AC4ANgAzACwAIAAyADkANgAuADMAMwAsACAAMgA5ADYALgAzADEALAAgADIAOQA4AC4AMwA1ACwAIAAyADkAOQAuADUAOAAsACAAMwAwADAALgA0ADkALAAgADMAMAAyAC4ANAAyACwAIAAzADAAMwAuADQAOwBcAG4AIAAgACAAIAAyADIAMwAuADAAOAAsACAAMgAyADMALgAwADIALAAgADIAMgA0AC4AMQAzACwAIAAyADIANAAuADcANQAsACAAMgAyADUALgA3ADMALAAgADIAMgA1AC4AMwA1ACwAIAAyADIANQAuADMAOAAsACAAMgAyADUALgA2ADIALAAgADIAMgA1AC4ANAA5ACwAIAAyADIANQAuADMANAAsACAAMgAyADUALgAzACwAIAAyADIANQAuADEAOQAsACAAMgAyADUALgAzACwAIAAyADIANwAuADcAMgAsACAAMgAyADkALgA1ADUALAAgADIAMwAwAC4AOAA5ACwAIAAyADMAMQAuADAAOAAsACAAMgAzADEALgAyADEALAAgADIANAA5AC4ANwAsACAAMgA1ADQALgAxADQALAAgADIAOAAzAC4AMAA0ACwAIAAyADkAMQAuADEAMQAsACAAMgA5ADgALgAyADgALAAgADMAMAAwAC4AMgA0ACwAIAAzADAAMQAuADMANAAsACAAMwAwADEALgA2ADcALAAgADMAMAA0AC4ANQA5ACwAIAAzADAANQAuADQANQAsACAAMwAwADUALgA5ADcALAAgADMAMAA1AC4AOQA3ADsAXABuACAAIAAgACAAMgAyADIALgA0ACwAIAAyADIAMgAuADgANAAsACAAMgAyADMALgA1ACwAIAAyADIANAAuADkANQAsACAAMgAyADYALgAzADgALAAgADIAMgA1AC4AMwA5ACwAIAAyADIANQAuADEANwAsACAAMgAyADUALgA5ADQALAAgADIAMgA1AC4AOQAyACwAIAAyADIANQAuADYAOAAsACAAMgAyADUALgAzADgALAAgADIAMgA1AC4AMgAzACwAIAAyADIANAAuADgAOQAsACAAMgAyADUALgA3ADkALAAgADIAMgA3AC4ANgAyACwAIAAyADIAOQAuADQAMgAsACAAMgAzADEALgAyADIALAAgADIAMwAxAC4AMwAyACwAIAAyADMAMQAuADMAMwAsACAAMgA0ADAALgA5ACwAIAAyADUANAAuADgAMQAsACAAMgA3ADkALgA3ADIALAAgADIAOAA5AC4ANAAyACwAIAAzADAAMAAuADMANwAsACAAMwAwADEALgA4ADMALAAgADMAMAAzAC4ANAA2ACwAIAAzADAANAAuADQAOQAsACAAMwAwADYALgAwADEALAAgADMAMAA2AC4AOQAxACwAIAAzADAAOAAuADgAMQA7AFwAbgAgACAAIAAgADIAMgAxAC4ANAA3ACwAIAAyADIAMgAuADUAMQAsACAAMgAyADIALgA4ADMALAAgADIAMgA0AC4AOQAyACwAIAAyADIANgAuADkAOAAsACAAMgAzADMALgA0ADQALAAgADIAMgA1AC4AMAAxACwAIAAyADIANQAuADgAMQAsACAAMgAyADUALgA4ADcALAAgADIAMgA1AC4ANwA4ACwAIAAyADIANQAuADYANgAsACAAMgAyADUALgAzADIALAAgADIAMgA1AC4AMgA2ACwAIAAyADIANQAuADMANAAsACAAMgAyADUALgA0ADEALAAgADIAMgA3AC4AMQA0ACwAIAAyADIAOAAuADkANgAsACAAMgAzADAALgA1ADUALAAgADIAMwAxAC4ANQAxACwAIAAyADMAMQAuADMANgAsACAAMgAzADEALgAyADkALAAgADIANQA2AC4AOAA4ACwAIAAyADYAMAAuADIALAAgADIAOAA1AC4ANAA2ACwAIAAyADkANgAuADAAMQAsACAAMwAwADMALgA5ADMALAAgADMAMAA0AC4AMwAyACwAIAAzADAANQAuADQANAAsACAAMwAwADYALgA2ADgALAAgADMAMAA5AC4AOQA1ADsAXABuACAAIAAgACAAMgAyADEALgAwADIALAAgADIAMgAyAC4AMAA2ACwAIAAyADIAMgAuADgAOAAsACAAMgAyADIALgA3ADkALAAgADIAMwA0AC4AMAA1ACwAIAAyADIANAAuADUAMgAsACAAMgAyADQALgA5ADYALAAgADIAMgA1AC4ANQAxACwAIAAyADIANQAuADMAOQAsACAAMgAyADUALgA2ADUALAAgADIAMgA1AC4AMwA0ACwAIAAyADIANQAuADIANQAsACAAMgAyADUALgAzADcALAAgADIAMgA1AC4ANAA0ACwAIAAyADIANQAuADUAMwAsACAAMgAyADUALgA3ADkALAAgADIAMgA2AC4AOAAxACwAIAAyADIAOAAuADUANgAsACAAMgAzADAALgAxADQALAAgADIAMwAxAC4AMgA4ACwAIAAyADMAMQAuADEANgAsACAAMgAzADEALgAxADMALAAgADIANQA4AC4AOAA2ACwAIAAyADUAOQAuADgAMwAsACAAMgA4ADAALgA2ADQALAAgADIAOQA2AC4AMQA2ACwAIAAzADAANAAuADcANgAsACAAMwAwADUALgAzADEALAAgADMAMAA2AC4AMAAyACwAIAAzADAANgAuADQAMgA7AFwAbgAgACAAIAAgADIAMgAwAC4ANgAzACwAIAAyADIAMQAuADYANQAsACAAMgAyADIALgA3ADEALAAgADIAMwAwAC4ANwA3ACwAIAAyADIAMwAuADkAMwAsACAAMgAyADMALgAyADEALAAgADIAMgA1AC4AMAA2ACwAIAAyADIANQAuADAAOAAsACAAMgAyADUALgAyADEALAAgADIAMgA1AC4AMAAxACwAIAAyADIANAAuADcAOQAsACAAMgAyADUALgAwADkALAAgADIAMgA0AC4AOAA3ACwAIAAyADIANQAuADEANQAsACAAMgAyADUALgAzADkALAAgADIAMgA1AC4AOAAxACwAIAAyADIANgAuADAAOAAsACAAMgAyADYALgA1ADUALAAgADIAMgA4AC4AMQAxACwAIAAyADIAOQAuADcANAAsACAAMgAzADEALgAwADkALAAgADIAMwAwAC4AOAA5ACwAIAAyADMANAAuADMAMQAsACAAMgA2ADAALgAwADEALAAgADIANgAxAC4AOQA4ACwAIAAyADgAMQAuADYAMQAsACAAMgA5ADEALgA0ADQALAAgADIAOQA4AC4ANQA5ACwAIAAzADAAMwAuADEAMwAsACAAMwAwADUALgA2ADsAXABuACAAIAAgACAAMgAyADAALgAyADIALAAgADIAMgAxAC4AMgA1ACwAIAAyADIAMgAuADYAOAAsACAAMgAzADQALgA0ADYALAAgADIAMgA2AC4AOQA4ACwAIAAyADIAMgAuADIAOQAsACAAMgAyADMALgA5ADYALAAgADIAMgA0AC4ANQAxACwAIAAyADIANAAuADUAMwAsACAAMgAyADQALgA1ADUALAAgADIAMgA0AC4AOQAzACwAIAAyADIANQAuADEANgAsACAAMgAyADUALgAxADIALAAgADIAMgA0AC4ANwA0ACwAIAAyADIANAAuADgANgAsACAAMgAyADUALgAzADEALAAgADIAMgA1AC4ANQA1ACwAIAAyADIANgAuADEAOAAsACAAMgAyADYALgAxADYALAAgADIAMgA3AC4ANgAxACwAIAAyADIAOQAuADAANAAsACAAMgAzADAALgA2ADkALAAgADIAMwAwAC4AOAAsACAAMgAzADUALgA1ADQALAAgADIANQA2AC4AMwAxACwAIAAyADYANAAuADAANQAsACAAMgA3ADUALgAzADEALAAgADIAOAAxAC4AOQA3ACwAIAAyADkANQAuADAANAAsACAAMwAwADMAOwBcAG4AIAAgACAAIAAyADEAOQAuADMAOQAsACAAMgAyADEALgA0ADIALAAgADIAMgA3ACwAIAAyADIANwAuADIAOQAsACAAMgAyADEALgAyADgALAAgADIAMgAyAC4AMAA0ACwAIAAyADIAMgAuADkANQAsACAAMgAyADMALgA2ADkALAAgADIAMgAzAC4AOAAxACwAIAAyADIANAAuADYAMwAsACAAMgAyADQALgA1ADEALAAgADIAMgA0AC4AOAAyACwAIAAyADIANAAuADcAMwAsACAAMgAyADQALgA1ADEALAAgADIAMgA0AC4ANAA0ACwAIAAyADIANAAuADcANQAsACAAMgAyADUALgAxADgALAAgADIAMgA1AC4AMwA2ACwAIAAyADIANQAuADUANgAsACAAMgAyADUALgA3ADMALAAgADIAMgA2AC4ANgA1ACwAIAAyADIAOAAuADMAMQAsACAAMgAzADAALgAwADEALAAgADIAMwAwAC4ANQA3ACwAIAAyADMANwAuADgANQAsACAAMgA1ADMALgA4ADcALAAgADIANgA2AC4AMAA1ACwAIAAyADcAMwAuADUAMQAsACAAMgA3ADkALgA0ADQALAAgADIAOQAxAC4AOQAzADsAXABuACAAIAAgACAAMgAxADgALgAxADYALAAgADIAMgAwAC4ANQAyACwAIAAyADIAMQAuADYAMwAsACAAMgAyADEALgA0ADQALAAgADIAMgAyAC4ANAAxACwAIAAyADIAMgAuADQAOQAsACAAMgAyADIALgA1ADcALAAgADIAMgAyAC4ANgA5ACwAIAAyADIAMwAuADAANAAsACAAMgAyADMALgA2ADkALAAgADIAMgAzAC4AOQAxACwAIAAyADIANAAuADQAMQAsACAAMgAyADQALgA0ACwAIAAyADIANAAuADAAMgAsACAAMgAyADQALgAzADkALAAgADIAMgA0AC4ANwA4ACwAIAAyADIANAAuADcAOAAsACAAMgAyADUALgAwADcALAAgADIAMgA1AC4AMwA0ACwAIAAyADIANQAuADUAMQAsACAAMgAyADUALgA0ADYALAAgADIAMgA2AC4AMAA5ACwAIAAyADIANwAuADgANwAsACAAMgAyADkALgA0ADkALAAgADIAMwAwAC4ANgA0ACwAIAAyADMANgAuADIAMQAsACAAMgA0ADUALgA1ADUALAAgADIANgA4AC4AMgA4ACwAIAAyADcANAAuADUAOQAsACAAMgA4ADIALgA0ADMAOwBcAG4AIAAgACAAIAAyADEANgAuADIAMwAsACAAMgAxADYALgAyADMALAAgADIAMgAyAC4AMQA3ACwAIAAyADIAMgAuADMAOAAsACAAMgAyADIALgA3ADYALAAgADIAMgAyAC4AOAAxACwAIAAyADIAMgAuADgAOQAsACAAMgAyADMALgAxADMALAAgADIAMgAyAC4ANwA3ACwAIAAyADIAMwAuADUAMQAsACAAMgAyADQALgAxADkALAAgADIAMgA0AC4AMgA5ACwAIAAyADIAMwAuADkANAAsACAAMgAyADQALgAwADMALAAgADIAMgA0AC4ANAA3ACwAIAAyADIANAAuADkAMwAsACAAMgAyADQALgA4ADcALAAgADIAMgA0AC4ANQA2ACwAIAAyADIANAAuADcAOAAsACAAMgAyADQALgA5ADgALAAgADIAMgA1AC4AMwA1ACwAIAAyADIANQAuADYAMgAsACAAMgAyADYALgAwADEALAAgADIAMgA4AC4AOQAxACwAIAAyADMAMAAuADkANQAsACAAMgAzADAALgA3ADgALAAgADIAMwAwAC4AOAAyACwAIAAyADQANQAuADcANgAsACAAMgA2ADQALgA1ADMALAAgADIANwAxAC4AMgAzADsAXABuACAAIAAgACAAMgAxADYALgAyADMALAAgADIAMQA2AC4AMgAzACwAIAAyADEANgAuADIANAAsACAAMgAyADEALgAwADYALAAgADIAMgAzAC4AMAA5ACwAIAAyADIAMwAuADAANgAsACAAMgAyADMALgAwADgALAAgADIAMgAyAC4AOQA1ACwAIAAyADIAMwAuADQALAAgADIAMgAzAC4AMQA3ACwAIAAyADIAMwAuADYANwAsACAAMgAyADMALgA3ADIALAAgADIAMgAzAC4ANAAxACwAIAAyADIAMwAuADkANQAsACAAMgAyADQALgAzADgALAAgADIAMgA0AC4AOAAxACwAIAAyADIANAAuADcANgAsACAAMgAyADQALgA1ACwAIAAyADIANAAuADIAMgAsACAAMgAyADQALgA3ADYALAAgADIAMgA1AC4AMwA1ACwAIAAyADIANQAuADgANAAsACAAMgAyADUALgA5ADUALAAgADIAMgA2AC4AMgA3ACwAIAAyADMAMAAuADYANAAsACAAMgAzADAALgA1ADUALAAgADIAMwAwAC4ANgAyACwAIAAyADMAMQAuADAAOAAsACAAMgA0ADUALgA5ADkALAAgADIANgAxAC4ANAA0ADsAXABuACAAIAAgACAAMgAxADYALgAyADMALAAgADIAMQA2AC4AMgAzACwAIAAyADEANgAuADIANAAsACAAMgAxADYALgAyADQALAAgADIAMQA5AC4AOQA0ACwAIAAyADIAMwAuADMANAAsACAAMgAyADMALgAyADUALAAgADIAMgAzAC4AMgAzACwAIAAyADIAMwAuADIANgAsACAAMgAyADIALgA5ADMALAAgADIAMgAzAC4AMgAzACwAIAAyADIAMwAuADAAMwAsACAAMgAyADIALgA5ADYALAAgADIAMgAzAC4AMQAyACwAIAAyADIAMwAuADkAOAAsACAAMgAyADQALgAyADIALAAgADIAMgA0AC4AMwAzACwAIAAyADIAMwAuADkAOQAsACAAMgAyADQALgA0ADEALAAgADIAMgA0AC4ANQA3ACwAIAAyADIANAAuADcAMQAsACAAMgAyADUALgA0ADEALAAgADIAMgA1AC4ANwAxACwAIAAyADIANgAuADIANAAsACAAMgAyADYALgA0ADMALAAgADIAMwAwAC4ANgA0ACwAIAAyADMAMQAuADEANQAsACAAMgAzADAALgA4ACwAIAAyADMAMQAuADMANQAsACAAMgAzADkALgAzADUAOwBcAG4AIAAgACAAIAAyADEANgAuADIANAAsACAAMgAxADYALgAyADQALAAgADIAMQA2AC4AMgA0ACwAIAAyADEANgAuADIANAAsACAAMgAxADYALgAyADQALAAgADIAMQA5AC4AMAA5ACwAIAAyADIAMwAuADUALAAgADIAMgAzAC4AMwA1ACwAIAAyADIAMwAuADIAOQAsACAAMgAyADMALgA1ADUALAAgADIAMgAyAC4AOQA2ACwAIAAyADIAMwAuADMAOQAsACAAMgAyADMALgAxADcALAAgADIAMgAzAC4AMgAsACAAMgAyADIALgA5ADcALAAgADIAMgAzAC4ANQAzACwAIAAyADIAMwAuADYANgAsACAAMgAyADMALgA1ACwAIAAyADIANAAuADEAMgAsACAAMgAyADQALgAzADcALAAgADIAMgA1AC4AMQA5ACwAIAAyADIANAAuADkALAAgADIAMgA1AC4ANgA1ACwAIAAyADIANgAuADAAMwAsACAAMgAyADYALgA0ADUALAAgADIAMgA2AC4ANgA3ACwAIAAyADIAOQAuADcAMwAsACAAMgAzADAALgA4ADMALAAgADIAMwAwAC4AOAA3ACwAIAAyADMAMQAuADQANwA7AFwAbgAgACAAIAAgADIAMQA2AC4AMgA0ACwAIAAyADEANgAuADIANAAsACAAMgAxADYALgAyADQALAAgADIAMQA2AC4AMgA0ACwAIAAyADEANgAuADIANAAsACAAMgAxADYALgAyADQALAAgADIAMQA2AC4AMgA0ACwAIAAyADIAMgAuADIALAAgADIAMgAzAC4ANAA4ACwAIAAyADIAMwAuADIAMQAsACAAMgAyADMALgAyADYALAAgADIAMgAzAC4AMAA4ACwAIAAyADIAMwAuADUAOAAsACAAMgAyADMALgAyADEALAAgADIAMgAzAC4AMAA4ACwAIAAyADIAMwAuADEANgAsACAAMgAyADMALgAxADQALAAgADIAMgAzAC4AMgA5ACwAIAAyADIAMwAuADQAOAAsACAAMgAyADQALgA0ADMALAAgADIAMgA0AC4AOAA3ACwAIAAyADIANAAuADkAOAAsACAAMgAyADUALgAxADYALAAgADIAMgA1AC4ANwA0ACwAIAAyADIANgAuADEAOQAsACAAMgAyADYALgA1ADIALAAgADIAMgA3AC4AMQA3ACwAIAAyADIANwAuADUAMQAsACAAMgAzADAALgA5ADYALAAgADIAMwAxAC4AMQA4ADsAXABuACAAIAAgACAAMgAxADYALgAyADQALAAgADIAMQA2AC4AMgA0ACwAIAAyADEANgAuADIANAAsACAAMgAxADYALgAyADQALAAgADIAMQA2AC4AMgA0ACwAIAAyADEANgAuADIANAAsACAAMgAxADYALgAyADUALAAgADIAMQA2AC4AMgA1ACwAIAAyADIAMQAuADIANAAsACAAMgAyADMALgAyADkALAAgADIAMgAzAC4AMQA4ACwAIAAyADIAMwAuADEANQAsACAAMgAyADMALgAxADEALAAgADIAMgAzAC4AMQAxACwAIAAyADIAMgAuADkAOAAsACAAMgAyADMALgAwADkALAAgADIAMgAyAC4ANwA3ACwAIAAyADIAMgAuADcAMQAsACAAMgAyADIALgA5ADkALAAgADIAMgAyAC4AOAA1ACwAIAAyADIAMwAuADUAMwAsACAAMgAyADQALgA5ADgALAAgADIAMgA1AC4AMgA1ACwAIAAyADIANQAuADQALAAgADIAMgA1AC4ANQAyACwAIAAyADIANgAuADMANQAsACAAMgAyADYALgA0ADMALAAgADIAMgA3AC4AMAA0ACwAIAAyADIANwAuADcAMQAsACAAMgAzADAALgA4ADkAfQA7AFwAbgBcAG4ALwAvAEwAZQBhAGQAdgBpAGwAbABlACwAIABDAE8AIAAzADkALgAyADUAMAA4ADIALAAtADEAMAA2AC4AMgA5ADIANQAyAFwAbgBMAGUAYQBkAHYAaQBsAGwAZQA9AFwAbgAgACAAIAAgAHsAMwAwADkANQAuADQALAAgADMAMAA5ADYALgAzADEALAAgADMAMAA5ADcALgAzADYALAAgADMAMAA5ADgALgAyADUALAAgADMAMAA5ADkALgAxADEALAAgADMAMAA5ADkALgA3ADkALAAgADMAMQAwADEALgAwADcALAAgADMAMQAwADIALgAxADIALAAgADMAMQAwADMALgAzADQALAAgADMAMQAwADQALgA1ADEALAAgADMAMQAwADUALgAzADgALAAgADMAMQAwADYALgA5ACwAIAAzADEAMAA3AC4ANwA1ACwAIAAzADEAMAA5AC4ANQA3ACwAIAAzADEAMAA5AC4AOAA3ACwAIAAzADEAMQAxAC4ANwAyACwAIAAzADEAMQAyAC4ANQAsACAAMwAxADEAMwAuADUAOQAsACAAMwAxADEANAAuADYANgAsACAAMwAxADEANQAuADgAMQAsACAAMwAxADEANgAuADcAOAAsACAAMwAxADEANwAuADgAMgAsACAAMwAxADEAOQAuADEAMQAsACAAMwAxADEAOQAuADUAOAAsACAAMwAxADEAOQAuADMANAAsACAAMwAxADEAOQAuADUAOAAsACAAMwAxADIAMAAuADEANgAsACAAMwAxADIAMAAuADUALAAgADMAMQAyADIALgA2ACwAIAAzADEAMgA1AC4ANgA3ADsAXABuACAAIAAgACAAMwAwADkANgAuADcANwAsACAAMwAwADkANwAuADAANAAsACAAMwAwADkAOAAuADEANgAsACAAMwAwADkAOQAuADAAMgAsACAAMwAxADAAMAAuADIANgAsACAAMwAxADAAMAAuADkANgAsACAAMwAxADAAMgAuADIAOAAsACAAMwAxADAAMgAuADgAOAAsACAAMwAxADAAMwAuADgANgAsACAAMwAxADAANAAuADcAMgAsACAAMwAxADAANQAuADcANQAsACAAMwAxADAANwAuADIANgAsACAAMwAxADAAOAAuADEANAAsACAAMwAxADAAOQAuADQAOQAsACAAMwAxADEAMQAuADEANgAsACAAMwAxADEAMgAuADAAMgAsACAAMwAxADEAMwAuADMANwAsACAAMwAxADEANAAuADYANAAsACAAMwAxADEANQAuADQANwAsACAAMwAxADEANgAuADUALAAgADMAMQAxADcALgA0ACwAIAAzADEAMQA4AC4AMQA4ACwAIAAzADEAMQA4AC4ANwA5ACwAIAAzADEAMQA5AC4AMAA0ACwAIAAzADEAMQA5AC4AMgA1ACwAIAAzADEAMQA5AC4ANAA0ACwAIAAzADEAMQA5AC4AMgAyACwAIAAzADEAMQA5AC4ANQA3ACwAIAAzADEAMgAyAC4ANgAyACwAIAAzADEAMgA2AC4AMgA4ADsAXABuACAAIAAgACAAMwAwADkAOAAuADQALAAgADMAMAA5ADcALgA0ADIALAAgADMAMAA5ADgALgA0ADgALAAgADMAMAA5ADkALgA1ADUALAAgADMAMQAwADAALgA4ADEALAAgADMAMQAwADIALgAxADYALAAgADMAMQAwADIALgA3ADcALAAgADMAMQAwADQALgA2ADMALAAgADMAMQAwADUALgAxADEALAAgADMAMQAwADYALgAwADMALAAgADMAMQAwADYALgA4ADgALAAgADMAMQAwADcALgA2ADMALAAgADMAMQAwADgALgA3ADUALAAgADMAMQAwADkALgA2ACwAIAAzADEAMQAxAC4AOQA5ACwAIAAzADEAMQAyAC4AOAA5ACwAIAAzADEAMQAzAC4AOAA5ACwAIAAzADEAMQA0AC4AOAA2ACwAIAAzADEAMQA2AC4AMQA5ACwAIAAzADEAMQA3AC4AMwA0ACwAIAAzADEAMQA4AC4AMgAsACAAMwAxADEAOQAuADEALAAgADMAMQAxADkALgAzACwAIAAzADEAMQA5AC4AOQAyACwAIAAzADEAMgAwAC4AMgA2ACwAIAAzADEAMgAwAC4AMQA3ACwAIAAzADEAMgAwAC4ANQA1ACwAIAAzADEAMgAxAC4ANwA1ACwAIAAzADEAMgAzAC4ANgA3ACwAIAAzADEAMgA2AC4AMQA3ADsAXABuACAAIAAgACAAMwAxADAAMwAuADkAOQAsACAAMwAxADAAMwAuADUAMQAsACAAMwAwADkAOQAuADYANwAsACAAMwAxADAAMAAuADIAMQAsACAAMwAxADAAMQAuADMAMQAsACAAMwAxADAAMgAuADQANQAsACAAMwAxADAAMwAuADcAMQAsACAAMwAxADAANAAuADkANAAsACAAMwAxADAANQAuADkAMQAsACAAMwAxADAANgAuADcANAAsACAAMwAxADAANwAuADYAMQAsACAAMwAxADAAOAAuADMAOAAsACAAMwAxADEAMAAuADAAMgAsACAAMwAxADEAMAAuADkANQAsACAAMwAxADEAMgAuADIAOQAsACAAMwAxADEAMwAuADYAMQAsACAAMwAxADEANAAuADIAOQAsACAAMwAxADEANQAuADEANAAsACAAMwAxADEANQAuADgAMwAsACAAMwAxADEANwAuADUAMwAsACAAMwAxADEAOAAuADQAMQAsACAAMwAxADEAOQAuADIAOAAsACAAMwAxADIAMAAuADQAMwAsACAAMwAxADIAMQAuADEANAAsACAAMwAxADIAMQAuADYAOQAsACAAMwAxADIAMgAuADAANAAsACAAMwAxADIAMwAuADQALAAgADMAMQAyADUALgA2ADUALAAgADMAMQAyADQALgA3ACwAIAAzADEAMgA2AC4ANwA3ADsAXABuACAAIAAgACAAMwAxADAANgAuADkANwAsACAAMwAxADAANgAuADEAOQAsACAAMwAxADAAMwAuADIAMwAsACAAMwAxADAAMQAuADIAOAAsACAAMwAxADAAMgAuADMANwAsACAAMwAxADAAMwAuADIAMwAsACAAMwAxADAANAAuADkANAAsACAAMwAxADAANQAuADcANQAsACAAMwAxADAANgAuADUAMQAsACAAMwAxADAANwAuADYALAAgADMAMQAwADgALgA0ADcALAAgADMAMQAwADkALgA1ADYALAAgADMAMQAxADAALgA5ADgALAAgADMAMQAxADIALgA0ADMALAAgADMAMQAxADMALgAxADQALAAgADMAMQAxADQALgAzADkALAAgADMAMQAxADUALgAwADIALAAgADMAMQAxADYALgAzADUALAAgADMAMQAxADcALgAzADEALAAgADMAMQAxADgALgA0ADIALAAgADMAMQAxADgALgA3ADcALAAgADMAMQAxADkALgA5ADMALAAgADMAMQAyADAALgA3ADkALAAgADMAMQAyADEALgA4ADQALAAgADMAMQAyADMALgA2ADQALAAgADMAMQAzADMALgAzADMALAAgADMAMQAyADQALgAzADgALAAgADMAMQAyADYALgA3ADcALAAgADMAMQAyADYALgA5ADQALAAgADMAMQAyADcALgA4ADkAOwBcAG4AIAAgACAAIAAzADEAMAA2AC4ANAA5ACwAIAAzADEAMAA2AC4ANAA0ACwAIAAzADEAMAA1AC4ANgAzACwAIAAzADEAMAAzAC4ANwAsACAAMwAxADAAMwAuADQANAAsACAAMwAxADAANAAuADEAMgAsACAAMwAxADAANQAuADQAMgAsACAAMwAxADAANgAuADYAOAAsACAAMwAxADAAOAAuADEANAAsACAAMwAxADAAOAAuADgAOQAsACAAMwAxADAAOQAuADgAOQAsACAAMwAxADEAMAAuADcANQAsACAAMwAxADEAMQAuADQAMwAsACAAMwAxADEAMwAuADAANQAsACAAMwAxADEAMwAuADkAMgAsACAAMwAxADEANAAuADcAMQAsACAAMwAxADEANgAuADMAMwAsACAAMwAxADEANwAuADUAMQAsACAAMwAxADEAOAAuADMANwAsACAAMwAxADEAOQAuADEANAAsACAAMwAxADIAMAAuADIAOQAsACAAMwAxADIAMAAuADgAOAAsACAAMwAxADIAMQAuADYALAAgADMAMQAyADIALgAzADkALAAgADMAMQAyADMALgAxADMALAAgADMAMQAyADMALgA5ADEALAAgADMAMQAyADQALgA5ADcALAAgADMAMQAyADUALgA4ADUALAAgADMAMQAyADcALgA2ADYALAAgADMAMQAyADgALgA2ADgAOwBcAG4AIAAgACAAIAAzADEAMAA0AC4AOAAsACAAMwAxADAANgAuADAAMQAsACAAMwAxADAANQAuADgAOAAsACAAMwAxADAANQAuADYANAAsACAAMwAxADAANAAuADMAOAAsACAAMwAxADAANAAuADgANwAsACAAMwAxADAANQAuADUAMQAsACAAMwAxADAANgAuADkAMgAsACAAMwAxADAAOAAuADMANwAsACAAMwAxADAAOQAuADYAOQAsACAAMwAxADEAMAAuADUAMwAsACAAMwAxADEAMQAuADMANQAsACAAMwAxADEAMgAuADkANwAsACAAMwAxADEAMwAuADgANgAsACAAMwAxADEANQAuADMAOAAsACAAMwAxADEANQAuADUALAAgADMAMQAxADYALgA5ADMALAAgADMAMQAxADgALgAxADgALAAgADMAMQAxADkALgAzACwAIAAzADEAMgAwAC4AMwA2ACwAIAAzADEAMgAxAC4ANAAzACwAIAAzADEAMgA0AC4AOAA1ACwAIAAzADEAMgAzAC4AOAA3ACwAIAAzADEAMgAzAC4ANwA4ACwAIAAzADEAMgA0AC4ANAAzACwAIAAzADEAMgA1AC4AMAA2ACwAIAAzADEAMgA1AC4ANQA0ACwAIAAzADEAMgA2AC4ANAA0ACwAIAAzADEAMgA3AC4ANwAyACwAIAAzADEAMgA4AC4ANwAxADsAXABuACAAIAAgACAAMwAxADAAMQAuADIAMQAsACAAMwAxADAAMgAuADUANwAsACAAMwAxADAAMwAuADgAOQAsACAAMwAxADAANAAuADcANgAsACAAMwAxADAANAAuADUANQAsACAAMwAxADAANQAuADIAMQAsACAAMwAxADAANgAuADIAMQAsACAAMwAxADAANwAuADMAMgAsACAAMwAxADAAOAAuADQAMwAsACAAMwAxADAAOQAuADgAMQAsACAAMwAxADEAMQAuADAAOAAsACAAMwAxADEAMQAuADcAOAAsACAAMwAxADEAMwAuADUAOAAsACAAMwAxADEANAAuADIAMwAsACAAMwAxADEANQAuADcAMwAsACAAMwAxADEANgAuADcALAAgADMAMQAxADcALgA5ADkALAAgADMAMQAxADkALgAwADcALAAgADMAMQAyADAALgA0ADUALAAgADMAMQAyADEALgAyADkALAAgADMAMQAyADIALgAwADUALAAgADMAMQAyADQALgA0ACwAIAAzADEAMgA3AC4AOAA0ACwAIAAzADEAMgA4AC4ANgAzACwAIAAzADEAMgA4AC4AMgAxACwAIAAzADEAMgA4AC4AMAA3ACwAIAAzADEAMgA3AC4AOQAyACwAIAAzADEAMgA3AC4AOQAxACwAIAAzADEAMgA4AC4AOAAyACwAIAAzADEAMwAwAC4AMQA4ADsAXABuACAAIAAgACAAMwAwADkAOQAuADAANQAsACAAMwAxADAAMAAuADEANAAsACAAMwAxADAAMQAuADIANQAsACAAMwAxADAAMwAuADEAMwAsACAAMwAxADAANAAuADIAOAAsACAAMwAxADAANAAuADkANQAsACAAMwAxADAANgAuADgAMgAsACAAMwAxADAAOAAuADEANQAsACAAMwAxADAAOQAuADEAOAAsACAAMwAxADEAMAAuADYANQAsACAAMwAxADEAMQAuADUAOAAsACAAMwAxADEAMwAuADMALAAgADMAMQAxADQALgAyADMALAAgADMAMQAxADQALgA5ADQALAAgADMAMQAxADYALgAzADYALAAgADMAMQAxADcALgA4ADcALAAgADMAMQAxADgALgA3ADYALAAgADMAMQAyADAALgAzADEALAAgADMAMQAyADAALgA5ADYALAAgADMAMQAyADIALgAyADQALAAgADMAMQAyADMALgAyADgALAAgADMAMQAyADQALgAyADgALAAgADMAMQAyADYALgA4ADkALAAgADMAMQAyADkALgA1ADYALAAgADMAMQAzADEALgA2ADEALAAgADMAMQAzADIALgA5ADYALAAgADMAMQAzADUALgA0ACwAIAAzADEAMwA2AC4AMQA0ACwAIAAzADEAMwA2AC4AOQA5ACwAIAAzADEAMwAyAC4AMwAzADsAXABuACAAIAAgACAAMwAwADkAOQAuADMAMQAsACAAMwAxADAAMAAuADYANQAsACAAMwAxADAAMQAuADgAMwAsACAAMwAxADAAMgAuADkAMwAsACAAMwAxADAANAAuADYANgAsACAAMwAxADAANQAuADAAOQAsACAAMwAxADAANgAuADUAMgAsACAAMwAxADAANwAuADkAMQAsACAAMwAxADAAOQAuADMANgAsACAAMwAxADEAMAAuADgANQAsACAAMwAxADEAMgAuADEANQAsACAAMwAxADEAMwAuADQALAAgADMAMQAxADQALgA4ADgALAAgADMAMQAxADUALgA3ADUALAAgADMAMQAxADYALgA3ADQALAAgADMAMQAxADcALgA3ACwAIAAzADEAMQA5ACwAIAAzADEAMgAwAC4AMAAxACwAIAAzADEAMgAxAC4AOAAyACwAIAAzADEAMgAyAC4ANwAsACAAMwAxADIANAAuADEANgAsACAAMwAxADIANQAuADAANQAsACAAMwAxADIANQAuADcAOAAsACAAMwAxADIAOAAuADMANAAsACAAMwAxADMAMAAuADMAMgAsACAAMwAxADMAMwAuADIANwAsACAAMwAxADMANAAuADgAMwAsACAAMwAxADMANgAuADMALAAgADMAMQAzADcALgA0ADQALAAgADMAMQAzADcALgAxADUAOwBcAG4AIAAgACAAIAAzADAAOQA5AC4AOAA1ACwAIAAzADEAMAAxAC4AMwA2ACwAIAAzADEAMAAyAC4AMQA0ACwAIAAzADEAMAAzAC4AMwAsACAAMwAxADAANAAuADUALAAgADMAMQAwADUALgA4ADMALAAgADMAMQAwADYALgAxADQALAAgADMAMQAwADgALgAyADgALAAgADMAMQAwADkALgAzADQALAAgADMAMQAxADAALgA3ADMALAAgADMAMQAxADIALgA2ADQALAAgADMAMQAxADMALgA2ADYALAAgADMAMQAxADUALgAwADQALAAgADMAMQAxADYALgAzADYALAAgADMAMQAxADcALgAwADIALAAgADMAMQAxADgALgA1ADkALAAgADMAMQAxADkALgA2ADcALAAgADMAMQAyADAALgA3ADMALAAgADMAMQAyADIALgAxADkALAAgADMAMQAyADMALgAxADYALAAgADMAMQAyADQALgAyADgALAAgADMAMQAyADUALgA0ADQALAAgADMAMQAyADcALgAxADIALAAgADMAMQAyADcALgA1ACwAIAAzADEAMwAxAC4ANAA3ACwAIAAzADEAMwAzAC4AMQA1ACwAIAAzADEAMwA1AC4AMAA2ACwAIAAzADEAMwA2AC4ANQAzACwAIAAzADEAMwA4AC4AOQA1ACwAIAAzADEANAAwAC4AOAAzADsAXABuACAAIAAgACAAMwAwADkAOQAuADcAMwAsACAAMwAxADAAMQAuADQAMQAsACAAMwAxADAAMgAuADEAMwAsACAAMwAxADAAMwAuADYALAAgADMAMQAwADQALgA5ADkALAAgADMAMQAwADYALgAxADMALAAgADMAMQAwADcALgA3ADcALAAgADMAMQAwADgALgA0ADgALAAgADMAMQAwADkALgA1ADcALAAgADMAMQAxADEALgA1ADkALAAgADMAMQAxADIALgA0ADIALAAgADMAMQAxADQALgAwADIALAAgADMAMQAxADUALgAyADQALAAgADMAMQAxADYALgAyACwAIAAzADEAMQA3AC4AMwAsACAAMwAxADEAOAAuADkAMgAsACAAMwAxADIAMAAuADAAOQAsACAAMwAxADIAMQAuADUAOAAsACAAMwAxADIAMgAuADcAOQAsACAAMwAxADIANAAuADEAMQAsACAAMwAxADIANQAuADIANwAsACAAMwAxADIANgAuADMANgAsACAAMwAxADIANwAuADMANAAsACAAMwAxADIAOAAuADIANAAsACAAMwAxADIAOAAuADgAMgAsACAAMwAxADMAMAAuADQANAAsACAAMwAxADMAMQAuADQAMwAsACAAMwAxADMANQAuADIAMQAsACAAMwAxADMANgAuADIAOAAsACAAMwAxADQAMAAuADUAMwA7AFwAbgAgACAAIAAgADMAMQAwADAALgAyADUALAAgADMAMQAwADEALgAyADUALAAgADMAMQAwADIALgA5ADIALAAgADMAMQAwADQALgAzADEALAAgADMAMQAwADQALgA4ADkALAAgADMAMQAwADYALgAzACwAIAAzADEAMAA3AC4ANwAzACwAIAAzADEAMAA4AC4AOAA4ACwAIAAzADEAMQAwACwAIAAzADEAMQAxAC4ANwA1ACwAIAAzADEAMQAyAC4ANwAsACAAMwAxADEANAAuADYAMgAsACAAMwAxADEANQAuADIAMQAsACAAMwAxADEANgAuADQANwAsACAAMwAxADEANwAuADgAMgAsACAAMwAxADEAOAAuADQAOAAsACAAMwAxADEAOQAuADkAOQAsACAAMwAxADIAMQAuADUAMQAsACAAMwAxADIAMgAuADgAOQAsACAAMwAxADIANAAuADEAOQAsACAAMwAxADIANQAuADYAOAAsACAAMwAxADIANgAuADcAMQAsACAAMwAxADIAOAAuADAAMgAsACAAMwAxADIAOQAuADMANwAsACAAMwAxADMAMAAuADQAOAAsACAAMwAxADMAMAAuADgAMgAsACAAMwAxADMAMQAuADYALAAgADMAMQAzADIALgA0ADkALAAgADMAMQAzADMALgA4ADgALAAgADMAMQAzADYALgAyADUAOwBcAG4AIAAgACAAIAAzADEAMAAwAC4ANgA4ACwAIAAzADEAMAAyAC4AMgAsACAAMwAxADAAMgAuADkANgAsACAAMwAxADAANAAuADYANAAsACAAMwAxADAANQAuADIANAAsACAAMwAxADAANgAuADcAMgAsACAAMwAxADAANwAuADkAOAAsACAAMwAxADAAOQAuADIANAAsACAAMwAxADEAMAAuADIAOAAsACAAMwAxADEAMQAuADkAOQAsACAAMwAxADEAMwAsACAAMwAxADEANAAuADcANwAsACAAMwAxADEANgAuADEANgAsACAAMwAxADEANwAuADAANAAsACAAMwAxADEAOAAuADAAMQAsACAAMwAxADEAOQAuADQANwAsACAAMwAxADIAMAAuADgALAAgADMAMQAyADIALgAwADQALAAgADMAMQAyADMALgAwADkALAAgADMAMQAyADQALgAyADUALAAgADMAMQAyADUALgA0ADgALAAgADMAMQAyADcALgA2ADYALAAgADMAMQAyADgALgAyADYALAAgADMAMQAyADkALgA1ADIALAAgADMAMQAzADAALgA4ADcALAAgADMAMQAzADEALgA4ADMALAAgADMAMQAzADIALgA3ACwAIAAzADEAMwA0AC4AMgA0ACwAIAAzADEAMwA0AC4ANwA0ACwAIAAzADEAMwA2AC4AMwA0ADsAXABuACAAIAAgACAAMwAxADAAMAAuADkANwAsACAAMwAxADAAMgAuADQAMQAsACAAMwAxADAAMwAuADgAMQAsACAAMwAxADAANAAuADYAMQAsACAAMwAxADAANAAuADIANAAsACAAMwAxADAANgAuADkANwAsACAAMwAxADAAOAAuADQAMQAsACAAMwAxADEAMAAuADEAMgAsACAAMwAxADEAMAAuADgAMgAsACAAMwAxADEAMgAuADIALAAgADMAMQAxADMALgAyADUALAAgADMAMQAxADQALgA5ADgALAAgADMAMQAxADYALgAwADQALAAgADMAMQAxADcALgAzADIALAAgADMAMQAxADgALgAxADMALAAgADMAMQAxADkALgAyADkALAAgADMAMQAyADEALgA1ADEALAAgADMAMQAyADIALgA2ADEALAAgADMAMQAyADMALgA5ADQALAAgADMAMQAyADQALgA4ADgALAAgADMAMQAyADYALgAyADEALAAgADMAMQAyADcALgAzADUALAAgADMAMQAyADgALgA2ADgALAAgADMAMQAyADkALgA4ADUALAAgADMAMQAzADEALgAxADMALAAgADMAMQAzADIALgA0ADkALAAgADMAMQAzADMALgA1ADQALAAgADMAMQAzADUALgA0ADgALAAgADMAMQAzADUALgA4ADMALAAgADMAMQAzADcALgAwADUAOwBcAG4AIAAgACAAIAAzADEAMAAxAC4ANQAxACwAIAAzADEAMAAzAC4ANAA5ACwAIAAzADEAMAA0AC4ANQA3ACwAIAAzADEAMAA0AC4AOAAxACwAIAAzADEAMAA2AC4ANgA0ACwAIAAzADEAMAA4AC4AMAA3ACwAIAAzADEAMAA5AC4AMwA2ACwAIAAzADEAMQAwAC4AMQAyACwAIAAzADEAMQAxAC4AMwAsACAAMwAxADEAMgAuADIALAAgADMAMQAxADMALgA1ACwAIAAzADEAMQA0AC4AOQA0ACwAIAAzADEAMQA2AC4ANQAxACwAIAAzADEAMQA3AC4ANgA5ACwAIAAzADEAMQA4AC4AOAA3ACwAIAAzADEAMQA5AC4AOQA2ACwAIAAzADEAMgAxAC4ANAA0ACwAIAAzADEAMgAyAC4ANwA1ACwAIAAzADEAMgA0AC4AMAA4ACwAIAAzADEAMgA1AC4ANAA1ACwAIAAzADEAMgA3AC4AMAA0ACwAIAAzADEAMgA3AC4ANQA2ACwAIAAzADEAMgA4AC4AOAA2ACwAIAAzADEAMwAwAC4AMgAsACAAMwAxADMAMQAuADEANgAsACAAMwAxADMAMgAuADcALAAgADMAMQAzADMALgA5ADIALAAgADMAMQAzADQALgA2ADEALAAgADMAMQAzADYALgAzADgALAAgADMAMQAzADcALgA1ADsAXABuACAAIAAgACAAMwAxADAAMQAuADgALAAgADMAMQAwADMALgA4ADUALAAgADMAMQAwADQALgA5ADEALAAgADMAMQAwADUALgAzADEALAAgADMAMQAwADcALgAwADIALAAgADMAMQAwADgALgA3ADMALAAgADMAMQAwADgALgA3ADUALAAgADMAMQAwADkALgA2ADcALAAgADMAMQAxADEALgAzADcALAAgADMAMQAxADIALgAzADYALAAgADMAMQAxADQALgAwADIALAAgADMAMQAxADUALgAwADIALAAgADMAMQAxADYALgAyADEALAAgADMAMQAxADcALgA0ADYALAAgADMAMQAxADkALgAwADgALAAgADMAMQAyADAALgA0ADMALAAgADMAMQAyADIALgAzADQALAAgADMAMQAyADMALgAxADcALAAgADMAMQAyADMALgA4ADcALAAgADMAMQAyADUALgAwADgALAAgADMAMQAyADUALgA4ADcALAAgADMAMQAyADcALgA2ADUALAAgADMAMQAyADgALgA2ADkALAAgADMAMQAzADAALgAyADIALAAgADMAMQAzADEALgA1ADUALAAgADMAMQAzADIALgA5ACwAIAAzADEAMwA0AC4AOAAzACwAIAAzADEAMwA1AC4AMQA2ACwAIAAzADEAMwA2AC4ANgA2ACwAIAAzADEAMwA3AC4ANgA7AFwAbgAgACAAIAAgADMAMQAwADEALgA2ADQALAAgADMAMQAwADMALgA4ADgALAAgADMAMQAwADQALgA3ADYALAAgADMAMQAwADUALgAyADIALAAgADMAMQAwADYALgAyADEALAAgADMAMQAwADgALgA2ADEALAAgADMAMQAwADgALgAyACwAIAAzADEAMQAyAC4AMQA3ACwAIAAzADEAMQAxAC4ANAAyACwAIAAzADEAMQAyAC4ANgA1ACwAIAAzADEAMQA0ACwAIAAzADEAMQA1AC4AMwAzACwAIAAzADEAMQA2AC4AMgAxACwAIAAzADEAMQA3AC4ANwA4ACwAIAAzADEAMQA4AC4AOAA4ACwAIAAzADEAMgAwAC4AMgAzACwAIAAzADEAMgAyAC4AMAAyACwAIAAzADEAMgAyAC4ANwA0ACwAIAAzADEAMgA0AC4ANAAzACwAIAAzADEAMgA1AC4AMwA4ACwAIAAzADEAMgA2AC4ANwA4ACwAIAAzADEAMgA4AC4AOAA2ACwAIAAzADEAMgA4AC4AOAA5ACwAIAAzADEAMwAwAC4ANAA2ACwAIAAzADEAMwAxAC4AOAA5ACwAIAAzADEAMwAzAC4AMQAzACwAIAAzADEAMwA0AC4AMQA5ACwAIAAzADEAMwA1AC4AMgA2ACwAIAAzADEAMwA2AC4ANwA3ACwAIAAzADEAMwA4AC4AMAA3ADsAXABuACAAIAAgACAAMwAxADAAMwAuADQAMQAsACAAMwAxADAAMwAuADcAOAAsACAAMwAxADAANAAuADIAOQAsACAAMwAxADAANQAuADMAMwAsACAAMwAxADAANgAuADMAMgAsACAAMwAxADAAOAAuADUAMQAsACAAMwAxADAAOAAuADUAOAAsACAAMwAxADEAMAAuADEAMQAsACAAMwAxADEAMQAuADQANQAsACAAMwAxADEAMgAuADgAOQAsACAAMwAxADEANAAuADQAMgAsACAAMwAxADEANQAuADUANAAsACAAMwAxADEANgAuADUAOAAsACAAMwAxADEANwAuADYANwAsACAAMwAxADEAOAAuADkAMgAsACAAMwAxADIAMAAuADMAMgAsACAAMwAxADIAMQAuADYAOQAsACAAMwAxADIAMwAuADIANgAsACAAMwAxADIANAAuADYANgAsACAAMwAxADIANQAuADgANQAsACAAMwAxADIANwAuADIAMwAsACAAMwAxADIAOAAuADIAMgAsACAAMwAxADMAMAAuADAAMQAsACAAMwAxADMAMAAuADcANgAsACAAMwAxADMAMgAuADIAMQAsACAAMwAxADMAMwAuADIAMQAsACAAMwAxADMANAAuADAAOAAsACAAMwAxADMANQAuADQAOAAsACAAMwAxADMANgAuADcAMQAsACAAMwAxADMANwAuADkAMQA7AFwAbgAgACAAIAAgADMAMQAwADIALgAwADIALAAgADMAMQAwADMALgA5ADIALAAgADMAMQAwADQALgA1ADcALAAgADMAMQAwADUALgAwADIALAAgADMAMQAwADUALgA2ADUALAAgADMAMQAwADgALgAwADMALAAgADMAMQAwADkALgAyADIALAAgADMAMQAxADAALgAxADYALAAgADMAMQAxADEALgA2ADgALAAgADMAMQAxADMALgA0ADEALAAgADMAMQAxADQALgA0ADgALAAgADMAMQAxADUALgA5ADMALAAgADMAMQAxADYALgA4ADkALAAgADMAMQAxADgALgAxADcALAAgADMAMQAxADkALgAyADIALAAgADMAMQAyADAALgA0ACwAIAAzADEAMgAyAC4AMgAyACwAIAAzADEAMgAzAC4AMgAsACAAMwAxADIANAAuADMAMwAsACAAMwAxADIANgAuADYAMgAsACAAMwAxADIANwAuADMAMgAsACAAMwAxADIAOAAuADYAMwAsACAAMwAxADMAMAAuADEANQAsACAAMwAxADMAMAAuADkAOAAsACAAMwAxADMAMgAuADMAOAAsACAAMwAxADMAMwAuADYANgAsACAAMwAxADMANQAuADEANwAsACAAMwAxADMANgAuADEALAAgADMAMQAzADcALgA2ADIALAAgADMAMQAzADgALgA1ADYAOwBcAG4AIAAgACAAIAAzADEAMAAxAC4ANgA3ACwAIAAzADEAMAAzAC4AMQAzACwAIAAzADEAMAA0AC4AMAA0ACwAIAAzADEAMAA1AC4AMQA1ACwAIAAzADEAMAA2AC4ANAA4ACwAIAAzADEAMAA3AC4ANQA3ACwAIAAzADEAMAA5AC4AMAAyACwAIAAzADEAMQAwAC4AMwA1ACwAIAAzADEAMQAxAC4ANgA0ACwAIAAzADEAMQAzAC4AMgA3ACwAIAAzADEAMQA0AC4ANgAzACwAIAAzADEAMQA2AC4AMQA5ACwAIAAzADEAMQA3AC4AMgA2ACwAIAAzADEAMQA4AC4ANgAxACwAIAAzADEAMQA5AC4ANgA5ACwAIAAzADEAMgAwAC4AOQA2ACwAIAAzADEAMgAyAC4AMQA2ACwAIAAzADEAMgAzAC4ANQA2ACwAIAAzADEAMgA0AC4AOAA1ACwAIAAzADEAMgA2AC4AMQA4ACwAIAAzADEAMgA3AC4ANQA1ACwAIAAzADEAMgA4AC4AOAAyACwAIAAzADEAMgA5AC4AOAAxACwAIAAzADEAMwAxAC4AMQAyACwAIAAzADEAMwAyAC4AMwAzACwAIAAzADEAMwAzAC4ANwA4ACwAIAAzADEAMwA0AC4AOAA1ACwAIAAzADEAMwA2AC4AMQA4ACwAIAAzADEAMwA3AC4ANAA1ACwAIAAzADEAMwA5AC4AMgA7AFwAbgAgACAAIAAgADMAMQAwADEALgA5ADgALAAgADMAMQAwADIALgAxADIALAAgADMAMQAwADMALgA5ADcALAAgADMAMQAwADUALgA0ADEALAAgADMAMQAwADYALgAyADIALAAgADMAMQAwADcALgA0ADgALAAgADMAMQAwADgALgA5ADgALAAgADMAMQAxADAALgAzADMALAAgADMAMQAxADEALgA5ADUALAAgADMAMQAxADMALgA3ADYALAAgADMAMQAxADQALgA2ACwAIAAzADEAMQA2AC4AMgAyACwAIAAzADEAMQA3AC4AMgA3ACwAIAAzADEAMQA4AC4ANwA4ACwAIAAzADEAMQA5AC4AOAA3ACwAIAAzADEAMgAxAC4AMQA4ACwAIAAzADEAMgAyAC4AOQAyACwAIAAzADEAMgAzAC4AOAA5ACwAIAAzADEAMgA1AC4AMgAsACAAMwAxADIANgAuADAAMwAsACAAMwAxADIANwAuADUAMgAsACAAMwAxADIAOQAuADAANwAsACAAMwAxADMAMAAuADEANQAsACAAMwAxADMAMQAuADIANQAsACAAMwAxADMAMgAuADYAOQAsACAAMwAxADMAMwAuADcANgAsACAAMwAxADMANQAuADAAOQAsACAAMwAxADMANgAuADEANwAsACAAMwAxADMANwAuADQAMgAsACAAMwAxADMAOAAuADcANQA7AFwAbgAgACAAIAAgADMAMQAwADEALgA3ADkALAAgADMAMQAwADIALgA1ADIALAAgADMAMQAwADMALgA4ADgALAAgADMAMQAwADUALgAzADUALAAgADMAMQAwADYALgAzADkALAAgADMAMQAwADcALgA3ACwAIAAzADEAMAA4AC4ANwAsACAAMwAxADEAMAAuADIAOQAsACAAMwAxADEAMQAuADgAOAAsACAAMwAxADEAMwAuADMANAAsACAAMwAxADEANAAuADYANQAsACAAMwAxADEANQAuADgANwAsACAAMwAxADEANwAuADAAMgAsACAAMwAxADEAOAAuADYAOQAsACAAMwAxADEAOQAuADgAMgAsACAAMwAxADIAMQAuADEAMgAsACAAMwAxADIAMgAuADAAOAAsACAAMwAxADIAMwAuADIAMgAsACAAMwAxADIANQAuADIAOAAsACAAMwAxADIANgAuADUALAAgADMAMQAyADcALgA3ADMALAAgADMAMQAyADgALgA2ADEALAAgADMAMQAzADAALgAxADMALAAgADMAMQAzADEALgA0ADUALAAgADMAMQAzADIALgA4ACwAIAAzADEAMwA0ACwAIAAzADEAMwA1AC4AMgAxACwAIAAzADEAMwA2AC4ANAA4ACwAIAAzADEAMwA3AC4ANwAsACAAMwAxADMAOAAuADkAMgA7AFwAbgAgACAAIAAgADMAMQAwADEALgA0ADgALAAgADMAMQAwADIALgA3ADYALAAgADMAMQAwADMALgAxADgALAAgADMAMQAwADUALgA0ADcALAAgADMAMQAwADYALgAxADgALAAgADMAMQAwADcALgA3ADYALAAgADMAMQAwADkALgAwADcALAAgADMAMQAxADAALgAyADQALAAgADMAMQAxADIALgA1ADMALAAgADMAMQAxADMALgAxADIALAAgADMAMQAxADQALgA1ADEALAAgADMAMQAxADUALgA2ADgALAAgADMAMQAxADYALgA4ACwAIAAzADEAMQA3AC4AOQA1ACwAIAAzADEAMQA5AC4ANAA4ACwAIAAzADEAMgAwAC4ANgAzACwAIAAzADEAMgAyAC4AMwA1ACwAIAAzADEAMgAzAC4ANQA3ACwAIAAzADEAMgA0AC4AOQA2ACwAIAAzADEAMgA1AC4AOQA5ACwAIAAzADEAMgA3AC4ANAA3ACwAIAAzADEAMgA4AC4AOQAxACwAIAAzADEAMwAwAC4AMQAxACwAIAAzADEAMwAxAC4ANAA5ACwAIAAzADEAMwAyAC4ANQAyACwAIAAzADEAMwA0AC4AMAAzACwAIAAzADEAMwA1AC4AMQA2ACwAIAAzADEAMwA3AC4AOAAsACAAMwAxADMAOQAuADQAMQAsACAAMwAxADMAOQAuADEAMQA7AFwAbgAgACAAIAAgADMAMQAwADEALgA0ADcALAAgADMAMQAwADMALAAgADMAMQAwADUALgAwADkALAAgADMAMQAwADUALgA2ADIALAAgADMAMQAwADYALgAyADQALAAgADMAMQAwADcALgA1ADkALAAgADMAMQAwADgALgA3ADgALAAgADMAMQAxADAALgAyADUALAAgADMAMQAxADIALgA5ADIALAAgADMAMQAxADMALgAxACwAIAAzADEAMQA0AC4AMgA2ACwAIAAzADEAMQA1AC4ANQAyACwAIAAzADEAMQA2AC4ANgA3ACwAIAAzADEAMQA4AC4AMQA5ACwAIAAzADEAMQA5AC4ANQAzACwAIAAzADEAMgAwAC4AOQAzACwAIAAzADEAMgAyAC4AMgA3ACwAIAAzADEAMgAzAC4ANgA1ACwAIAAzADEAMgA1AC4AMgAxACwAIAAzADEAMgA2AC4ANAAzACwAIAAzADEAMgA4AC4AMgA1ACwAIAAzADEAMgA5AC4AMgA2ACwAIAAzADEAMwAwAC4AMgAyACwAIAAzADEAMwAxAC4ANQAsACAAMwAxADMAMgAuADkAMgAsACAAMwAxADMANAAuADEALAAgADMAMQAzADUALgA0ADUALAAgADMAMQAzADYALgA1ADkALAAgADMAMQAzADgALgAwADcALAAgADMAMQAzADkALgA0ADYAOwBcAG4AIAAgACAAIAAzADEAMAAwAC4AOQA3ACwAIAAzADEAMAAzAC4AMAA3ACwAIAAzADEAMAA0AC4AOQA4ACwAIAAzADEAMAA2AC4AMAAyACwAIAAzADEAMAA2AC4ANAAzACwAIAAzADEAMAA3AC4ANAAzACwAIAAzADEAMAA4AC4AOAAsACAAMwAxADAAOQAuADcANgAsACAAMwAxADEAMwAuADEANwAsACAAMwAxADEANAAuADIANQAsACAAMwAxADEANAAuADIANQAsACAAMwAxADEANgAuADAANAAsACAAMwAxADEANgAuADkAMQAsACAAMwAxADEAOAAuADcAMgAsACAAMwAxADEAOQAuADgAMQAsACAAMwAxADIAMAAuADkANQAsACAAMwAxADIAMgAuADAAOAAsACAAMwAxADIAMwAuADQAOAAsACAAMwAxADIANAAuADcANgAsACAAMwAxADIANgAuADIAOQAsACAAMwAxADIANwAuADMANwAsACAAMwAxADIAOAAuADgAMQAsACAAMwAxADMAMAAuADMAMQAsACAAMwAxADMAMQAuADcAOQAsACAAMwAxADMAMwAuADAANAAsACAAMwAxADMANAAuADQALAAgADMAMQAzADUALgA2ADgALAAgADMAMQAzADYALgA2ADUALAAgADMAMQAzADcALgA5ADQALAAgADMAMQAzADkALgA0ADgAOwBcAG4AIAAgACAAIAAzADEAMAAxAC4ANAA5ACwAIAAzADEAMAAyAC4AOAA0ACwAIAAzADEAMAA0AC4AOAA0ACwAIAAzADEAMAA2AC4AMQAsACAAMwAxADAANgAuADUAOAAsACAAMwAxADAAOAAuADMAOAAsACAAMwAxADEAMAAuADIANQAsACAAMwAxADEAMAAuADAAOQAsACAAMwAxADEAMQAuADcANQAsACAAMwAxADEAMwAuADAANwAsACAAMwAxADEAMwAuADkANwAsACAAMwAxADEANQAuADcANAAsACAAMwAxADEANwAuADAAMwAsACAAMwAxADEAOAAuADQAMQAsACAAMwAxADEAOQAuADgAMQAsACAAMwAxADIAMQAuADAAOQAsACAAMwAxADIAMgAuADMAMwAsACAAMwAxADIAMwAuADQAOAAsACAAMwAxADIANAAuADcANwAsACAAMwAxADIANgAuADIANwAsACAAMwAxADIANwAuADYALAAgADMAMQAyADgALgA4ADMALAAgADMAMQAzADAALgAyADMALAAgADMAMQAzADEALgA2ADcALAAgADMAMQAzADIALgA5ADcALAAgADMAMQAzADQALgAyADUALAAgADMAMQAzADUALgA0ADEALAAgADMAMQAzADcALgAwADMALAAgADMAMQAzADgALgAxADcALAAgADMAMQAzADkALgAzADEAOwBcAG4AIAAgACAAIAAzADEAMAAwAC4AOQAsACAAMwAxADAAMgAuADUAOAAsACAAMwAxADAANAAuADAAMwAsACAAMwAxADAANgAuADUAOQAsACAAMwAxADAANgAuADYALAAgADMAMQAwADcALgA3ADMALAAgADMAMQAxADAALgA0ADgALAAgADMAMQAxADAALgAzADYALAAgADMAMQAxADEALgA3ADcALAAgADMAMQAxADMALgAwADkALAAgADMAMQAxADUALgAwADIALAAgADMAMQAxADYALgAyADUALAAgADMAMQAxADcALgAwADkALAAgADMAMQAxADgALgAzADgALAAgADMAMQAxADkALgA5ADUALAAgADMAMQAyADEALgAwADYALAAgADMAMQAyADIALgA1ADQALAAgADMAMQAyADMALgA4ADEALAAgADMAMQAyADUALgAwADgALAAgADMAMQAyADYALgA1ADQALAAgADMAMQAyADcALgA3ADIALAAgADMAMQAyADkALgAxADYALAAgADMAMQAzADAALgA2ADcALAAgADMAMQAzADEALgA5ADEALAAgADMAMQAzADMALgAxADUALAAgADMAMQAzADQALgA1ADIALAAgADMAMQAzADUALgA4ADIALAAgADMAMQAzADcALgAzADIALAAgADMAMQAzADgALgA3ADMALAAgADMAMQAzADkALgA5ADsAXABuACAAIAAgACAAMwAxADAAMAAsACAAMwAxADAAMgAuADIANQAsACAAMwAxADAAMwAuADYANgAsACAAMwAxADAANQAuADkAOAAsACAAMwAxADAANgAuADUANQAsACAAMwAxADAANwAuADgAOAAsACAAMwAxADAAOQAuADcAOAAsACAAMwAxADEAMAAuADgAMwAsACAAMwAxADEAMgAsACAAMwAxADEAMwAuADIAMQAsACAAMwAxADEANAAuADUANAAsACAAMwAxADEANgAuADAAMgAsACAAMwAxADEANwAuADIALAAgADMAMQAxADgALgA2ADkALAAgADMAMQAyADAALgAwADMALAAgADMAMQAyADEALgA0ADYALAAgADMAMQAyADIALgA0ADQALAAgADMAMQAyADMALgA4ADYALAAgADMAMQAyADQALgA4ADkALAAgADMAMQAyADYALgAzADkALAAgADMAMQAyADgALgAxADMALAAgADMAMQAyADkALgA0ADcALAAgADMAMQAzADAALgA3ACwAIAAzADEAMwAyAC4AMAAxACwAIAAzADEAMwAzAC4AMgA5ACwAIAAzADEAMwA0AC4ANgAsACAAMwAxADMANQAuADgALAAgADMAMQAzADcALgA1ACwAIAAzADEAMwA5AC4AMgA2ACwAIAAzADEANAAwAC4AMQA1ADsAXABuACAAIAAgACAAMwAxADAAMAAuADMAOQAsACAAMwAxADAAMQAuADYAMwAsACAAMwAxADAAMwAuADUAMwAsACAAMwAxADAANQAuADkANwAsACAAMwAxADAANQAuADYANgAsACAAMwAxADAANwAuADgAOQAsACAAMwAxADAAOAAuADgAOAAsACAAMwAxADEAMAAuADMANAAsACAAMwAxADEAMQAuADgAMQAsACAAMwAxADEAMwAuADIANAAsACAAMwAxADEANAAuADQALAAgADMAMQAxADYALgAwADMALAAgADMAMQAxADcALgAzACwAIAAzADEAMQA4AC4ANgAsACAAMwAxADEAOQAuADYAMwAsACAAMwAxADIAMQAuADAAOQAsACAAMwAxADIAMgAuADMAOAAsACAAMwAxADIAMwAuADgAMgAsACAAMwAxADIANQAuADEANgAsACAAMwAxADIANgAuADcANAAsACAAMwAxADIANwAuADkALAAgADMAMQAyADkALgAyADIALAAgADMAMQAzADAALgA1ADUALAAgADMAMQAzADEALgA2ADMALAAgADMAMQAzADIALgA5ADEALAAgADMAMQAzADQALgAxADMALAAgADMAMQAzADUALgA3ADEALAAgADMAMQAzADYALgA4ADQALAAgADMAMQAzADgALgA0ADUALAAgADMAMQAzADkALgA4ADEAXABuAH0AOwBcAG4AXABuAC8ALwBHAGwAYQBjAGkAZQByACAATgBhAHQAaQBvAG4AYQBsACAAUABhAHIAawAsACAATQBvAG4AdABhAG4AYQAgACAAIAAgADQAOAAuADcANQA5ADYALAAtADEAMQAzAC4ANwA4ADcAIAAgAFwAbgBHAGwAYQBjAGkAZQByAE4AYQB0AGkAbwBuAGEAbABQAGEAcgBrAD0AXABuACAAIAAgAHsAMQA2ADUAMwAuADgAMgAsACAAMQA2ADUANAAuADEAOAAsACAAMQA2ADUANgAuADgAMgAsACAAMQA2ADUAOQAuADQAOAAsACAAMQA2ADYANwAuADEAMwAsACAAMQA2ADYANAAuADMAOAAsACAAMQA2ADYANwAuADEANAAsACAAMQA2ADcAMwAuADYALAAgADEANgA4ADAALgAyADYALAAgADEANgA5ADAALgA5ADIALAAgADEANgA4ADQALgA0ADQALAAgADEANgA4ADMALgA3ADkALAAgADEANgA4ADEALgAwADYALAAgADEANgA3ADUALgA0ADYALAAgADEANgA2ADIALgAxACwAIAAxADYANQA5AC4AMwAyACwAIAAxADYANgA5AC4ANAA4ACwAIAAxADYAOAA1AC4ANAA5ACwAIAAxADYAOQA1AC4AMgA1ACwAIAAxADcAMAA0AC4AOQA5ACwAIAAxADcAMQA1AC4AOAAyACwAIAAxADcAMgA0AC4ANAAzACwAIAAxADcAMwAwAC4AMAAxACwAIAAxADcAMwA1AC4ANgAxACwAIAAxADcANAAyAC4AMQAxACwAIAAxADcANAA2AC4AMgA5ACwAIAAxADcANQAyAC4ANAA2ACwAIAAxADcANQA5AC4AOQAzACwAIAAxADcANgA3AC4AOQA3ACwAIAAxADcANwA1AC4ANgA7AFwAbgAgACAAIAAgADEANgA3ADUALgAzADQALAAgADEANgA3ADYALgA3ACwAIAAxADYANwA4AC4AMgA2ACwAIAAxADYANwA4AC4ANQA2ACwAIAAxADYAOAAwAC4AMwA3ACwAIAAxADYAOAA2AC4ANAAsACAAMQA2ADgANgAuADEAOQAsACAAMQA2ADgANwAuADgAOQAsACAAMQA3ADAAMAAuADMALAAgADEANwAwADEALgA5ACwAIAAxADcAMAAxAC4AMwA5ACwAIAAxADYAOQA2AC4ANAA1ACwAIAAxADYAOQAxAC4ANwAyACwAIAAxADYAOAA4AC4AMAA5ACwAIAAxADYAOAA2AC4ANQA4ACwAIAAxADYANwAzAC4ANAA0ACwAIAAxADYANgA1AC4ANwAsACAAMQA2ADcANAAuADcAMQAsACAAMQA2ADgANQAuADYANwAsACAAMQA2ADkANwAuADUANAAsACAAMQA3ADAANQAuADgANwAsACAAMQA3ADEANAAuADIAMgAsACAAMQA3ADIAMgAuADAAOQAsACAAMQA3ADIAOQAuADIAMQAsACAAMQA3ADMANgAuADkALAAgADEANwA0ADAALgA5ADEALAAgADEANwA0ADUALgAxADQALAAgADEANwA1ADEALgAxADUALAAgADEANwA1ADkALgA2ACwAIAAxADcANgA3AC4ANwA4ADsAXABuACAAIAAgACAAMQA3ADAAMAAuADMAOQAsACAAMQA3ADAAMgAuADUANAAsACAAMQA3ADAANgAuADIANAAsACAAMQA3ADAANgAuADcANwAsACAAMQA3ADAAMgAuADIANAAsACAAMQA3ADAAMwAuADEAMwAsACAAMQA3ADAANgAuADUANwAsACAAMQA3ADAANgAsACAAMQA3ADEAMwAuADIAOQAsACAAMQA3ADEAOQAuADMAOAAsACAAMQA3ADEANAAuADEAMQAsACAAMQA3ADAAOQAuADIANgAsACAAMQA3ADAANQAuADAAMgAsACAAMQA3ADAAMAAuADEANQAsACAAMQA2ADkANgAuADEAMgAsACAAMQA2ADkAMQAuADAAOAAsACAAMQA2ADcAOQAuADEANwAsACAAMQA2ADYAOQAuADkAMQAsACAAMQA2ADcANAAuADgANAAsACAAMQA2ADgAMQAuADcAOQAsACAAMQA2ADkANwAuADIANQAsACAAMQA3ADAANwAuADIAOQAsACAAMQA3ADEAMwAuADMAOAAsACAAMQA3ADIAMQAuADgAMwAsACAAMQA3ADIAOQAuADIAMQAsACAAMQA3ADMANgAuADIAMgAsACAAMQA3ADMAOQAuADYALAAgADEANwA0ADIALgA2ADYALAAgADEANwA1ADEALgA2ADIALAAgADEANwA2ADAALgA3ADYAOwBcAG4AIAAgACAAIAAxADcAMgAwAC4AMwAyACwAIAAxADcAMgAxAC4ANQA0ACwAIAAxADcAMgAzAC4ANQA5ACwAIAAxADcAMgA4AC4AMAA1ACwAIAAxADcAMgA4AC4AOAAxACwAIAAxADcAMgA4AC4AMwA1ACwAIAAxADcAMgA5AC4ANAA0ACwAIAAxADcAMgA5AC4AOAA4ACwAIAAxADcAMgA4AC4ANQA5ACwAIAAxADcAMwA1AC4AMAA4ACwAIAAxADcAMgA1AC4AMQA1ACwAIAAxADcAMgA2AC4AMAA3ACwAIAAxADcAMgAwAC4AMwAsACAAMQA3ADEAMwAuADAAMgAsACAAMQA3ADAANgAuADUAMgAsACAAMQA3ADAAMQAuADkANAAsACAAMQA2ADkANwAuADIAMQAsACAAMQA2ADgANwAuADQANQAsACAAMQA2ADgAMQAuADkANgAsACAAMQA2ADcANwAuADYANgAsACAAMQA2ADgANQAsACAAMQA2ADkANAAuADYANAAsACAAMQA3ADAANQAuADQAOAAsACAAMQA3ADEANQAuADAAOQAsACAAMQA3ADIAMQAuADUANAAsACAAMQA3ADIANwAuADgANgAsACAAMQA3ADMANAAuADcAOAAsACAAMQA3ADMAOQAuADgAOQAsACAAMQA3ADQANgAuADYAOQAsACAAMQA3ADUANAAuADcANQA7AFwAbgAgACAAIAAgADEANwAzADcALgA1ADgALAAgADEANwAzADkALgA5ACwAIAAxADcANAAwAC4ANgA2ACwAIAAxADcANAA2AC4AOQA4ACwAIAAxADcANAA4AC4AMAA5ACwAIAAxADcANAA4AC4AMQA4ACwAIAAxADcANAA3AC4AMQA4ACwAIAAxADcANAA2AC4ANwAzACwAIAAxADcANAA3AC4AMgA3ACwAIAAxADcANAAyAC4ANgAyACwAIAAxADcANAAxAC4AMgA3ACwAIAAxADcANAAyAC4AMgA3ACwAIAAxADcAMwAzAC4ANQA5ACwAIAAxADcAMgA4AC4AMgAxACwAIAAxADcAMQA5AC4ANgAyACwAIAAxADcAMQA0AC4AMQAxACwAIAAxADcAMAA3AC4ANwA4ACwAIAAxADcAMAA0AC4AMQAxACwAIAAxADYAOQA5AC4AMwA1ACwAIAAxADYAOQAyAC4AOQA2ACwAIAAxADYAOAA3AC4AOQAsACAAMQA2ADgANwAuADIANQAsACAAMQA2ADkANwAuADkAOAAsACAAMQA3ADAANwAuADIAOQAsACAAMQA3ADEANQAuADcAMwAsACAAMQA3ADIAMAAuADYALAAgADEANwAyADgALgAyADkALAAgADEANwAzADUALgA2ADIALAAgADEANwA0ADMALgAwADgALAAgADEANwA0ADkALgA3ADcAOwBcAG4AIAAgACAAIAAxADcANAA4AC4AMgA4ACwAIAAxADcANQA1AC4AMgAzACwAIAAxADcANQA3AC4ANgA3ACwAIAAxADcANgAyAC4ANwAxACwAIAAxADcANgA2AC4AOAA2ACwAIAAxADcANgA4AC4AMwA4ACwAIAAxADcANgA4AC4ANAAxACwAIAAxADcANgA1AC4ANgAsACAAMQA3ADYAMwAuADMAOAAsACAAMQA3ADUANgAuADMALAAgADEANwA2ADAALgA0ADQALAAgADEANwA1ADMALgA2ACwAIAAxADcANQAxAC4ANAA4ACwAIAAxADcANAAzAC4AMQA3ACwAIAAxADcAMwA0AC4AMgA0ACwAIAAxADcAMgA2AC4AMgA3ACwAIAAxADcAMgAyAC4AMQA2ACwAIAAxADcAMQA2AC4AMAA0ACwAIAAxADcAMQAxAC4ANgAyACwAIAAxADcAMAA1AC4AOQA2ACwAIAAxADcAMAAxAC4ANgA4ACwAIAAxADYAOQA2AC4ANwAsACAAMQA2ADkAMAAuADAAOAAsACAAMQA2ADkAOQAuADkANwAsACAAMQA3ADEAMAAuADIANgAsACAAMQA3ADEANwAuADUANwAsACAAMQA3ADIANQAuADMALAAgADEANwAzADEALgA1ADQALAAgADEANwAzADUALgAwADUALAAgADEANwA0ADIALgA0ADYAOwBcAG4AIAAgACAAIAAxADcANQA2AC4AOAA2ACwAIAAxADcANgA0AC4ANwAzACwAIAAxADcANwAxAC4ANQA2ACwAIAAxADcANwA1AC4AOQAxACwAIAAxADcAOAAxAC4AMAA2ACwAIAAxADcAOAA1AC4ANQA2ACwAIAAxADcAOAA4AC4AOQAxACwAIAAxADcAOAA1AC4AMwA4ACwAIAAxADcANwA5AC4AOAA5ACwAIAAxADcANwA0AC4ANQA5ACwAIAAxADcANwA2AC4AOQA0ACwAIAAxADcANwAxAC4AOQA4ACwAIAAxADcANgA2AC4ANwA4ACwAIAAxADcANQA4AC4ANAA5ACwAIAAxADcANAA5AC4ANAA5ACwAIAAxADcANAAyAC4ANQA1ACwAIAAxADcAMwA2AC4ANQAzACwAIAAxADcAMgA5AC4AMAA4ACwAIAAxADcAMgAzAC4AMAA4ACwAIAAxADcAMQA1AC4ANgA1ACwAIAAxADcAMQAyAC4AOQA3ACwAIAAxADcAMAA4AC4ANwAzACwAIAAxADcAMAA0AC4AMgA0ACwAIAAxADcAMAAwAC4ANgAzACwAIAAxADcAMAAyAC4ANAA2ACwAIAAxADcAMQAyAC4ANQA0ACwAIAAxADcAMgAwAC4ANQAsACAAMQA3ADIANwAuADEAOQAsACAAMQA3ADMAMwAuADUAMQAsACAAMQA3ADMAOAAuADYAMQA7AFwAbgAgACAAIAAgADEANwA2ADcALgA0ADIALAAgADEANwA3ADQALgAwADgALAAgADEANwA3ADkALgA0ADIALAAgADEANwA4ADcALgAyADIALAAgADEANwA4ADkALgA5ADcALAAgADEANwA5ADUALgA3ADgALAAgADEAOAAwADAALgA1ADQALAAgADEAOAAwADMALgAyADEALAAgADEANwA5ADYALgA1ADcALAAgADEANwA5ADIALgA4ADMALAAgADEANwA4ADkALgAyADQALAAgADEANwA4ADgALgA0ADYALAAgADEANwA4ADMALgAyADcALAAgADEANwA3ADQALgAyADYALAAgADEANwA2ADYALgAzADMALAAgADEANwA1ADcALAAgADEANwA0ADkALgA3ADkALAAgADEANwA0ADMALgAxADMALAAgADEANwAzADMALgA0ADYALAAgADEANwAyADkALgA0ADIALAAgADEANwAyADQALgAyADEALAAgADEANwAxADgALgA2ADcALAAgADEANwAxADQALgA2ADYALAAgADEANwAxADEALgA4ADIALAAgADEANwAwADUALgA5ADgALAAgADEANwAwADUALgAzACwAIAAxADcAMQAxAC4ANgAsACAAMQA3ADIAMgAuADMANAAsACAAMQA3ADIAOQAuADYAOAAsACAAMQA3ADMANQAuADAAMwA7AFwAbgAgACAAIAAgADEANwA3ADcALgAyADIALAAgADEANwA4ADQALgA0ADkALAAgADEANwA5ADAALgAyADYALAAgADEANwA5ADYALgAzACwAIAAxADgAMAAwAC4ANQA0ACwAIAAxADgAMAA0AC4AMwA4ACwAIAAxADgAMAA5AC4ANwA0ACwAIAAxADgAMQAyAC4ANAA3ACwAIAAxADgAMQAzAC4AOQA1ACwAIAAxADgAMQAwAC4ANQAzACwAIAAxADgAMAA2AC4ANgAsACAAMQA4ADAANAAuADkALAAgADEANwA5ADgALgA3ACwAIAAxADcAOQAwAC4ANgAxACwAIAAxADcAOAAxAC4AMAAyACwAIAAxADcANwA0AC4ANQAzACwAIAAxADcANgAzAC4AOQAyACwAIAAxADcANQA0AC4ANgA1ACwAIAAxADcANQAwAC4ANAA4ACwAIAAxADcANAAyAC4AOQA0ACwAIAAxADcAMwA1AC4AMgA3ACwAIAAxADcAMwAwAC4ANwA5ACwAIAAxADcAMgA1AC4ANgA2ACwAIAAxADcAMgAyAC4AOQA1ACwAIAAxADcAMQA5AC4AMgA0ACwAIAAxADcAMQA1AC4ANwA3ACwAIAAxADcAMAA5AC4AOQA2ACwAIAAxADcAMQA1AC4AMwA5ACwAIAAxADcAMgA1AC4ANwAzACwAIAAxADcAMwAyAC4ANwA0ADsAXABuACAAIAAgACAAMQA3ADgANQAuADMAOAAsACAAMQA3ADkAMwAuADAAMwAsACAAMQA3ADkAOAAuADkAOAAsACAAMQA4ADAANQAuADQALAAgADEAOAAwADkALgAzADQALAAgADEAOAAxADMALgA4ADcALAAgADEAOAAxADYALgA3ADUALAAgADEAOAAyADIALgAzADIALAAgADEAOAAyADcALgAxADgALAAgADEAOAAyADUALgA5ADYALAAgADEAOAAyADQALgA0ADMALAAgADEAOAAxADkALgA4ACwAIAAxADgAMQAzAC4ANQA2ACwAIAAxADgAMAA0AC4AMAAzACwAIAAxADcAOQA5AC4ANAAsACAAMQA3ADgAOQAuADgAOAAsACAAMQA3ADgAMAAuADkAMgAsACAAMQA3ADcAMgAuADQANgAsACAAMQA3ADYANAAuADYALAAgADEANwA1ADcALgA5ACwAIAAxADcANQAwAC4AMwA4ACwAIAAxADcANAA0AC4AMQA2ACwAIAAxADcANAAwAC4AMAAyACwAIAAxADcAMwA0AC4AOQA3ACwAIAAxADcAMwAwAC4AMgA2ACwAIAAxADcAMgA3AC4ANQAsACAAMQA3ADIAMwAuADQAOQAsACAAMQA3ADEAOAAuADEALAAgADEANwAyADEALgA1ADIALAAgADEANwAzADEALgA1ADcAOwBcAG4AIAAgACAAIAAxADcAOQA1AC4AMgA5ACwAIAAxADgAMAAwAC4ANAAxACwAIAAxADgAMAA2AC4ANAA5ACwAIAAxADgAMQAyAC4AMAAyACwAIAAxADgAMQA2AC4ANQA3ACwAIAAxADgAMgAyAC4AOAAxACwAIAAxADgAMgA1AC4AMwA0ACwAIAAxADgAMwAxAC4ANgA3ACwAIAAxADgAMwA3AC4AMAA0ACwAIAAxADgANAAxAC4AOAA0ACwAIAAxADgANAA3AC4AMQAxACwAIAAxADgANAA3AC4AMAA2ACwAIAAxADgAMgA5AC4ANgAyACwAIAAxADgAMgAxAC4AMgAyACwAIAAxADgAMQA1AC4ANgAzACwAIAAxADgAMAA0AC4AMwA3ACwAIAAxADcAOQA0AC4AOAAxACwAIAAxADcAOAA3AC4AMQAzACwAIAAxADcAOAAxAC4ANAA3ACwAIAAxADcANwA0AC4ANAAzACwAIAAxADcANgA0AC4ANQA1ACwAIAAxADcANQA3AC4AOAA4ACwAIAAxADcANQAyAC4ANgA4ACwAIAAxADcANAA2AC4AOQA2ACwAIAAxADcANAAxAC4AOAA5ACwAIAAxADcAMwA2AC4ANAA3ACwAIAAxADcAMwA2AC4AMQA5ACwAIAAxADcAMgA4AC4ANAA5ACwAIAAxADcAMgA0AC4AMwAzACwAIAAxADcAMgAwAC4AMAA1ADsAXABuACAAIAAgACAAMQA4ADAAMAAuADkAMwAsACAAMQA4ADAAOAAuADIALAAgADEAOAAxADMALgA2ADMALAAgADEAOAAyADAALgAxADIALAAgADEAOAAyADUALgAzADkALAAgADEAOAAzADAALgA1ADgALAAgADEAOAAzADUALgAwADUALAAgADEAOAA0ADIALgA4ADUALAAgADEAOAA1ADEALgA0ADQALAAgADEAOAA1ADkALgAyADUALAAgADEAOAA2ADcALgAzADQALAAgADEAOAA2ADYALgA1ADkALAAgADEAOAA1ADkALgA0ADEALAAgADEAOAAzADkALgA3ADgALAAgADEAOAAyADYALgA0ADIALAAgADEAOAAxADgALgAxACwAIAAxADgAMQAxAC4AOAA5ACwAIAAxADgAMAA0AC4AMQA3ACwAIAAxADcAOQA5AC4AMAAyACwAIAAxADcAOAA2AC4ANgAsACAAMQA3ADgAMAAuADEANgAsACAAMQA3ADcAMgAuADEANwAsACAAMQA3ADYANQAuADkAOQAsACAAMQA3ADUAOAAuADYALAAgADEANwA1ADMALgA5ADkALAAgADEANwA1ADAALgA1ACwAIAAxADcANAA0AC4AMwAzACwAIAAxADcANAAxAC4ANQAyACwAIAAxADcAMwA1AC4AOQA4ACwAIAAxADcAMgA5AC4AMwAxADsAXABuACAAIAAgACAAMQA4ADAANgAuADIAMwAsACAAMQA4ADEANAAuADMAMQAsACAAMQA4ADIAMAAuADYAMQAsACAAMQA4ADIANwAuADEANgAsACAAMQA4ADMANAAuADIANgAsACAAMQA4ADQAMAAuADMAOQAsACAAMQA4ADQANgAuADkAMwAsACAAMQA4ADUANgAuADUAOQAsACAAMQA4ADYANAAuADUAOAAsACAAMQA4ADYAOQAuADgANwAsACAAMQA4ADcAMwAuADIANwAsACAAMQA4ADcANAAuADgAOAAsACAAMQA4ADcANgAuADAANgAsACAAMQA4ADcANAAuADYANwAsACAAMQA4ADQANwAuADAANQAsACAAMQA4ADMANgAuADcAMQAsACAAMQA4ADIAOQAuADUALAAgADEAOAAyADEALgAzADYALAAgADEAOAAwADkALgAxADYALAAgADEAOAAwADIALgAyADQALAAgADEANwA5ADYALAAgADEANwA4ADgALgA3ADQALAAgADEANwA4ADEALgA4ADMALAAgADEANwA3ADMALgAyADYALAAgADEANwA2ADUALgAxADkALAAgADEANwA2ADAALgA4ADIALAAgADEANwA1ADYALgAxADQALAAgADEANwA1ADEALgA0ADcALAAgADEANwA0ADgALgA5ADcALAAgADEANwA0ADIALgA3ADsAXABuACAAIAAgACAAMQA4ADEANQAuADAANAAsACAAMQA4ADIAMgAuADAAMQAsACAAMQA4ADIANgAuADYAOAAsACAAMQA4ADMAMgAuADkAMwAsACAAMQA4ADMAOQAuADcANwAsACAAMQA4ADQANQAuADkANAAsACAAMQA4ADUANAAuADMALAAgADEAOAA2ADEALgA1ADgALAAgADEAOAA2ADcALgA3ADMALAAgADEAOAA3ADMALgA2ADEALAAgADEAOAA3ADYALgA5ACwAIAAxADgANwA3AC4ANwA4ACwAIAAxADgAOAAwAC4AMQA5ACwAIAAxADgAOAAwAC4ANgAxACwAIAAxADgANwA2AC4AMAA5ACwAIAAxADgANwA4AC4AMAA5ACwAIAAxADgANAA5AC4ANAAzACwAIAAxADgAMwA3AC4AMQA4ACwAIAAxADgAMgA4AC4ANAA1ACwAIAAxADgAMgAwAC4ANQAxACwAIAAxADgAMQAyAC4ANgA0ACwAIAAxADgAMAA1AC4ANQAxACwAIAAxADcAOQA3AC4AOQA3ACwAIAAxADcAOAA3AC4AMAA1ACwAIAAxADcANwA4AC4AOAAzACwAIAAxADcANwAxAC4AOAAyACwAIAAxADcANgA4ACwAIAAxADcANgAzAC4ANwAyACwAIAAxADcANgAwAC4AMgAxACwAIAAxADcANQAzAC4ANAAxADsAXABuACAAIAAgACAAMQA4ADIANQAuADAAMQAsACAAMQA4ADMAMAAuADQANgAsACAAMQA4ADMANAAuADgAMQAsACAAMQA4ADMAOQAuADkANAAsACAAMQA4ADQANQAuADkALAAgADEAOAA1ADIALgA1ADkALAAgADEAOAA1ADgALgA3ADUALAAgADEAOAA2ADMALgA5ADEALAAgADEAOAA3ADAALgA5ACwAIAAxADgANwA3AC4AMAA1ACwAIAAxADgAOAAxAC4ANAAsACAAMQA4ADgAMQAuADgAOQAsACAAMQA4ADgAMwAuADcAMQAsACAAMQA4ADgAMwAuADMAOQAsACAAMQA4ADcAOAAuADEAMgAsACAAMQA4ADgAMAAsACAAMQA4ADcAOAAuADIANQAsACAAMQA4ADYAMgAuADcAMwAsACAAMQA4ADUAMQAuADAAMQAsACAAMQA4ADQAMAAuADcAMwAsACAAMQA4ADMAMAAuADIAMwAsACAAMQA4ADIAMQAuADQALAAgADEAOAAwADYALgAzADMALAAgADEAOAAwADAALgAzADUALAAgADEANwA5ADMALgA4ADIALAAgADEANwA4ADYALgAyADYALAAgADEANwA4ADEALgAyACwAIAAxADcANwA3AC4AMAA1ACwAIAAxADcANgA5AC4AOAAyACwAIAAxADcANgA0AC4ANgAzADsAXABuACAAIAAgACAAMQA4ADMAMAAuADkAMgAsACAAMQA4ADMANwAuADMAMwAsACAAMQA4ADQAMwAuADEAMgAsACAAMQA4ADQAOAAuADUAOQAsACAAMQA4ADUAMwAuADgAMwAsACAAMQA4ADUAOQAuADMAOAAsACAAMQA4ADYANAAuADgAOQAsACAAMQA4ADcAMgAuADAAMQAsACAAMQA4ADcANgAuADMALAAgADEAOAA3ADkALgAzADYALAAgADEAOAA4ADUALgAxADUALAAgADEAOAA4ADcALgA0ADcALAAgADEAOAA4ADYALgA1ACwAIAAxADgAOAA2AC4AMgAzACwAIAAxADgAOAAwAC4ANgAxACwAIAAxADgANwA5AC4AMwAxACwAIAAxADgAOAAwAC4ANgAyACwAIAAxADgAOAAwAC4AOAAsACAAMQA4ADcAOAAuADEAOAAsACAAMQA4ADcAMgAuADUANQAsACAAMQA4ADUAMgAuADQANQAsACAAMQA4ADMANAAuADEANAAsACAAMQA4ADIAMwAuADcAMwAsACAAMQA4ADEANgAuADkALAAgADEAOAAwADUALgA4ADQALAAgADEAOAAwADIALgA2ACwAIAAxADcAOQA2AC4AMgA1ACwAIAAxADcAOAA4AC4AOAA5ACwAIAAxADcAOAAyAC4AMQA1ACwAIAAxADcANgA3AC4AMQAyADsAXABuACAAIAAgACAAMQA4ADMANwAuADEAMQAsACAAMQA4ADQAMgAuADYAOQAsACAAMQA4ADQAOAAuADYAOAAsACAAMQA4ADUAMwAuADIANgAsACAAMQA4ADUAOAAuADMANgAsACAAMQA4ADYAMwAuADAAMgAsACAAMQA4ADcAMAAuADMANQAsACAAMQA4ADcANgAuADAANwAsACAAMQA4ADgAMAAuADkAOAAsACAAMQA4ADgANAAuADgAOAAsACAAMQA4ADgANwAuADQAMwAsACAAMQA4ADkAMQAuADcAOAAsACAAMQA4ADkAMAAuADAAMgAsACAAMQA4ADgAOQAuADEAOAAsACAAMQA4ADgAMwAuADkANwAsACAAMQA4ADgAMAAuADAANQAsACAAMQA4ADgAMQAsACAAMQA4ADgAMQAuADcAMgAsACAAMQA4ADcAOQAuADkAMgAsACAAMQA4ADcAOAAuADkAOQAsACAAMQA4ADUAOQAuADcANQAsACAAMQA4ADUAMQAuADgAMgAsACAAMQA4ADQAMQAuADYANgAsACAAMQA4ADMAMAAuADAANQAsACAAMQA4ADIAMgAuADUANgAsACAAMQA4ADEAOQAuADEAOQAsACAAMQA4ADEAMAAuADQAOQAsACAAMQA3ADkAOQAuADUAMgAsACAAMQA3ADgAMgAuADUAOQAsACAAMQA3ADgAMQAuADYAMgA7AFwAbgAgACAAIAAgADEAOAA0ADEALgA3ADMALAAgADEAOAA0ADUALgA4ADYALAAgADEAOAA1ADAALgAyADkALAAgADEAOAA1ADYALgAyADEALAAgADEAOAA2ADEALgA4ADIALAAgADEAOAA2ADYALgA0ADUALAAgADEAOAA2ADgALgA1ADUALAAgADEAOAA3ADMALgA4ADIALAAgADEAOAA3ADkALgA5ACwAIAAxADgAOAA1AC4ANwA3ACwAIAAxADgAOAA5AC4ANwAsACAAMQA4ADkANgAuADAAMwAsACAAMQA4ADkANQAuADcALAAgADEAOAA5ADMALgAxADMALAAgADEAOAA4ADcALgAyADYALAAgADEAOAA4ADIALgA1ACwAIAAxADgAOAAxAC4ANgA4ACwAIAAxADgAOAAyACwAIAAxADgAOAAxAC4AMwA0ACwAIAAxADgAOAAxAC4ANgA1ACwAIAAxADgAOAAyAC4AMAAzACwAIAAxADgANwA0AC4ANAA3ACwAIAAxADgANQA5AC4ANwA2ACwAIAAxADgANAA5AC4AMQA0ACwAIAAxADgANAAxAC4ANgAsACAAMQA4ADMAMgAuADEAMwAsACAAMQA4ADEAOAAuADQALAAgADEAOAAxADAALgAwADgALAAgADEANwA5ADkALgA5ADEALAAgADEAOAAwADAALgA1ADIAOwBcAG4AIAAgACAAIAAxADgANAAxAC4AMgAzACwAIAAxADgANAA3AC4ANAA2ACwAIAAxADgANQAyAC4ANwAxACwAIAAxADgANQA3AC4ANwAxACwAIAAxADgANgAyAC4AMgA3ACwAIAAxADgANgA2AC4AMgAxACwAIAAxADgANgA2AC4ANwA4ACwAIAAxADgANwAxAC4AOQAsACAAMQA4ADcAOAAuADkAOAAsACAAMQA4ADgANAAuADYAMwAsACAAMQA4ADgAOAAuADUAMgAsACAAMQA4ADkAMgAuADcANAAsACAAMQA4ADkANAAuADcANgAsACAAMQA4ADkANAAuADQAMgAsACAAMQA4ADkAMQAuADYAMwAsACAAMQA4ADgANQAuADUAOAAsACAAMQA4ADgANAAuADUALAAgADEAOAA4ADQALgAyADQALAAgADEAOAA4ADQALgA4ADUALAAgADEAOAA4ADcALgAxACwAIAAxADgAOAA4AC4ANQA5ACwAIAAxADgAOQAyAC4AMgA5ACwAIAAxADgAOAAxAC4AMAA2ACwAIAAxADgANgA4AC4AMAA5ACwAIAAxADgANQA2AC4ANQA0ACwAIAAxADgANAA2AC4ANQA3ACwAIAAxADgAMwAyAC4AOQAzACwAIAAxADgAMgA1AC4ANwA0ACwAIAAxADgAMQA2AC4AOQAxACwAIAAxADgAMQA3AC4AOQA1ADsAXABuACAAIAAgACAAMQA4ADQANAAuADMANwAsACAAMQA4ADQAOQAuADMAOQAsACAAMQA4ADUANAAuADMANwAsACAAMQA4ADUAOAAuADUANAAsACAAMQA4ADYAMgAuADgAMQAsACAAMQA4ADYANQAuADcANwAsACAAMQA4ADYANgAuADAAMwAsACAAMQA4ADYAOQAuADMANQAsACAAMQA4ADcANQAuADIAMgAsACAAMQA4ADgAMQAuADEAMwAsACAAMQA4ADgANgAuADYANgAsACAAMQA4ADkAMAAuADkALAAgADEAOAA5ADMALgAzADYALAAgADEAOAA5ADQALgA3ADEALAAgADEAOAA5ADMALgA1ADcALAAgADEAOAA4ADkALgAwADMALAAgADEAOAA4ADcALgA0ADIALAAgADEAOAA4ADkALgAxADMALAAgADEAOAA4ADYALgA4ADMALAAgADEAOAA4ADkALgAxACwAIAAxADgAOQAwAC4AMQAyACwAIAAxADgAOQA1AC4AMAA4ACwAIAAxADgAOQA4AC4AMgA5ACwAIAAxADgAOQA0AC4AMwAsACAAMQA4ADcANgAsACAAMQA4ADYANAAuADgAMgAsACAAMQA4ADUANQAuADIANwAsACAAMQA4ADMANwAuADYAOAAsACAAMQA4ADIAOAAuADcAMQAsACAAMQA4ADMAMAAuADkANQA7AFwAbgAgACAAIAAgADEAOAA0ADQALgA3ADgALAAgADEAOAA0ADkALgAxADgALAAgADEAOAA1ADEALgA2ADQALAAgADEAOAA1ADcALgA4ADIALAAgADEAOAA2ADEALgA5ACwAIAAxADgANgA1AC4AMQAxACwAIAAxADgANgA3AC4AMwA5ACwAIAAxADgANgA5AC4ANwA5ACwAIAAxADgANwA1AC4AMAAyACwAIAAxADgAOAAxAC4AMwA2ACwAIAAxADgAOAA2AC4AMwA4ACwAIAAxADgAOQAwAC4ANwA1ACwAIAAxADgAOQA0AC4AMAA5ACwAIAAxADgAOQA2AC4ANwAzACwAIAAxADgAOQA2AC4ANQAzACwAIAAxADgAOQAzAC4AMAAxACwAIAAxADgAOQAyAC4AMAA1ACwAIAAxADgAOQAyAC4AMgA2ACwAIAAxADgAOQAwAC4AMgA1ACwAIAAxADgAOQAyAC4AOAA1ACwAIAAxADgAOQAyAC4AOQA0ACwAIAAxADgAOQA2AC4ANQAzACwAIAAxADkAMAAwAC4ANQA3ACwAIAAxADkAMAAyAC4ANgAyACwAIAAxADkAMAAxAC4ANQAsACAAMQA4ADgANQAuADEAOQAsACAAMQA4ADcANAAuADgANwAsACAAMQA4ADYAMwAuADEAOAAsACAAMQA4ADQANAAuADYAMQAsACAAMQA4ADQANQAuADQAMQA7AFwAbgAgACAAIAAgADEAOAA0ADYALgAwADUALAAgADEAOAA1ADAALgAzADYALAAgADEAOAA1ADUALgAzADEALAAgADEAOAA1ADkALgA5ADEALAAgADEAOAA2ADMALgA4ADQALAAgADEAOAA2ADYALgA0ADkALAAgADEAOAA2ADgALgAxADMALAAgADEAOAA3ADAALgAwADcALAAgADEAOAA3ADYALgAyADIALAAgADEAOAA4ADIALgA2ACwAIAAxADgAOAA3AC4AOAA4ACwAIAAxADgAOQAyAC4AMgAzACwAIAAxADgAOQA2AC4ANgAyACwAIAAxADkAMAAwAC4AMAA2ACwAIAAxADkAMAAxAC4AMAAyACwAIAAxADgAOQA3AC4AOAAxACwAIAAxADgAOQA3AC4AMQA5ACwAIAAxADgAOQA2AC4AMAA5ACwAIAAxADgAOQA3AC4AMQA2ACwAIAAxADgAOQA0AC4ANgAzACwAIAAxADgAOQA2AC4ANQA5ACwAIAAxADgAOQA4AC4AOQAxACwAIAAxADkAMAAzAC4AMgA0ACwAIAAxADkAMAA2AC4AMwAsACAAMQA5ADAAOAAuADMAMwAsACAAMQA5ADAANQAuADEAMQAsACAAMQA4ADkAOQAuADAANwAsACAAMQA4ADgAOQAuADMAOQAsACAAMQA4ADcANQAuADEANgAsACAAMQA4ADYAMwAuADQAMwA7AFwAbgAgACAAIAAgADEAOAA0ADcALgA0ADkALAAgADEAOAA1ADIALgA0ADQALAAgADEAOAA1ADcALgAyADUALAAgADEAOAA2ADEALgA3ADcALAAgADEAOAA2ADYALgAxADUALAAgADEAOAA2ADkALgAxADkALAAgADEAOAA3ADAALgAxADYALAAgADEAOAA3ADIALgA0ADgALAAgADEAOAA3ADcALgA0ADQALAAgADEAOAA4ADQALgA0ADIALAAgADEAOAA4ADkALgAyADQALAAgADEAOAA5ADQALgAzADgALAAgADEAOAA5ADkALgAwADcALAAgADEAOQAwADMALAAgADEAOQAwADQALgA4ADQALAAgADEAOQAwADMALgA2ADEALAAgADEAOQAwADEALgAzADcALAAgADEAOQAwADIALgAyADIALAAgADEAOQAwADEALgAzADgALAAgADEAOAA5ADkALgA4ACwAIAAxADkAMAAwAC4ANwAsACAAMQA5ADAAMQAuADkAMQAsACAAMQA5ADAANQAuADQAMQAsACAAMQA5ADAAOAAuADMAMQAsACAAMQA5ADEAMQAuADIANgAsACAAMQA5ADEAMAAuADQAOQAsACAAMQA5ADAAOAAuADYANAAsACAAMQA5ADAAOAAuADMAMgAsACAAMQA5ADAAMAAsACAAMQA4ADkAMAAuADEAOQA7AFwAbgAgACAAIAAgADEAOAA0ADkALgA2ADIALAAgADEAOAA1ADQALgA0ADkALAAgADEAOAA2ADAALgAwADYALAAgADEAOAA2ADQALgA3ADkALAAgADEAOAA2ADkALgA2ADQALAAgADEAOAA3ADEALgA3ADkALAAgADEAOAA3ADMALgA4ADQALAAgADEAOAA3ADQALgA0ADgALAAgADEAOAA3ADgALgA0ADYALAAgADEAOAA4ADMALgAzACwAIAAxADgAOAA5AC4ANgA5ACwAIAAxADgAOQA1AC4AMQA1ACwAIAAxADkAMAAxAC4AMgAyACwAIAAxADkAMAA1AC4ANQA4ACwAIAAxADkAMAA4AC4ANwAxACwAIAAxADkAMAA5AC4AOQA3ACwAIAAxADkAMAA4AC4ANQA0ACwAIAAxADkAMAA1AC4AOAA1ACwAIAAxADkAMAA1AC4ANAA4ACwAIAAxADkAMAA1AC4AMAA2ACwAIAAxADkAMAA0AC4ANQAsACAAMQA5ADAANQAuADEAOQAsACAAMQA5ADAANwAuADkAMwAsACAAMQA5ADEAMQAuADEANQAsACAAMQA5ADEAMwAuADEAOQAsACAAMQA5ADEANAAuADUANgAsACAAMQA5ADEAMAAuADMAMwAsACAAMQA5ADEAMgAuADYAMwAsACAAMQA5ADEAMQAuADIAOQAsACAAMQA5ADAANwAuADYANAA7AFwAbgAgACAAIAAgADEAOAA1ADAALgA2ACwAIAAxADgANQA1AC4ANwAxACwAIAAxADgANgAxAC4ANAA3ACwAIAAxADgANgA3AC4ANgA4ACwAIAAxADgANwAyAC4AMgAsACAAMQA4ADcANQAuADgAMwAsACAAMQA4ADcAOAAuADEANAAsACAAMQA4ADcAOQAuADMANQAsACAAMQA4ADgAMQAuADAAOQAsACAAMQA4ADgANgAuADQAMwAsACAAMQA4ADkAMgAuADEANwAsACAAMQA4ADkANwAuADAAMQAsACAAMQA5ADAAMwAuADAANwAsACAAMQA5ADAANwAuADgALAAgADEAOQAxADEALgA4ADQALAAgADEAOQAxADUALgAzADEALAAgADEAOQAxADUALgA1ADQALAAgADEAOQAxADMALgAyACwAIAAxADkAMQAyAC4AMwA1ACwAIAAxADkAMQAxAC4ANQAyACwAIAAxADkAMAA5AC4AMgA4ACwAIAAxADkAMAA5AC4AOAA4ACwAIAAxADkAMQAwAC4ANAA5ACwAIAAxADkAMQA0AC4ANgA3ACwAIAAxADkAMQA2AC4ANgA4ACwAIAAxADkAMQA4AC4AMAA5ACwAIAAxADkAMQA2AC4ANwAzACwAIAAxADkAMQAzAC4ANwA5ACwAIAAxADkAMQA1AC4AMwAsACAAMQA5ADEANgAuADIAOAA7AFwAbgAgACAAIAAgADEAOAA1ADEALgA0ACwAIAAxADgANQA3AC4AMQA5ACwAIAAxADgANgAyAC4AMQA0ACwAIAAxADgANgA3AC4ANwAxACwAIAAxADgANwA0AC4AMQAsACAAMQA4ADcAOQAuADYAOQAsACAAMQA4ADgAMwAuADEAMwAsACAAMQA4ADgAMwAuADgANwAsACAAMQA4ADgANAAuADYAOAAsACAAMQA4ADkAMAAuADAANQAsACAAMQA4ADkANQAuADIAOAAsACAAMQA5ADAAMAAuADgANwAsACAAMQA5ADAANQAuADcANgAsACAAMQA5ADAAOQAuADYAMQAsACAAMQA5ADEAMwAuADYAMgAsACAAMQA5ADEANwAuADkANAAsACAAMQA5ADIAMAAuADgAMwAsACAAMQA5ADIAMAAuADMANAAsACAAMQA5ADEAOAAuADMALAAgADEAOQAxADkALgAxACwAIAAxADkAMQA1AC4ANAAzACwAIAAxADkAMQA0AC4ANAA0ACwAIAAxADkAMQA0AC4AMgAyACwAIAAxADkAMQA2AC4AMwAxACwAIAAxADkAMQA5AC4AMQAxACwAIAAxADkAMgAwAC4ANgAxACwAIAAxADkAMQA5AC4AOQAsACAAMQA5ADEANgAuADcAMQAsACAAMQA5ADEANwAuADAANwAsACAAMQA5ADEANgAuADYANAA7AFwAbgAgACAAIAAgADEAOAA1ADEALgA1ADIALAAgADEAOAA1ADYALgA2ACwAIAAxADgANgAyAC4AMAA3ACwAIAAxADgANgA2AC4ANQA4ACwAIAAxADgANwAzAC4AMQAzACwAIAAxADgANwA5AC4ANQAxACwAIAAxADgAOAA1AC4ANAAsACAAMQA4ADgAOAAuADcAOAAsACAAMQA4ADgAOQAuADUAOAAsACAAMQA4ADkAMQAuADgANQAsACAAMQA4ADkAOAAuADMANAAsACAAMQA5ADAAMwAuADgAMQAsACAAMQA5ADAAOAAuADkAOQAsACAAMQA5ADEAMwAuADUANgAsACAAMQA5ADEANQAuADkAOQAsACAAMQA5ADIAMAAuADMANgAsACAAMQA5ADIANAAuADYANgAsACAAMQA5ADIANwAuADEANQAsACAAMQA5ADIANgAuADYANAAsACAAMQA5ADIANAAuADgAOQAsACAAMQA5ADIAMgAuADEAMgAsACAAMQA5ADIAMAAuADgAMgAsACAAMQA5ADEAOQAuADgAOQAsACAAMQA5ADIAMAAuADEAOQAsACAAMQA5ADIAMQAuADgAMwAsACAAMQA5ADIANAAuADMAOQAsACAAMQA5ADIAMwAuADAANAAsACAAMQA5ADIAMgAuADYAMgAsACAAMQA5ADIAMAAuADAANgAsACAAMQA5ADIAMAAuADgAMgA7AFwAbgAgACAAIAAgADEAOAA1ADQALgAxADYALAAgADEAOAA1ADgALgAxADMALAAgADEAOAA2ADMALgAyADcALAAgADEAOAA2ADgALgAxADQALAAgADEAOAA3ADIALgA5ADIALAAgADEAOAA3ADgALgA1ADcALAAgADEAOAA4ADUALgA3ADgALAAgADEAOAA5ADEALgA3ADIALAAgADEAOAA5ADUALgA1ADIALAAgADEAOAA5ADUALgA1ADIALAAgADEAOQAwADEALgA2ADcALAAgADEAOQAwADYALgA2ADIALAAgADEAOQAxADIALgA3ADEALAAgADEAOQAxADYALgAwADgALAAgADEAOQAxADkALgAzADMALAAgADEAOQAyADEALgA2ADIALAAgADEAOQAyADUALgA3ADgALAAgADEAOQAzADAALAAgADEAOQAzADIALgA5ACwAIAAxADkAMwA2AC4AMQA4ACwAIAAxADkAMwAxAC4AMQA3ACwAIAAxADkAMgA5AC4AMgA5ACwAIAAxADkAMgA2AC4AOAAxACwAIAAxADkAMgA1AC4AMgAsACAAMQA5ADIANQAuADIAOQAsACAAMQA5ADIANwAuADcAMwAsACAAMQA5ADIAOAAuADgANQAsACAAMQA5ADIANgAuADQALAAgADEAOQAyADQALgA5ADcALAAgADEAOQAyADYALgAxADEAOwBcAG4AIAAgACAAIAAxADgANQA2AC4AMAA3ACwAIAAxADgANgAwAC4AMgA2ACwAIAAxADgANgA0AC4AOAAxACwAIAAxADgANgA5AC4AMAA4ACwAIAAxADgANwA0AC4AMQA2ACwAIAAxADgANwA5AC4AMAA4ACwAIAAxADgAOAA2AC4AMQAsACAAMQA4ADkAMgAuADIAMwAsACAAMQA4ADkAOAAuADIAMgAsACAAMQA5ADAAMgAuADYANwAsACAAMQA5ADAANAAuADkANAAsACAAMQA5ADAAOQAuADgAMwAsACAAMQA5ADEAMwAuADQAMwAsACAAMQA5ADEANgAuADcAMwAsACAAMQA5ADEAOAAuADkANAAsACAAMQA5ADIAMQAuADAAMgAsACAAMQA5ADIANAAuADUAOAAsACAAMQA5ADIAOAAuADkANwAsACAAMQA5ADMAMwAuADMAOQAsACAAMQA5ADMANgAuADgANgAsACAAMQA5ADQAMQAuADQANwAsACAAMQA5ADMAOQAuADAAOQAsACAAMQA5ADMANwAuADAAMQAsACAAMQA5ADMAMwAuADEANQAsACAAMQA5ADMAMQAuADAANwAsACAAMQA5ADMAMAAuADgAMgAsACAAMQA5ADMAMwAuADgAOQAsACAAMQA5ADMAMQAuADcAOQAsACAAMQA5ADMAMgAuADEANAAsACAAMQA5ADMAMQAuADEAMwA7AFwAbgAgACAAIAAgADEAOAA1ADgALgA4ADQALAAgADEAOAA2ADIALgA5ADQALAAgADEAOAA2ADcALgA4ADkALAAgADEAOAA3ADEALgAzADMALAAgADEAOAA3ADYALgAxADQALAAgADEAOAA4ADAALgA2ADMALAAgADEAOAA4ADUALgAzADMALAAgADEAOAA5ADAALgAzADgALAAgADEAOAA5ADcALgAyADUALAAgADEAOQAwADQALgAzACwAIAAxADkAMAA1AC4AOAA5ACwAIAAxADkAMAA3AC4AOAAxACwAIAAxADkAMQAxAC4AMwA4ACwAIAAxADkAMQA1AC4AMQA4ACwAIAAxADkAMQA4AC4ANgA5ACwAIAAxADkAMgAyAC4ANQA1ACwAIAAxADkAMgA2AC4AMwA3ACwAIAAxADkAMwAxAC4AMwA0ACwAIAAxADkAMwA1AC4ANwAxACwAIAAxADkANAAwAC4ANAAyACwAIAAxADkANAAyAC4AOQAxACwAIAAxADkANAA2AC4ANAA0ACwAIAAxADkANAA4AC4AMwA0ACwAIAAxADkANAAzAC4ANQA5ACwAIAAxADkAMwA5AC4ANAAzACwAIAAxADkAMwA2AC4AMQAzACwAIAAxADkAMwA3AC4ANwAyACwAIAAxADkAMwA4AC4AMgAzACwAIAAxADkAMwA1AC4ANAA4ACwAIAAxADkAMwA2AC4AMgA5AFwAbgB9ADsAXABuAFwAbgAvAC8AUwBhAG4AdABhACAATQBvAG4AaQBjAGEALAAgAEMAQQAgADMANAAuADAAMgA0ADIAMQAyACwALQAxADEAOAAuADQAOQA2ADQANwA1AFwAbgBTAGEAbgB0AGEATQBvAG4AaQBjAGEAPQBcAG4AIAAgACAAIAB7ADQAMwAuADcANQAsACAANAAzAC4AOAAsACAANAAzAC4AOAAyACwAIAA0ADMALgA2ACwAIAA0ADMALgA3ADEALAAgADQANAAuADIANgAsACAANAA0AC4ANwAxACwAIAA0ADQALgAyADIALAAgADQAMwAuADYANgAsACAANAAzAC4AMAAxACwAIAA0ADIALgA5ADcALAAgADQAMgAuADgAOAAsACAANAAyAC4AMwAxACwAIAA0ADIALgAxADQALAAgADQAMQAuADkAOAAsACAANAAxAC4ANwA0ACwAIAA0ADEALgA1ADEALAAgADQAMQAuADcAMgAsACAANAAxAC4AOAAyACwAIAA0ADIALgAzADkALAAgADQAMQAuADgALAAgADQAMQAuADEAMgAsACAANAAxAC4AMwA2ACwAIAA0ADAALgA5ADkALAAgADQAMQAuADQAMwAsACAANAAwAC4AMgA3ACwAIAA0ADEALgA0ADQALAAgADQAMAAuADgANgAsACAANAAxAC4AOQA3ACwAIAA0ADEAOwBcAG4AIAAgACAAIAA0ADQALgAxADYALAAgADQANAAuADQALAAgADQANAAuADEANQAsACAANAA0AC4AMgAsACAANAA0AC4AMQA2ACwAIAA0ADQALgA0ADQALAAgADQANAAuADcAOAAsACAANAA1AC4AMAA0ACwAIAA0ADQALgA5ADIALAAgADQAMwAuADgAMwAsACAANAAzAC4AOAA1ACwAIAA0ADMALgA2ADIALAAgADQAMwAuADEANgAsACAANAAyAC4ANwA4ACwAIAA0ADIALgAzADYALAAgADQAMgAuADAAOQAsACAANAAyAC4AMAA5ACwAIAA0ADIALgAxADEALAAgADQAMgAuADIANQAsACAANAAyAC4AMgAyACwAIAA0ADEALgA3ADgALAAgADQAMQAuADgANwAsACAANAAyAC4AMQA1ACwAIAA0ADIALgAwADIALAAgADQAMQAuADgANAAsACAANAAyAC4AMwA0ACwAIAA0ADEALgA2ACwAIAA0ADEALgAwADIALAAgADQAMQAuADcAOAAsACAANAAxAC4AMwA4ADsAXABuACAAIAAgACAANAA0AC4ANwA5ACwAIAA0ADUALgAyADgALAAgADQANAAuADkAMQAsACAANAA1AC4AMgA5ACwAIAA0ADYALgAwADgALAAgADQANAAuADkALAAgADQANQAuADAAOAAsACAANAA1AC4AMwAzACwAIAA0ADQALgA2ADQALAAgADQANAAuADkAOAAsACAANAA0AC4ANAA3ACwAIAA0ADQALAAgADQAMwAuADYANAAsACAANAAzAC4AMwA4ACwAIAA0ADIALgA5ADcALAAgADQAMgAuADcAMwAsACAANAAyAC4ANgA0ACwAIAA0ADIALgA5ADYALAAgADQAMgAuADgAOQAsACAANAAyAC4AMwA4ACwAIAA0ADIALgAyADYALAAgADQAMgAuADUAMgAsACAANAAyAC4AMwAzACwAIAA0ADEALgA5ADcALAAgADQAMwAuADUALAAgADQAMgAuADIANwAsACAANAAyAC4ANwA2ACwAIAA0ADIALgA1ADEALAAgADQAMgAuADEAOQAsACAANAAyAC4AMQA0ADsAXABuACAAIAAgACAANAA1AC4AOAA0ACwAIAA0ADUALgA0ADIALAAgADQANQAuADQALAAgADQANAAuADEAMQAsACAANAA2AC4AMAA5ACwAIAA0ADYALgA0ADYALAAgADQANQAuADUAMgAsACAANAA1AC4ANAAzACwAIAA0ADUALgA3ADIALAAgADQANAAsACAANAA0AC4AOAA0ACwAIAA0ADQALgAyADQALAAgADQANAAuADIAMgAsACAANAAzAC4AOAAyACwAIAA0ADMALgA5ADMALAAgADQAMwAuADUANQAsACAANAAzAC4AMQAxACwAIAA0ADMALgAxADcALAAgADQAMwAuADAAMwAsACAANAAzAC4AMgAsACAANAAzAC4AMwA1ACwAIAA0ADIALgA3ADgALAAgADQAMwAuADUANQAsACAANAAzAC4AMQAxACwAIAA0ADIALgA4ADUALAAgADQANAAuADAAOQAsACAANAAyAC4AOAAxACwAIAA0ADMALgAxADgALAAgADQAMgAuADkAMQAsACAANAAyAC4ANQA0ADsAXABuACAAIAAgACAANAA2AC4AMQAzACwAIAA0ADUALgA5ADkALAAgADQANgAuADUANwAsACAANAA2AC4ANQAzACwAIAA0ADYALgA3ADQALAAgADQANgAuADQANAAsACAANAA1AC4AOAA4ACwAIAA0ADUALgA3ADIALAAgADQANQAuADgALAAgADQANQAuADkAMQAsACAANAA1AC4AOAAyACwAIAA0ADUALgAxADMALAAgADQANAAuADcALAAgADQANAAuADgANAAsACAANAA0AC4AOAA0ACwAIAA0ADQALgAyADUALAAgADQAMgAuADEANAAsACAANAAzAC4ANQA1ACwAIAA0ADMALgA0ADgALAAgADQAMwAuADkANAAsACAANAAzAC4ANAA5ACwAIAA0ADQALgAwADcALAAgADQAMwAuADgALAAgADQAMwAuADQANQAsACAANAAzAC4AMgA3ACwAIAA0ADQALgAzADkALAAgADQANAAuADEAOQAsACAANAAzAC4AMwAsACAANAAzAC4AMgAzACwAIAA0ADMALgAxADMAOwBcAG4AIAAgACAAIAA0ADYALgA1ADUALAAgADQANwAuADAANwAsACAANAA3AC4AMAA2ACwAIAA0ADYALgA5ADYALAAgADQANwAuADEALAAgADQANgAuADUALAAgADQANgAuADQAMgAsACAANAA2AC4ANwA0ACwAIAA0ADUALgA5ADcALAAgADQANgAuADEAMgAsACAANAA1AC4ANAA5ACwAIAA0ADUALgA0ADUALAAgADQANQAuADgANwAsACAANAA1AC4ANgA1ACwAIAA0ADUALgA2ADkALAAgADQANAAuADcAMwAsACAANAA0AC4AMgA1ACwAIAA0ADQALgAxADkALAAgADQANAAuADAAMgAsACAANAA0AC4AMQAyACwAIAA0ADQALgAyADUALAAgADQANAAuADgAMwAsACAANAA0AC4AMQAxACwAIAA0ADMALgA5ADcALAAgADQAMwAuADkANQAsACAANAA0AC4AOAAsACAANAA0AC4ANQAxACwAIAA0ADMALgA5ADYALAAgADQAMwAuADYANgAsACAANAAzAC4AOAAxADsAXABuACAAIAAgACAANAA3AC4AMgA3ACwAIAA0ADcALgA5ADkALAAgADQANwAuADYANwAsACAANAA3AC4ANQAzACwAIAA0ADcALgAxADUALAAgADQANwAuADQANQAsACAANAA3AC4ANQAyACwAIAA0ADcALgAzADgALAAgADQANwAuADMAOAAsACAANAA2AC4ANAA5ACwAIAA0ADYALgAyADYALAAgADQANgAuADcANgAsACAANAA2AC4AMwA2ACwAIAA0ADYALgAzACwAIAA0ADYALgAzADUALAAgADQANQAuADAANwAsACAANAA0AC4AOQA4ACwAIAA0ADQALgA5ADIALAAgADQANAAuADgANAAsACAANAA0AC4ANgA2ACwAIAA0ADQALgA3ADcALAAgADQANAAuADgANQAsACAANAA1AC4ANAA2ACwAIAA0ADUALgA1ADUALAAgADQANQAuADUANgAsACAANAA1AC4ANQA1ACwAIAA0ADQALgA5ADUALAAgADQANAAuADYAOQAsACAANAA0AC4ANgA1ACwAIAA0ADQALgAzADIAOwBcAG4AIAAgACAAIAA0ADcALgA5ACwAIAA0ADcALgA4ADcALAAgADQAOAAuADMANQAsACAANAA3AC4ANwAzACwAIAA0ADYALgA4ADgALAAgADQANwAuADQAOAAsACAANAA4AC4AMQA0ACwAIAA0ADcALgA5ADUALAAgADQANwAuADQANAAsACAANAA2AC4ANwA4ACwAIAA0ADYALgA3ACwAIAA0ADYALgA3ADMALAAgADQANwAuADIANgAsACAANAA2AC4ANwA4ACwAIAA0ADYALgAyADMALAAgADQANQAuADQALAAgADQANQAuADUAMQAsACAANAA1AC4ANAA0ACwAIAA0ADUALgAxADkALAAgADQANQAuADMAOQAsACAANAA1AC4AMwA4ACwAIAA0ADUALgA0ADUALAAgADQANgAuADEANwAsACAANAA2AC4ANQA2ACwAIAA0ADYALgAzADQALAAgADQANQAuADkAMwAsACAANAA1AC4ANQA2ACwAIAA0ADUALgA0ADMALAAgADQANQAuADQANAAsACAANAA1AC4ANgA0ADsAXABuACAAIAAgACAANAA5AC4ANQA3ACwAIAA0ADgALgA1ADEALAAgADQAOAAuADMANwAsACAANAA4AC4ANwAxACwAIAA0ADgALgAzADkALAAgADQAOAAuADcANwAsACAANAA4AC4ANgAsACAANAA4AC4AMwAxACwAIAA0ADcALgA2ADEALAAgADQANwAuADAAOAAsACAANAA4AC4AMQA0ACwAIAA0ADcALgAxADMALAAgADQANwAuADAAOQAsACAANAA2AC4AOQA4ACwAIAA0ADYALgA3ADQALAAgADQANwAuADEAMgAsACAANAA2AC4AMwAsACAANAA2AC4AMAAyACwAIAA0ADUALgA5ADUALAAgADQANQAuADcALAAgADQANgAuADAANAAsACAANAA2AC4AMgAyACwAIAA0ADYALgA1ADcALAAgADQANwAuADEANgAsACAANAA2AC4AOQAxACwAIAA0ADYALgAzADYALAAgADQANgAuADQANQAsACAANAA2AC4AMAA5ACwAIAA0ADYALgAxADEALAAgADQANQAuADkAOAA7AFwAbgAgACAAIAAgADUAMAAuADEANwAsACAANAA4AC4AOAAzACwAIAA0ADkALgAyADUALAAgADQAOQAuADAAMwAsACAANAA5AC4AMgA2ACwAIAA0ADkALgA4ADYALAAgADQAOQAuADIANwAsACAANAA4AC4ANAAzACwAIAA0ADgALgA5ADEALAAgADQAOAAuADQAMwAsACAANAA4AC4ANQA5ACwAIAA0ADgALgA0ACwAIAA0ADcALgA0ADIALAAgADQANwAuADQANwAsACAANAA2AC4ANwAyACwAIAA0ADcALgAyADMALAAgADQANgAuADkANAAsACAANAA2AC4ANAA5ACwAIAA0ADYALgAxADYALAAgADQANgAuADUANwAsACAANAA2AC4ANgAyACwAIAA0ADcALgAxADMALAAgADQANwAuADIAOQAsACAANAA3AC4AMwA5ACwAIAA0ADcALgAyACwAIAA0ADYALgA5ADcALAAgADQANgAuADcAOAAsACAANAA2AC4AOAA0ACwAIAA0ADYALgA3ADkALAAgADQANgAuADMANgA7AFwAbgAgACAAIAAgADQAOQAuADQAMQAsACAANQAwAC4AMgA3ACwAIAA1ADAALgAyADcALAAgADQAOQAuADUALAAgADQAOQAuADYAMgAsACAANQAwAC4AMQAxACwAIAA0ADkALgAyADkALAAgADQAOQAuADAANwAsACAANQAwAC4AMAA1ACwAIAA0ADkALgAzADcALAAgADQAOQAuADIAOQAsACAANAA4AC4AMgA4ACwAIAA0ADcALgA5ADMALAAgADQANwAuADcANgAsACAANAA3AC4ANQAsACAANAA3AC4ANQA1ACwAIAA0ADcALgAxADIALAAgADQANgAuADcAMwAsACAANAA3AC4AMAAyACwAIAA0ADcALgA0ADYALAAgADQANwAuADYANQAsACAANAA3AC4AOQAxACwAIAA0ADcALgA5ADEALAAgADQANwAuADgANAAsACAANAA3AC4ANwA3ACwAIAA0ADcALgA2ADgALAAgADQANwAuADQAMQAsACAANAA3AC4AMwAsACAANAA3AC4AMAA0ACwAIAA0ADcALgA2ADUAOwBcAG4AIAAgACAAIAA1ADAALgA4ADkALAAgADUAMQAuADMAOAAsACAANQAwAC4ANgA4ACwAIAA1ADAALgA5ADUALAAgADUAMAAuADMAMwAsACAANQAwAC4AMAA5ACwAIAA1ADAALgA2ADIALAAgADQAOQAuADcAOQAsACAANQAwAC4AMgA1ACwAIAA0ADkALgA5ADMALAAgADQAOQAuADEAMgAsACAANAA4AC4ANwA4ACwAIAA0ADkALgAxADQALAAgADQAOAAuADkANgAsACAANAA3AC4AOQAxACwAIAA0ADcALgA3ADIALAAgADQANwAuADMANwAsACAANAA3AC4AMQA3ACwAIAA0ADcALgA4ADcALAAgADQANwAuADkALAAgADQAOAAuADEANQAsACAANAA4AC4AMwAxACwAIAA0ADgALgAxADMALAAgADQAOAAuADMALAAgADQAOAAuADIAMgAsACAANAA4AC4AMAA3ACwAIAA0ADgALgAxACwAIAA0ADcALgA3ADEALAAgADQANwAuADkANgAsACAANAA4AC4AMwA1ADsAXABuACAAIAAgACAANQAwAC4AMwA4ACwAIAA1ADEALgA0ADMALAAgADUAMQAuADUALAAgADUAMQAuADIAMQAsACAANQAwAC4ANgAxACwAIAA1ADAALgA4ADcALAAgADUAMAAuADUAMgAsACAANQAwAC4AOAAzACwAIAA1ADEALgAyADMALAAgADUAMAAsACAANAA5AC4ANgA0ACwAIAA1ADAALgAwADgALAAgADUAMAAuADEANQAsACAANAA4AC4AOQAxACwAIAA0ADkALgAxADkALAAgADQANwAuADkANwAsACAANAA3AC4AOQA1ACwAIAA0ADYALgA2ADQALAAgADQAOAAuADEANgAsACAANAA4AC4ANgAxACwAIAA0ADgALgA1ADgALAAgADQAOAAuADQANgAsACAANAA5AC4AMQA0ACwAIAA0ADgALgA3ADYALAAgADQAOAAuADYAMQAsACAANAA4AC4ANAAyACwAIAA0ADgALgA0ACwAIAA0ADgALgAyADQALAAgADQAOAAuADcANQAsACAANAA4AC4ANgA3ADsAXABuACAAIAAgACAANQAxAC4AOQAxACwAIAA1ADIALgAyADQALAAgADUAMgAuADEANwAsACAANQAxAC4AMgA3ACwAIAA1ADEALgA1ADIALAAgADUAMQAuADQANAAsACAANQAxACwAIAA1ADAALgA5ADQALAAgADUAMAAuADkANgAsACAANQAwAC4ANAAyACwAIAA1ADAALgA4ADUALAAgADUAMAAuADUAMwAsACAANAA5AC4AMgAyACwAIAA1ADEALgAxADMALAAgADQAOAAuADcANgAsACAANAA5AC4AMwAyACwAIAA0ADgALgA1ADEALAAgADQAOAAuADMANQAsACAANAA4AC4AOQA2ACwAIAA0ADkALgA2ACwAIAA0ADgALgA3ADMALAAgADQAOQAuADgAMQAsACAANAA5AC4ANAA3ACwAIAA0ADkALgAxADYALAAgADQAOQAsACAANAA4AC4AOAA3ACwAIAA0ADgALgA3ACwAIAA0ADgALgA2ADgALAAgADQAOAAuADUANwAsACAANAA4AC4ANwA4ADsAXABuACAAIAAgACAANQAzAC4AMAAyACwAIAA1ADIALgA4ACwAIAA1ADIALAAgADUAMQAuADgALAAgADUAMQAuADkAOAAsACAANQAxAC4AOQA1ACwAIAA1ADIALgA1ADMALAAgADUAMQAuADgAMwAsACAANQAxAC4AMQAzACwAIAA1ADEALgA3ADEALAAgADUAMQAuADQANAAsACAANAA5AC4ANwAsACAANQAwAC4AMwAxACwAIAA0ADkALgA4ADIALAAgADQAOQAuADgAOAAsACAANAA5AC4AOAA2ACwAIAA0ADkALgA0ADYALAAgADQAOAAuADgANgAsACAANAA5AC4AMQAzACwAIAA0ADkALgAwADEALAAgADUAMAAuADEANQAsACAANQAwAC4AMQA1ACwAIAA1ADAALgAxADMALAAgADUAMAAuADEALAAgADQAOQAuADQAOAAsACAANAA5AC4ANAAsACAANAA5AC4ANwA5ACwAIAA0ADkALgAxADYALAAgADQAOQAuADEAOAAsACAANAA4AC4ANQA5ADsAXABuACAAIAAgACAANQAzAC4AMgAyACwAIAA1ADIALgA2ADUALAAgADUAMgAuADcANQAsACAANQAyAC4AMQAyACwAIAA1ADIALgA1ACwAIAA1ADIALgA4ADIALAAgADUAMgAuADUAOQAsACAANQAxAC4ANwA4ACwAIAA1ADEALgA3ADkALAAgADUAMQAuADUALAAgADUAMQAuADkAMwAsACAANQAxAC4ANgAyACwAIAA1ADAALgA1ADMALAAgADUAMAAuADcANQAsACAANQAwAC4AMgA3ACwAIAA1ADAALgAwADcALAAgADQAOQAuADEANwAsACAANAA5AC4AOAAzACwAIAA0ADkALgAzADQALAAgADQAOQAuADUAMgAsACAANQAxAC4AMQA1ACwAIAA1ADEALgAwADUALAAgADUAMAAuADkANQAsACAANQAwAC4AMQA5ACwAIAA1ADAALgAwADgALAAgADUAMAAuADEANwAsACAANQAwAC4AMgA5ACwAIAA1ADAALgAwADIALAAgADQAOQAuADQANwAsACAANAA5AC4ANQAzADsAXABuACAAIAAgACAANQAzAC4AMwA2ACwAIAA1ADQALgAwADgALAAgADUAMwAuADkAOQAsACAANQAzAC4ANAAsACAANQAzAC4ANgAsACAANQAzAC4AMAA4ACwAIAA1ADIALgA0ACwAIAA1ADMALgAzADIALAAgADUAMwAuADAAMwAsACAANQAyAC4AMgAzACwAIAA1ADEALgA4ADkALAAgADUAMQAuADYAMwAsACAANQAxAC4AOAA3ACwAIAA1ADEALgA3ADIALAAgADUAMQAuADAAMQAsACAANQAwAC4AOAA4ACwAIAA1ADAALgA0ADUALAAgADUAMAAuADAAMQAsACAANQAwAC4AMwA5ACwAIAA1ADAALgAyACwAIAA1ADAALgA0ADcALAAgADUAMAAuADYANwAsACAANQAwAC4AOAA2ACwAIAA1ADAALgA2ADMALAAgADUAMQAuADQAMgAsACAANQAwAC4ANwA3ACwAIAA1ADAALgA2ADUALAAgADUAMAAuADMANgAsACAANAA5AC4AOQAyACwAIAA0ADkALgA3ADUAOwBcAG4AIAAgACAAIAA1ADQALgAxACwAIAA1ADMALgA2ADUALAAgADUANAAuADEANgAsACAANQA0AC4ANwAyACwAIAA1ADMALgA3ACwAIAA1ADMALgAxADcALAAgADUAMwAuADAAMgAsACAANQAzAC4ANAA2ACwAIAA1ADMALgA0ADQALAAgADUAMwAuADcAMQAsACAANQAyAC4ANQAsACAANQAyAC4AMQA3ACwAIAA1ADIALgA0ACwAIAA1ADIALAAgADUAMQAuADUANgAsACAANQAwAC4AOQA2ACwAIAA1ADAALgA3ADkALAAgADUAMgAuADEAMQAsACAANQAxAC4AMAA3ACwAIAA1ADEALgAxADgALAAgADUAMQAuADAAMQAsACAANQAxAC4AMgA0ACwAIAA1ADEALgAzADQALAAgADUAMgAuADEAMgAsACAANQAxAC4ANgAxACwAIAA1ADEALgAxADgALAAgADUAMQAuADAANgAsACAANQAwAC4ANAAxACwAIAA1ADAALgA5ADQALAAgADUAMAAuADEANgA7AFwAbgAgACAAIAAgADUANQAuADkALAAgADUANAAuADQAOQAsACAANQA0AC4AMQAsACAANQA0AC4AOAAzACwAIAA1ADMALgA4ADUALAAgADUANAAuADQAMQAsACAANQAzAC4AOQAzACwAIAA1ADQALgAyADIALAAgADUANAAuADAANgAsACAANQAzAC4AMwAzACwAIAA1ADIALgA4ACwAIAA1ADIALgA4ADIALAAgADUAMgAuADQANQAsACAANQAyAC4AOAAyACwAIAA1ADIALgAxADUALAAgADUAMQAuADYALAAgADUAMQAuADkANgAsACAANQAyAC4ANQAsACAANQAyAC4ANAA0ACwAIAA1ADIALgAyADkALAAgADUAMgAuADQANwAsACAANQAxAC4AOAAzACwAIAA1ADEALgA2ADEALAAgADUAMgAuADAAOQAsACAANQAxAC4AOAAsACAANQAxAC4ANQA2ACwAIAA1ADAALgA5ADIALAAgADUAMQAuADEALAAgADUAMQAuADMALAAgADUAMAAuADgAMwA7AFwAbgAgACAAIAAgADUANQAuADUAOAAsACAANQA1AC4ANwA3ACwAIAA1ADQALgA5ADQALAAgADUANAAuADUAMwAsACAANQA0AC4ANwAxACwAIAA1ADQALgA0ACwAIAA1ADQALgA5ADYALAAgADUANAAuADYAOQAsACAANQA0AC4AMgA1ACwAIAA1ADMALgA4ADkALAAgADUANAAuADYANgAsACAANQA0AC4AMAA5ACwAIAA1ADMALgAwADYALAAgADUAMgAuADcANQAsACAANQAyAC4AMwA5ACwAIAA1ADIALgA0ADMALAAgADUANAAsACAANQAzAC4AOAA5ACwAIAA1ADIALgA5ADgALAAgADUAMgAuADgANwAsACAANQAyAC4ANwAyACwAIAA1ADIALgA2ADUALAAgADUAMgAsACAANQAxAC4ANwA2ACwAIAA1ADIALgAwADIALAAgADUAMQAuADQAMgAsACAANQAyACwAIAA1ADEALgA2ADYALAAgADUAMQAuADQAOAAsACAANQAxAC4AMwA0ADsAXABuACAAIAAgACAANQA2AC4AMwAzACwAIAA1ADYALgAzADkALAAgADUANQAuADEANQAsACAANQA1AC4ANwAzACwAIAA1ADUALgAxADkALAAgADUANQAuADgAMQAsACAANQA1AC4ANQAzACwAIAA1ADUALgAxADIALAAgADUANAAuADcANwAsACAANQA1AC4ANAA1ACwAIAA1ADUALgAwADUALAAgADUANAAuADQAOAAsACAANQAzAC4AOQA1ACwAIAA1ADIALgA5ADgALAAgADUAMgAuADkAMQAsACAANQA0AC4AMAAyACwAIAA1ADQALgAzADUALAAgADUANAAuADIALAAgADUAMwAuADkANQAsACAANQAzAC4AMwAyACwAIAA1ADIALgA4ADMALAAgADUAMgAuADcANQAsACAANQAyAC4ANAA2ACwAIAA1ADIALgAxADQALAAgADUAMQAuADgANAAsACAANQAyAC4AMwAxACwAIAA1ADIALgA2ADMALAAgADUAMQAuADkANgAsACAANQAyAC4AMAA5ACwAIAA1ADEALgA3ADEAOwBcAG4AIAAgACAAIAA1ADcALgAxADUALAAgADUANQAuADkAMQAsACAANQA3AC4AMQAzACwAIAA1ADYALgA3ADgALAAgADUANgAuADMALAAgADUANQAuADgANwAsACAANQA2AC4AMQAsACAANQA1AC4ANwA2ACwAIAA1ADUALgA0ADIALAAgADUANQAuADgAMQAsACAANQA1AC4ANwA5ACwAIAA1ADQALgA0ADcALAAgADUANAAuADAAOQAsACAANQA0AC4AMAA5ACwAIAA1ADMALgA2ADYALAAgADUAMwAuADcALAAgADUANAAuADIAMwAsACAANQA0AC4ANQAyACwAIAA1ADQALgAzADYALAAgADUANAAuADAAOAAsACAANQAzAC4AMQA4ACwAIAA1ADMALgAxADUALAAgADUAMgAuADkALAAgADUAMgAuADUAMgAsACAANQAyAC4ANAA0ACwAIAA1ADIALgAxADQALAAgADUAMgAuADYAMwAsACAANQAzAC4AMgA3ACwAIAA1ADIALgAxADYALAAgADUAMQAuADQANQA7AFwAbgAgACAAIAAgADUANgAuADcALAAgADUANwAuADUAMQAsACAANQA3AC4ANQA5ACwAIAA1ADcALgAzACwAIAA1ADcALgAzADQALAAgADUANwAuADAAMQAsACAANQA2AC4AMgA0ACwAIAA1ADcALgAwADgALAAgADUANwAuADAAOAAsACAANQA1AC4ANQAzACwAIAA1ADYALgA2ADIALAAgADUANQAuADMAMgAsACAANQA0AC4ANwA5ACwAIAA1ADQALgA4ADEALAAgADUANAAuADMANwAsACAANQA0AC4AOAA0ACwAIAA1ADQALgA0ADMALAAgADUANAAuADQAMgAsACAANQA0AC4ANgA5ACwAIAA1ADQALgA1ADIALAAgADUANAAuADgANAAsACAANQAzAC4ANwA2ACwAIAA1ADMALgAzADQALAAgADUAMwAuADQAMgAsACAANQAzAC4ANwAxACwAIAA1ADIALgA2ADEALAAgADUAMgAuADYAMgAsACAANQAzAC4AMQAzACwAIAA1ADIALgAxADYALAAgADUAMQAuADAAMwA7AFwAbgAgACAAIAAgADUANwAuADgALAAgADUAOAAuADMANQAsACAANQA4AC4AMQAxACwAIAA1ADgALgAyADUALAAgADUANwAuADcAMwAsACAANQA3AC4AMAA4ACwAIAA1ADgALgAxADQALAAgADUANwAuADAAOQAsACAANQA3AC4ANQAxACwAIAA1ADYALgA5ACwAIAA1ADYALgA0ADgALAAgADUANgAuADIAOQAsACAANQA1AC4AOQAyACwAIAA1ADUALgA2ACwAIAA1ADYALgAwADQALAAgADUANQAuADEAMQAsACAANQA1AC4AMQAsACAANQA1AC4AMQA4ACwAIAA1ADQALgA1ADEALAAgADUANAAuADgAMQAsACAANQA1AC4AMwA2ACwAIAA1ADQALgA1ADMALAAgADUANAAuADIANwAsACAANQA0AC4AOAAxACwAIAA1ADMALgA5ADEALAAgADUANAAuADAAOQAsACAANQAyAC4AOAA5ACwAIAA1ADIALgA4ADcALAAgADUAMwAuADEANAAsACAANQAyAC4ANwA3ADsAXABuACAAIAAgACAANQA5AC4AMwAxACwAIAA1ADgALgA2ADgALAAgADUAOAAuADkANQAsACAANQA4AC4AOAA2ACwAIAA1ADgALgAyADUALAAgADUANwAuADYAMwAsACAANQA4AC4ANwA3ACwAIAA1ADgALgA1ADEALAAgADUANwAuADcANwAsACAANQA3AC4ANwA0ACwAIAA1ADgALgAwADEALAAgADUANwAuADcANQAsACAANQA2AC4AOAA5ACwAIAA1ADcALgAwADUALAAgADUANgAuADkANAAsACAANQA2AC4AMQAxACwAIAA1ADYALgA5ADIALAAgADUANgAuADYANwAsACAANQA2AC4AMAA4ACwAIAA1ADYALgA3ACwAIAA1ADUALgA4ADcALAAgADUANQAuADMAOQAsACAANQA1AC4AMgAyACwAIAA1ADQALgA2ADgALAAgADUANAAuADcAMQAsACAANQA0AC4ANgAzACwAIAA1ADMALgA2ADUALAAgADUAMwAuADgANAAsACAANQAzAC4AMwAsACAANQAzAC4AMgA4ADsAXABuACAAIAAgACAANQA5AC4ANAA0ACwAIAA1ADkALgAxADQALAAgADUAOQAuADYAMQAsACAANQA5AC4AMAAyACwAIAA1ADcALgA5ACwAIAA1ADkALgA1ADkALAAgADUAOQAuADUANAAsACAANQA5AC4AMAA5ACwAIAA1ADgALgA4ADcALAAgADUAOAAuADUANgAsACAANQA5AC4ANAAyACwAIAA1ADgALgA3ADcALAAgADUANwAuADcAMQAsACAANQA2AC4ANQA4ACwAIAA1ADcALgAyADQALAAgADUAOAAuADAANQAsACAANQA4AC4AMgA4ACwAIAA1ADcALgA4ADcALAAgADUANwAuADIAMQAsACAANQA3ACwAIAA1ADYALgA4ADYALAAgADUANgAuADUAOAAsACAANQA2AC4AMQAzACwAIAA1ADUALgA2ADcALAAgADUANQAuADUAMgAsACAANQA0AC4AOAA3ACwAIAA1ADQALgA5ADEALAAgADUANAAuADYAMwAsACAANQAzAC4AOAA2ACwAIAA1ADMALgA1ADcAOwBcAG4AIAAgACAAIAA2ADAALgAxADMALAAgADYAMAAuADUANAAsACAANgAwAC4AMQAsACAANgAwAC4AMQAyACwAIAA2ADAALgA3ADIALAAgADYAMAAuADcAMgAsACAANgAwAC4ANwA3ACwAIAA1ADkALgA5ADgALAAgADYAMAAuADAANQAsACAANgAwAC4AMwAsACAANQA5AC4ANwA3ACwAIAA2ADAALgAyADEALAAgADYAMAAuADEANQAsACAANQA4AC4ANAA5ACwAIAA1ADkALgA3ADcALAAgADYAMAAuADIANQAsACAANQA5AC4AMAA0ACwAIAA1ADkALgA0ADMALAAgADUAOAAuADQANQAsACAANQA3AC4AOAAsACAANQA3AC4ANgA5ACwAIAA1ADcALgA4ADEALAAgADUANwAuADAAMwAsACAANQA2AC4AOAA2ACwAIAA1ADYALgAxADMALAAgADUANgAuADAAOQAsACAANQA1AC4ANwA0ACwAIAA1ADUALgAwADEALAAgADUANQAuADAAMgAsACAANQA0AC4ANQAzADsAXABuACAAIAAgACAANgAxAC4ANAAxACwAIAA2ADEALAAgADYAMQAuADAANgAsACAANQA5AC4AMAA0ACwAIAA2ADIALgAxACwAIAA2ADIALgAxADYALAAgADYAMQAuADMANwAsACAANgAxAC4ANgA4ACwAIAA2ADEALgA5ADMALAAgADYAMQAuADkAMQAsACAANgAyAC4ANAA3ACwAIAA2ADAALgA5ADcALAAgADYAMAAuADcANwAsACAANgAxAC4AOAA0ACwAIAA2ADEALgAxADgALAAgADYAMAAuADgANwAsACAANgAwAC4ANwA4ACwAIAA2ADAALgAxADgALAAgADUAOQAuADQAMQAsACAANgAwAC4AMgAyACwAIAA1ADkALgAxADkALAAgADUAOAAuADQAMgAsACAANQA4AC4ANgA0ACwAIAA1ADcALgA2ADUALAAgADUANgAuADcAOAAsACAANQA3AC4AMwAxACwAIAA1ADYALgA1ADQALAAgADUANgAuADEANgAsACAANQA1AC4AMwA2ACwAIAA1ADQALgA5ADcAOwBcAG4AIAAgACAAIAA2ADEALgA5ADMALAAgADYAMgAuADIANwAsACAANgAyAC4AMgA2ACwAIAA2ADIALgA4ADUALAAgADYAMwAuADEAOQAsACAANgAyAC4ANwAzACwAIAA2ADIALgA2ACwAIAA2ADMALgAxADIALAAgADYAMwAuADQAMwAsACAANgAzAC4ANgAzACwAIAA2ADIALgA5ADkALAAgADYAMQAuADgANwAsACAANgAxAC4AOAAzACwAIAA2ADIALgA3ACwAIAA2ADIALgA2ADYALAAgADYAMgAuADQANAAsACAANgAxAC4AOAAzACwAIAA2ADEALgAzADkALAAgADYAMQAuADcANAAsACAANgAwAC4ANAAyACwAIAA2ADAALgA5ADYALAAgADYAMAAuADAANAAsACAANQA5AC4AMgAxACwAIAA1ADkALgAzADEALAAgADUAOAAuADgANAAsACAANQA4AC4AMQAzACwAIAA1ADgALgAzADEALAAgADUANwAuADEAOQAsACAANQA2AC4ANgAzACwAIAA1ADYALgA3ADkAOwBcAG4AIAAgACAAIAA2ADMALgA4ACwAIAA2ADMALgA4ADUALAAgADYAMwAuADYANAAsACAANgAzAC4ANgA3ACwAIAA2ADQALgAwADEALAAgADYAMwAuADYAOAAsACAANgA0AC4ANwA4ACwAIAA2ADQALgA3ADUALAAgADYANAAuADkAMQAsACAANgAzAC4AOAA2ACwAIAA2ADMALgA4ADkALAAgADYANAAuADYALAAgADYANAAuADgANgAsACAANgAzAC4AMwA1ACwAIAA2ADQALgA2ACwAIAA2ADMALgA5ADUALAAgADYAMgAuADkAMQAsACAANgAzAC4ANwA0ACwAIAA2ADMALgAyACwAIAA2ADIALgA4ADkALAAgADYAMgAuADIANQAsACAANgAwAC4ANgAxACwAIAA2ADEALgAxACwAIAA2ADAALgAwADkALAAgADYAMAAuADAANAAsACAANQA5AC4AOQA2ACwAIAA1ADkALgA2ADMALAAgADUAOAAuADcALAAgADUAOQAuADIAMgAsACAANQA4AC4AOAA1AFwAbgB9ADsAXABuAFwAbgAvAC8AUwBhAG4AIABBAG4AdABvAG4AaQBvACwAIABUAFgAIAAyADkALgA0ADIANAAzADQAOQAsAC0AOQA4AC4ANAA5ADEAMQA0ADIAXABuAFMAYQBuAEEAbgB0AG8AbgBpAG8APQBcAG4AIAAgACAAIAB7ADEAOQA3AC4AMQAxACwAIAAxADkANgAuADUANwAsACAAMQA5ADYALgA0ADIALAAgADEAOQA2AC4ANAA3ACwAIAAxADkANgAuADIALAAgADEAOQA3AC4AMAA5ACwAIAAxADkANgAuADcAMgAsACAAMQA5ADUALgA5ADYALAAgADEAOQA0AC4AMwA2ACwAIAAxADkAMwAuADIAMwAsACAAMQA5ADcALgA5ADQALAAgADEAOQA4AC4ANwAyACwAIAAxADkAOQAuADIAOQAsACAAMQA5ADkALgA4ADIALAAgADIAMAAwAC4AMgA2ACwAIAAyADAAMAAuADMAOAAsACAAMgAwADAALgAzADkALAAgADIAMAAwAC4AMgA0ACwAIAAxADkAOAAuADcANQAsACAAMQA5ADUALgA1ADYALAAgADEAOQA0AC4AOQAzACwAIAAxADkANwAuADEAMwAsACAAMQA5ADkALgAzADgALAAgADIAMAAwAC4AMQA5ACwAIAAyADAAMAAuADIALAAgADIAMAAwAC4AMAA0ACwAIAAyADAAMAAuADUANAAsACAAMgAwADAALgA4ADMALAAgADIAMAA0AC4AOQA0ACwAIAAyADAAOQAuADMANQA7AFwAbgAgACAAIAAgADEAOQA3AC4AMQA2ACwAIAAxADkANgAuADkAMQAsACAAMQA5ADYALgA3ADYALAAgADEAOQAyAC4ANAA0ACwAIAAxADkANgAuADUAOAAsACAAMQA5ADYALgA4ADkALAAgADEAOQA2AC4AOAAzACwAIAAxADkANgAuADkAOAAsACAAMQA5ADMALgAxADEALAAgADEAOQA0AC4ANwA0ACwAIAAxADkAOAAuADAANwAsACAAMQA5ADkALgAwADUALAAgADEAOQA5AC4ANwAyACwAIAAxADkAOQAuADkAMQAsACAAMgAwADAALgAyADkALAAgADIAMAAwAC4AOAAsACAAMgAwADAALgA1ADQALAAgADIAMAAwAC4ANAAzACwAIAAyADAAMAAuADEAMwAsACAAMQA5ADgALgAzADcALAAgADEAOQA4AC4AMQA2ACwAIAAxADkAOAAuADkAMgAsACAAMgAwADAALgAxADcALAAgADEAOQA5AC4AOQA5ACwAIAAyADAAMAAuADAAMgAsACAAMgAwADAALgAxADMALAAgADIAMAAwAC4AMgAzACwAIAAyADAAMAAuADYAMwAsACAAMgAwADUALgA1ADYALAAgADIAMAA5AC4AMAA4ADsAXABuACAAIAAgACAAMQA5ADcALgAyADIALAAgADEAOQA3AC4AMAA4ACwAIAAxADkANgAuADgANAAsACAAMQA5ADYALgA2ADcALAAgADEAOQA2AC4ANwA4ACwAIAAxADkANgAuADcALAAgADEAOQA2AC4ANwA3ACwAIAAxADkANwAuADAANgAsACAAMQA5ADIALgA4ADQALAAgADEAOQA2AC4AMAA2ACwAIAAxADkAOAAuADUAMwAsACAAMQA5ADkALgA3ADkALAAgADEAOQA5AC4AOQA1ACwAIAAyADAAMAAuADQANgAsACAAMgAwADAALgAxADUALAAgADIAMAAwAC4AMwA1ACwAIAAyADAAMAAuADUAOAAsACAAMgAwADAALgAwADkALAAgADEAOQA5AC4AOAA1ACwAIAAxADkAOQAuADgANgAsACAAMQA5ADkALgA4ADYALAAgADIAMAAwAC4AMQA0ACwAIAAyADAAMAAuADMAMQAsACAAMgAwADAALgA0ADEALAAgADIAMAAwAC4ANwA2ACwAIAAyADAAMAAuADIAOAAsACAAMgAwADEALgAxADUALAAgADIAMAAwAC4AOQA4ACwAIAAyADAANQAuADIAOAAsACAAMgAwADcALgA1ADEAOwBcAG4AIAAgACAAIAAxADkAMgAuADUANwAsACAAMQA5ADIALgA1ADcALAAgADEAOQAyAC4AOQA1ACwAIAAxADkAMwAuADUANgAsACAAMQA5ADIALgA5ACwAIAAxADkAMwAuADgALAAgADEAOQA3AC4AMAAyACwAIAAxADkANwAuADMAOAAsACAAMQA5ADMALgAyADEALAAgADEAOQA4AC4ANgAyACwAIAAxADkAOAAuADgANQAsACAAMQA5ADkALgAzADcALAAgADEAOQA5AC4ANgAyACwAIAAyADAAMAAuADIAOAAsACAAMgAwADAALgAxADQALAAgADEAOQA5AC4AOQA3ACwAIAAyADAAMAAuADUAOQAsACAAMgAwADAALgAwADIALAAgADIAMAAwAC4AMQA5ACwAIAAyADAAMAAuADIANQAsACAAMgAwADAALgA3ADYALAAgADIAMAAwAC4ANgA4ACwAIAAyADAAMAAuADQANgAsACAAMgAwADAALgA2ACwAIAAyADAAMQAuADEAMQAsACAAMgAwADAALgA1ADUALAAgADIAMAAxAC4ANAAyACwAIAAyADAAMQAuADUAMwAsACAAMgAwADAALgA0ADEALAAgADIAMAAwAC4ANwA3ADsAXABuACAAIAAgACAAMQA5ADYALgA5ADQALAAgADEAOQA1AC4AOAA1ACwAIAAxADkANQAuADcAOAAsACAAMQA5ADUALgA3ADUALAAgADEAOQA2AC4ANAA4ACwAIAAxADkANgAuADYAMgAsACAAMQA5ADMALgAxADMALAAgADEAOQA3AC4ANwA5ACwAIAAxADkAMwAuADAAMwAsACAAMQA5ADcALgAyADcALAAgADEAOQA5AC4AMQA1ACwAIAAxADkAOQAuADEALAAgADEAOQA5AC4AMgAzACwAIAAyADAAMAAuADcANAAsACAAMgAwADAALgA0ACwAIAAyADAAMAAuADcAOAAsACAAMgAwADAALgA3ADcALAAgADIAMAAwAC4ANwA0ACwAIAAxADkAOQAuADkAOAAsACAAMgAwADAALgA3ADMALAAgADIAMAAwAC4AOQA1ACwAIAAyADAAMAAuADkAMwAsACAAMgAwADAALgA4ADIALAAgADIAMAAxAC4AMAA5ACwAIAAyADAAMAAuADgANAAsACAAMgAwADAALgA5ADQALAAgADIAMAAwAC4AOQA5ACwAIAAyADAAMAAuADUAMQAsACAAMgAwADEALgAwADkALAAgADIAMAAxAC4ANQA0ADsAXABuACAAIAAgACAAMQA5ADYALgA3ADIALAAgADEAOQA2AC4AMgAsACAAMQA5ADYALgAwADQALAAgADEAOQA1AC4AOAA5ACwAIAAxADkANgAuADIANAAsACAAMQA5ADYALgAyADgALAAgADEAOQA0AC4AMwAsACAAMQA5ADIALgA5ADgALAAgADEAOQA0AC4AMwA3ACwAIAAxADkANwAuADQANAAsACAAMQA5ADkALgAyADEALAAgADEAOQA5AC4AMgAzACwAIAAyADAAMAAuADMAMgAsACAAMgAwADAALgA0ACwAIAAyADAAMAAuADcAMgAsACAAMgAwADEALgAxADgALAAgADIAMAAwAC4AOQA5ACwAIAAyADAAMAAuADgAOQAsACAAMgAwADAALgA5ADcALAAgADIAMAAwAC4AMAA3ACwAIAAyADAAMAAuADgANAAsACAAMgAwADAALgA4ADMALAAgADIAMAAwAC4AOAA2ACwAIAAyADAAMAAuADkAOAAsACAAMgAwADAALgA4ADUALAAgADIAMAAwAC4AOAAzACwAIAAyADAAMQAuADUANAAsACAAMgAwADEALgAxADYALAAgADIAMAAxAC4ANAA1ACwAIAAyADAAMQAuADcAOQA7AFwAbgAgACAAIAAgADEAOQA2AC4ANQAzACwAIAAxADkANgAuADIANgAsACAAMQA5ADUALgA5ADEALAAgADEAOQA1AC4AOQAyACwAIAAxADkANgAuADEANQAsACAAMQA5ADYALgA1ADcALAAgADEAOQA2AC4AOAA4ACwAIAAxADkANwAuADIAOQAsACAAMQA5ADgALgAxADkALAAgADEAOQA4AC4AOQA3ACwAIAAxADkAOQAuADMANQAsACAAMgAwADAALgAyADEALAAgADIAMAAwAC4ANgAxACwAIAAyADAAMAAuADQAMwAsACAAMgAwADAALgA3ADcALAAgADIAMAAxAC4AMwAzACwAIAAyADAAMQAuADIAOQAsACAAMgAwADEALgAzADIALAAgADIAMAAxAC4AMgA0ACwAIAAyADAAMAAuADkAMgAsACAAMgAwADAALgA0ADMALAAgADIAMAAwAC4ANQA0ACwAIAAyADAAMAAuADYANQAsACAAMgAwADAALgA5ADIALAAgADIAMAAwAC4AOQA4ACwAIAAyADAAMQAuADMANQAsACAAMgAwADEALgAyACwAIAAyADAAMQAuADMANwAsACAAMgAwADEALgA2ADYALAAgADIAMAAxAC4AOQAxADsAXABuACAAIAAgACAAMQA5ADYALgA3ADkALAAgADEAOQA2AC4ANgAxACwAIAAxADkANgAuADYAMwAsACAAMQA5ADYALgA2ADIALAAgADEAOQA2AC4AOAAyACwAIAAxADkANwAuADIANQAsACAAMQA5ADcALgA2ADMALAAgADEAOQA3AC4ANwA2ACwAIAAxADkAOAAuADIANQAsACAAMQA5ADgALgA5ADQALAAgADEAOQA5AC4ANAAsACAAMgAwADAALgAxADgALAAgADIAMAAwAC4AMwA4ACwAIAAyADAAMAAuADQANgAsACAAMgAwADAALgA3ADYALAAgADIAMAAxAC4AMgA0ACwAIAAyADAAMQAuADEANgAsACAAMgAwADEALgAwADMALAAgADIAMAAwAC4AOQA2ACwAIAAyADAAMAAuADUANwAsACAAMgAwADAALgA3ADEALAAgADIAMAAwAC4AOQAxACwAIAAyADAAMQAuADEANQAsACAAMgAwADEALgAzADIALAAgADIAMAAwAC4AOQA1ACwAIAAyADAAMQAuADIAMwAsACAAMgAwADEALgA1ADMALAAgADIAMAAxAC4AOAA4ACwAIAAyADAAMQAuADcANgAsACAAMgAwADEALgA5ADsAXABuACAAIAAgACAAMQA5ADYALgA2ACwAIAAxADkANgAuADYANQAsACAAMQA5ADYALgA3ACwAIAAxADkANgAuADkAMwAsACAAMQA5ADcALgAyADQALAAgADEAOQA3AC4ANQA2ACwAIAAxADkANwAuADgAMgAsACAAMQA5ADgALgAwADEALAAgADEAOQA4AC4AMAAxACwAIAAxADkAOAAuADYAMgAsACAAMQA5ADkALgAyACwAIAAxADkAOQAuADYAMgAsACAAMgAwADAALgAyACwAIAAyADAAMAAuADQAOAAsACAAMgAwADAALgA2ADQALAAgADIAMAAwAC4ANwA3ACwAIAAyADAAMAAuADkAMQAsACAAMgAwADEALgAzADgALAAgADIAMAAxAC4AMAA2ACwAIAAyADAAMAAuADcAMQAsACAAMgAwADEALgAyADQALAAgADIAMAAxAC4AMAA2ACwAIAAyADAAMQAuADIAMwAsACAAMgAwADEALgAzADcALAAgADIAMAAwAC4AOQA4ACwAIAAyADAAMgAuADMALAAgADIAMAAyAC4AMgAyACwAIAAyADAAMQAuADkAOQAsACAAMgAwADEALgA4ADQALAAgADIAMAAxAC4AOQA5ADsAXABuACAAIAAgACAAMQA5ADYALgA3ADgALAAgADEAOQA3AC4AMQAxACwAIAAxADkANwAuADIANgAsACAAMQA5ADcALgAzADEALAAgADEAOQA3AC4ANAAyACwAIAAxADkANwAuADgAMQAsACAAMQA5ADgALgAwADgALAAgADEAOQA4AC4AMwAyACwAIAAxADkAOAAuADMAMQAsACAAMQA5ADgALgA4ADkALAAgADEAOQA5AC4ANQAzACwAIAAxADkAOQAuADcANAAsACAAMgAwADAALgAxADYALAAgADIAMAAwAC4ANQAyACwAIAAyADAAMAAuADUAOAAsACAAMgAwADAALgAxADMALAAgADIAMAAwAC4ANgAxACwAIAAyADAAMQAuADIAMgAsACAAMgAwADAALgA5ACwAIAAyADAAMQAuADUAMQAsACAAMgAwADEALgA1ADkALAAgADIAMAAxAC4AMQA1ACwAIAAyADAAMQAuADMALAAgADIAMAAxAC4AMwA5ACwAIAAyADAAMQAuADUAMQAsACAAMgAwADEALgA3ADEALAAgADIAMAAyAC4AMQA0ACwAIAAyADAAMgAuADIANwAsACAAMgAwADEALgA5ADcALAAgADIAMAAyAC4AMgAxADsAXABuACAAIAAgACAAMQA5ADYALgA4ADgALAAgADEAOQA3AC4AMAA1ACwAIAAxADkANwAuADIAOQAsACAAMQA5ADcALgAzADkALAAgADEAOQA3AC4ANwA1ACwAIAAxADkANwAuADgAOQAsACAAMQA5ADgALgAxADgALAAgADEAOQA4AC4AMwAsACAAMQA5ADgALgAzADYALAAgADEAOQA4AC4ANgA2ACwAIAAxADkAOQAuADIANgAsACAAMQA5ADkALgA0ADMALAAgADEAOQA5AC4AOQA3ACwAIAAyADAAMAAuADIAOQAsACAAMQA5ADcALgA4ADEALAAgADEAOQA3AC4AOAA3ACwAIAAxADkANwAuADgANQAsACAAMgAwADAALgA1ADMALAAgADIAMAAwAC4ANQA2ACwAIAAyADAAMQAuADAAOQAsACAAMgAwADEALgAxADgALAAgADIAMAAxAC4ANgAyACwAIAAyADAAMQAuADQAMQAsACAAMgAwADEALgA0ADYALAAgADIAMAAxAC4ANQAxACwAIAAyADAAMQAuADcANQAsACAAMgAwADIALgAwADkALAAgADIAMAAxAC4AOAA1ACwAIAAyADAAMgAuADMAOQAsACAAMgAwADIALgA0ADMAOwBcAG4AIAAgACAAIAAxADkANgAuADQAMwAsACAAMQA5ADYALgA3ADEALAAgADEAOQA3AC4AMQA5ACwAIAAxADkANwAuADUANgAsACAAMQA5ADcALgA3ADMALAAgADEAOQA3AC4AOQA0ACwAIAAxADkAOAAuADEAMgAsACAAMQA5ADgALgAyADQALAAgADEAOQA4AC4AMwAzACwAIAAxADkAOAAuADkANAAsACAAMQA5ADkALgAyADIALAAgADEAOQA5AC4ANAA0ACwAIAAxADkAOQAuADUAMwAsACAAMgAwADAALgAxADEALAAgADEAOQA3AC4AOAA4ACwAIAAxADkANwAuADgANAAsACAAMgAwADAALgAzADMALAAgADIAMAAwAC4AMwA2ACwAIAAyADAAMAAuADMAMQAsACAAMgAwADAALgA2ACwAIAAyADAAMAAuADYANAAsACAAMgAwADEALgA3ADQALAAgADIAMAAxAC4AOAAyACwAIAAyADAAMQAuADIANAAsACAAMgAwADEALgA1ADcALAAgADIAMAAxAC4ANQAxACwAIAAyADAAMgAuADAANwAsACAAMgAwADIALgAzADYALAAgADIAMAAyAC4ANAA5ACwAIAAyADAAMgAuADUANgA7AFwAbgAgACAAIAAgADEAOQA2AC4AMQAzACwAIAAxADkANgAuADUAMwAsACAAMQA5ADYALgA4ADgALAAgADEAOQA3AC4AMgA5ACwAIAAxADkANwAuADUAMQAsACAAMQA5ADcALgA3ADgALAAgADEAOQA4AC4AMAAxACwAIAAxADkAOAAuADEANwAsACAAMQA5ADgALgA0ADYALAAgADEAOQA4AC4ANwA4ACwAIAAxADkAOQAuADIAMQAsACAAMQA5ADkALgAyADQALAAgADEAOQA5AC4ANAAyACwAIAAxADkAOQAuADcAOQAsACAAMQA5ADkALgA4ADYALAAgADIAMAAwAC4AMAAyACwAIAAyADAAMAAuADQANwAsACAAMgAwADAALgAxADMALAAgADIAMAAwAC4AMgAzACwAIAAyADAAMAAuADQAMQAsACAAMgAwADEALgA3ADkALAAgADIAMAAxAC4AMwA1ACwAIAAyADAAMQAuADgAMgAsACAAMgAwADEALgAzACwAIAAyADAAMQAuADgAMQAsACAAMgAwADEALgA3ADgALAAgADIAMAAxAC4AOAA4ACwAIAAyADAAMgAuADAAMQAsACAAMgAwADIALgAyADEALAAgADIAMAAyAC4AMgA4ADsAXABuACAAIAAgACAAMQA5ADYALgAyADMALAAgADEAOQA3AC4AMAA4ACwAIAAxADkANwAuADkANQAsACAAMQA5ADgALgAxADUALAAgADEAOQA3AC4ANwA1ACwAIAAxADkAOAAuADgAMQAsACAAMQA5ADkALgAyADIALAAgADEAOQA5AC4AMgAxACwAIAAxADkAOAAuADUANwAsACAAMQA5ADkALgAyADkALAAgADEAOQA5AC4AMwA3ACwAIAAxADkAOQAuADQAMQAsACAAMQA5ADkALgA5ACwAIAAyADAAMAAuADAAMQAsACAAMQA5ADkALgA2ADYALAAgADEAOQA5AC4AOAA2ACwAIAAxADkAOQAuADkANQAsACAAMgAwADAALgAwADEALAAgADIAMAAwAC4AMwAsACAAMgAwADAALgA1ADQALAAgADIAMAAxAC4AMgAsACAAMgAwADEALgAyADcALAAgADIAMAAxAC4AMAA1ACwAIAAyADAAMQAuADYAMQAsACAAMgAwADEALgA3ADUALAAgADIAMAAyAC4AMgAsACAAMgAwADIALgAzADIALAAgADIAMAAyAC4AMgAyACwAIAAyADAAMQAuADkANAAsACAAMgAwADIALgAxADIAOwBcAG4AIAAgACAAIAAxADkANgAsACAAMQA5ADYALgA1ADkALAAgADEAOQA3AC4ANwA2ACwAIAAxADkAOAAuADEAMwAsACAAMQA5ADcALgA4ADUALAAgADEAOQA4AC4AOQA2ACwAIAAxADkAOQAuADgAMwAsACAAMQA5ADkALgAzADUALAAgADEAOQA4AC4ANgA2ACwAIAAxADkAOQAuADMAMQAsACAAMQA5ADkALgA2ADEALAAgADEAOQA5AC4AMgA5ACwAIAAxADkAOQAuADUANwAsACAAMQA5ADkALgA3ADUALAAgADEAOQA5AC4AOAAsACAAMQA5ADkALgA2ACwAIAAxADkAOQAuADgANwAsACAAMgAwADAALgAwADEALAAgADIAMAAwAC4AMgA5ACwAIAAyADAAMAAuADYALAAgADIAMAAwAC4ANgAzACwAIAAyADAAMAAuADcAMQAsACAAMgAwADEALgAyADIALAAgADIAMAAxAC4AMwA0ACwAIAAyADAAMQAuADcAMwAsACAAMgAwADEALgA5ADgALAAgADIAMAAyACwAIAAyADAAMgAuADMAMgAsACAAMgAwADEALgA4ADgALAAgADIAMAAyAC4AMgA5ADsAXABuACAAIAAgACAAMQA5ADYALgAwADUALAAgADEAOQA2AC4ANQA0ACwAIAAxADkANwAuADYAOQAsACAAMQA5ADgALgAxADEALAAgADEAOQA4AC4AMAAxACwAIAAxADkAOAAuADkANQAsACAAMQA5ADkALgAyADMALAAgADEAOQA5AC4ANAAyACwAIAAxADkAOAAuADcAOAAsACAAMQA5ADkALgA3ADEALAAgADEAOQA5AC4AMwA4ACwAIAAxADkAOQAuADYAMgAsACAAMQA5ADkALgAzADkALAAgADEAOQA5AC4ANgA3ACwAIAAxADkAOQAuADUAOQAsACAAMQA5ADkALgA0ADcALAAgADEAOQA5AC4ANwA2ACwAIAAyADAAMAAsACAAMgAwADAALgAyADkALAAgADIAMAAwAC4ANQA3ACwAIAAyADAAMAAuADUANwAsACAAMgAwADAALgA3ADgALAAgADIAMAAwAC4AOQAyACwAIAAyADAAMQAuADIAOQAsACAAMgAwADEALgA3ADEALAAgADIAMAAxAC4ANwA3ACwAIAAyADAAMgAuADAAMgAsACAAMgAwADIALgAzADIALAAgADIAMAAyAC4AMQAsACAAMgAwADIALgA0ADEAOwBcAG4AIAAgACAAIAAxADkANQAuADkAOQAsACAAMQA5ADYALgA1ADYALAAgADEAOQA3AC4AMQAxACwAIAAxADkANwAuADUAOAAsACAAMQA5ADcALgA5ADgALAAgADEAOQA4AC4AMgA0ACwAIAAxADkAOAAuADMAOAAsACAAMQA5ADgALgA2ADkALAAgADEAOQA4AC4AOQA2ACwAIAAxADkAOQAuADAAMQAsACAAMQA5ADkALgAwADQALAAgADEAOQA5AC4AMgA1ACwAIAAxADkAOQAuADIAOAAsACAAMQA5ADkALgA0ADMALAAgADEAOQA5AC4AMgAsACAAMgAwADAALgAwADQALAAgADIAMAAwAC4AMgA0ACwAIAAxADkAOQAuADkANwAsACAAMgAwADAALgAzADMALAAgADIAMAAwAC4AMwA3ACwAIAAyADAAMQAuADEAMQAsACAAMgAwADEALgAwADYALAAgADIAMAAxAC4AMAAzACwAIAAyADAAMQAuADEAMwAsACAAMgAwADEALgA1ADgALAAgADIAMAAxAC4ANwAsACAAMgAwADIALgAwADcALAAgADIAMAAyAC4AMgA3ACwAIAAyADAAMQAuADkANwAsACAAMgAwADIALgA1ADMAOwBcAG4AIAAgACAAIAAxADkANgAuADIAMgAsACAAMQA5ADYALgA3ADIALAAgADEAOQA3AC4ANQAsACAAMQA5ADgALgAwADEALAAgADEAOQA3AC4AOAAxACwAIAAxADkAOAAuADYAMgAsACAAMQA5ADkALgAzADYALAAgADEAOQA5AC4ANgAyACwAIAAxADkAOAAuADcAMwAsACAAMQA5ADkALgAxADcALAAgADEAOQA5AC4AMwA5ACwAIAAxADkAOQAuADUALAAgADEAOQA5AC4AOQA1ACwAIAAxADkAOQAuADIANgAsACAAMQA5ADkALgA0ADkALAAgADEAOQA5AC4ANwAsACAAMQA5ADkALgA5ADMALAAgADIAMAAwAC4AMAA5ACwAIAAyADAAMAAuADIANgAsACAAMgAwADAALgA5ADEALAAgADIAMAAwAC4AOAA0ACwAIAAyADAAMAAuADMALAAgADIAMAAwAC4AOQA4ACwAIAAyADAAMQAuADMAMQAsACAAMgAwADEALgA1ADIALAAgADIAMAAxAC4ANwAyACwAIAAyADAAMQAuADkANQAsACAAMgAwADEALgA5ADQALAAgADIAMAAyAC4AMwA2ACwAIAAyADAAMgAuADUANwA7AFwAbgAgACAAIAAgADEAOQA2AC4AMgA3ACwAIAAxADkANgAuADYAMwAsACAAMQA5ADcALgAwADMALAAgADEAOQA3AC4AMwA5ACwAIAAxADkANwAuADYAOAAsACAAMQA5ADcALgA4ACwAIAAxADkAOAAuADAANgAsACAAMQA5ADgALgAyADkALAAgADEAOQA4AC4ANQA1ACwAIAAxADkAOAAuADUANwAsACAAMQA5ADgALgA3ADIALAAgADEAOQA4AC4AOQA3ACwAIAAxADkAOQAuADAANwAsACAAMQA5ADkALgAyADkALAAgADEAOQA5AC4AMwA4ACwAIAAxADkAOQAuADcAOQAsACAAMQA5ADkALgA5ADIALAAgADIAMAAwAC4AMAA1ACwAIAAyADAAMAAuADQANAAsACAAMgAwADAALgA0ADIALAAgADIAMAAwAC4AOAA3ACwAIAAyADAAMQAuADAAMgAsACAAMgAwADEALgAwADEALAAgADIAMAAxAC4AMwA2ACwAIAAyADAAMQAuADUAMgAsACAAMgAwADEALgA3ADUALAAgADIAMAAyAC4AMQAsACAAMgAwADEALgA4ADYALAAgADIAMAAyAC4AMwA4ACwAIAAyADAAMgAuADUANwA7AFwAbgAgACAAIAAgADEAOQA2AC4ANQAsACAAMQA5ADYALgA4ADUALAAgADEAOQA3AC4AMgA5ACwAIAAxADkANwAuADMANAAsACAAMQA5ADcALgA3ADgALAAgADEAOQA3AC4AOQA5ACwAIAAxADkAOAAuADEANAAsACAAMQA5ADkALgA1ADMALAAgADEAOQA4AC4AMwA0ACwAIAAxADkAOAAuADgAOAAsACAAMQA5ADkALgA0ADYALAAgADEAOQA4AC4AOAAyACwAIAAxADkAOAAuADkAOQAsACAAMQA5ADkALgA0ADgALAAgADEAOQA5AC4ANAAzACwAIAAxADkAOQAuADQAOAAsACAAMQA5ADkALgA4ADYALAAgADIAMAAwAC4AMwA1ACwAIAAyADAAMAAuADYANwAsACAAMgAwADAALgA2ADIALAAgADIAMAAwAC4ANQAzACwAIAAyADAAMAAuADYANAAsACAAMgAwADAALgA5ADIALAAgADIAMAAxAC4AMwA2ACwAIAAyADAAMQAuADUANQAsACAAMgAwADEALgA3ADUALAAgADIAMAAxAC4ANwA5ACwAIAAyADAAMgAuADEANAAsACAAMgAwADIALgA0ADcALAAgADIAMAAyAC4ANQAxADsAXABuACAAIAAgACAAMQA5ADYALgA2ADUALAAgADEAOQA3AC4AMAA3ACwAIAAxADkANwAuADQANwAsACAAMQA5ADYALgA0ADQALAAgADEAOQA3AC4ANQA1ACwAIAAxADkAOAAuADAAOAAsACAAMQA5ADgALgAxADkALAAgADEAOQA4AC4ANQA0ACwAIAAxADkAOAAuADAANwAsACAAMQA5ADgALgA2ADQALAAgADEAOQA5AC4AMAA0ACwAIAAxADkAOAAuADYAOQAsACAAMQA5ADkALgAxADIALAAgADEAOQA5AC4AMwAyACwAIAAxADkAOQAuADYAMgAsACAAMQA5ADkALgA2ADgALAAgADEAOQA5AC4ANgA4ACwAIAAyADAAMAAuADYANwAsACAAMgAwADAALgA1ADYALAAgADIAMAAwAC4ANQAyACwAIAAyADAAMAAuADQANwAsACAAMgAwADAALgA2ADEALAAgADIAMAAxAC4AMAAxACwAIAAyADAAMQAuADIANgAsACAAMgAwADEALgA2ADYALAAgADIAMAAxAC4ANgA4ACwAIAAyADAAMQAuADcANQAsACAAMgAwADIALgAxADUALAAgADIAMAAyAC4ANgA1ACwAIAAyADAAMgAuADUANgA7AFwAbgAgACAAIAAgADEAOQA3AC4ANgAyACwAIAAxADkANwAuADkANgAsACAAMQA5ADcALgAyADQALAAgADEAOQA3AC4AMAA4ACwAIAAxADkANwAuADAAMQAsACAAMQA5ADcALgA4ADQALAAgADEAOQA4AC4AMgA4ACwAIAAxADkAOAAuADgANwAsACAAMQA5ADgALgA0ADgALAAgADEAOQA4AC4AMQA5ACwAIAAxADkAOAAuADkANgAsACAAMQA5ADgALgA1ADUALAAgADEAOQA5ACwAIAAxADkAOQAuADIALAAgADEAOQA5AC4ANAA0ACwAIAAyADAAMAAuADAAMwAsACAAMQA5ADkALgA5ADUALAAgADEAOQA5AC4AOAAyACwAIAAyADAAMAAuADYAMQAsACAAMgAwADAALgAyADcALAAgADIAMAAwAC4AOAA4ACwAIAAyADAAMAAuADkANQAsACAAMgAwADAALgA3ADYALAAgADIAMAAxAC4ANAAzACwAIAAyADAAMQAuADUAMwAsACAAMgAwADEALgA1ADgALAAgADIAMAAxAC4AOAA1ACwAIAAyADAAMgAuADEANAAsACAAMgAwADIALgA1ADEALAAgADIAMAAyAC4ANwA1ADsAXABuACAAIAAgACAAMQA5ADcALgA1ADMALAAgADEAOQA4AC4AMAA1ACwAIAAxADkANwAuADEANAAsACAAMQA5ADcALgAzADEALAAgADEAOQA3AC4AMgA4ACwAIAAxADkANwAuADkAOQAsACAAMQA5ADkALgAzADMALAAgADIAMAAwAC4ANQA4ACwAIAAxADkAOQAuADgAMwAsACAAMQA5ADgALgAyADQALAAgADEAOQA4AC4AMwA3ACwAIAAxADkAOAAuADMANwAsACAAMQA5ADkALgAxADMALAAgADEAOQA4AC4AOQAyACwAIAAxADkAOQAuADcALAAgADIAMAAwAC4AMQA0ACwAIAAyADAAMAAuADYANwAsACAAMgAwADAALgAxADEALAAgADEAOQA5AC4AOQA3ACwAIAAyADAAMAAuADUAMgAsACAAMgAwADAALgA3ADIALAAgADIAMAAxAC4AMAA1ACwAIAAyADAAMQAuADEAOQAsACAAMgAwADEALgAwADgALAAgADIAMAAxAC4ANAAsACAAMgAwADIALgAxADEALAAgADIAMAAyAC4AMAA3ACwAIAAyADAAMgAuADIANQAsACAAMgAwADIALgAzADMALAAgADIAMAAyAC4ANAA1ADsAXABuACAAIAAgACAAMQA5ADcALgA1ADcALAAgADEAOQA3AC4AOAAsACAAMQA5ADYALgA5ADQALAAgADEAOQA3AC4ANQAxACwAIAAxADkANwAuADUAMgAsACAAMQA5ADgALgAwADgALAAgADEAOQA4AC4AOAAsACAAMQA5ADgALgA4ADcALAAgADEAOQA5AC4AOQA5ACwAIAAxADkAOAAuADUAMQAsACAAMQA5ADgALgA1ADQALAAgADEAOQA4AC4AMgAxACwAIAAxADkAOAAuADMANwAsACAAMQA5ADkALgAwADYALAAgADEAOQA5AC4ANgA1ACwAIAAxADkAOQAuADkAMQAsACAAMgAwADAALgA1ADEALAAgADIAMAAwAC4AMQA2ACwAIAAyADAAMAAuADIANwAsACAAMgAwADAALgAzADcALAAgADIAMAAwAC4ANgAyACwAIAAyADAAMAAuADkANwAsACAAMgAwADEALgAwADYALAAgADIAMAAwAC4AOQA3ACwAIAAyADAAMQAuADIAOQAsACAAMgAwADEALgA4ADMALAAgADIAMAAyAC4AMQAzACwAIAAyADAAMgAuADUALAAgADIAMAAyAC4AMwAsACAAMgAwADIALgA4ADQAOwBcAG4AIAAgACAAIAAxADkAMwAuADgAMgAsACAAMQA5ADIALgA1ADQALAAgADEAOQAzAC4AOAA4ACwAIAAxADkAMgAuADQANgAsACAAMQA5ADYALgA4ADYALAAgADEAOQA3AC4ANwA2ACwAIAAxADkANwAuADUALAAgADEAOQA3AC4ANgAzACwAIAAxADkAOQAuADEAMwAsACAAMQA5ADcALgA3ADYALAAgADEAOQA4AC4AMgAxACwAIAAxADkAOAAuADAAOAAsACAAMQA5ADgALgAzADQALAAgADEAOQA4AC4ANgA0ACwAIAAxADkAOQAuADMANwAsACAAMgAwADAALgAxADIALAAgADIAMAAwAC4AMAA3ACwAIAAyADAAMAAuADEALAAgADIAMAAwAC4ANAA4ACwAIAAyADAAMAAuADIALAAgADIAMAAwAC4ANQA0ACwAIAAyADAAMAAuADgAMQAsACAAMgAwADAALgA2ADUALAAgADIAMAAxAC4ANQA0ACwAIAAyADAAMQAuADMANQAsACAAMgAwADEALgA1ADgALAAgADIAMAAxAC4AOQAyACwAIAAyADAAMgAsACAAMgAwADIALgA3ADMALAAgADIAMAAyAC4AOAA2ADsAXABuACAAIAAgACAAMQA5ADcALgA4ADUALAAgADEAOQA1AC4AOAA3ACwAIAAxADkANwAuADQAOQAsACAAMQA5ADgALgAwADQALAAgADEAOQAyAC4ANAA2ACwAIAAxADkAOAAuADQANQAsACAAMQA5ADMALgA5ADYALAAgADEAOQA3AC4AMAAxACwAIAAxADkANwAuADAAMwAsACAAMQA5ADYALgA1ADEALAAgADEAOQA3AC4AOQA1ACwAIAAxADkAOAAuADIAOQAsACAAMQA5ADgALgAyADcALAAgADEAOQA4AC4ANwA5ACwAIAAxADkAOQAuADQAOAAsACAAMQA5ADkALgA0ADcALAAgADIAMAAwAC4AMAA4ACwAIAAyADAAMAAuADIANwAsACAAMgAwADAALgA0ADIALAAgADIAMAAwAC4ANgA0ACwAIAAyADAAMAAuADMAOQAsACAAMgAwADAALgA0ADEALAAgADIAMAAxAC4AMAA2ACwAIAAyADAAMQAuADQAMwAsACAAMgAwADEALgA3ADQALAAgADIAMAAxAC4ANwAxACwAIAAyADAAMQAuADYANwAsACAAMgAwADIALgAzADkALAAgADIAMAAyAC4ANgAxACwAIAAyADAAMwAuADEANwA7AFwAbgAgACAAIAAgADEAOQA4AC4AMwAsACAAMQA5ADcALgA2ADMALAAgADEAOQA3AC4AOQA3ACwAIAAxADkAOAAuADIAOAAsACAAMQA5ADgALgAyADQALAAgADEAOQA1AC4ANAA0ACwAIAAxADkANQAuADgAMwAsACAAMQA5ADcALgA4ADYALAAgADEAOQAyAC4ANAA2ACwAIAAxADkANwAuADgAMwAsACAAMQA5ADgALgAyADMALAAgADEAOQA4AC4AMQA1ACwAIAAxADkAOAAuADMANwAsACAAMQA5ADgALgA0ADEALAAgADEAOQA4AC4AOAA0ACwAIAAxADkAOQAuADQALAAgADEAOQA5AC4ANQAsACAAMgAwADAALgAxADgALAAgADIAMAAwAC4AMQAyACwAIAAxADkAOQAuADkAMgAsACAAMgAwADAALgAwADUALAAgADIAMAAwAC4ANQA5ACwAIAAyADAAMAAuADkAOAAsACAAMgAwADEALgAzADUALAAgADIAMAAxAC4ANQA5ACwAIAAyADAAMQAuADMANgAsACAAMgAwADEALgA3ADYALAAgADIAMAAyAC4AMQA1ACwAIAAyADAAMgAuADUANQAsACAAMgAwADMALgAwADIAOwBcAG4AIAAgACAAIAAxADkAOAAuADMANgAsACAAMQA5ADgALgAwADgALAAgADEAOQA3AC4AOQA5ACwAIAAxADkAOAAuADAANgAsACAAMQA5ADgALgA0ADIALAAgADEAOQA4AC4ANQA3ACwAIAAxADkAOAAuADMANQAsACAAMQA5ADcALgA3ADQALAAgADEAOQA3AC4AOQA2ACwAIAAxADkAMwAsACAAMQA5ADcALgA0ADYALAAgADEAOQA4AC4AMgAsACAAMQA5ADgALgA0ACwAIAAxADkAOAAuADIALAAgADEAOQA4AC4ANgA5ACwAIAAxADkAOQAsACAAMQA5ADkALgAxACwAIAAxADkAOQAuADAANQAsACAAMQA5ADkALgAxACwAIAAxADkAOQAuADMANQAsACAAMgAwADAALgAwADQALAAgADIAMAAwAC4AOQAyACwAIAAyADAAMAAuADgANgAsACAAMgAwADEALgAyACwAIAAyADAAMQAuADEAOQAsACAAMgAwADEALgA0ADkALAAgADIAMAAxAC4AOQAzACwAIAAyADAAMgAuADIAMQAsACAAMgAwADIALgA1ADQALAAgADIAMAAyAC4ANwA2ADsAXABuACAAIAAgACAAMQA5ADgALgAyADcALAAgADEAOQA4AC4AOAA0ACwAIAAxADkAOAAuADEALAAgADEAOQA3AC4AOAA4ACwAIAAxADkAOAAuADAAOAAsACAAMQA5ADgALgAzADYALAAgADEAOQA4AC4AMAA5ACwAIAAxADkANwAuADgAOQAsACAAMQA5ADgALgAxADQALAAgADEAOQA3AC4AMwA2ACwAIAAxADkAMwAuADYANAAsACAAMQA5ADcALgA5ADUALAAgADEAOQA4AC4AMQAxACwAIAAxADkANwAuADkANgAsACAAMQA5ADgALgA0ADQALAAgADEAOQA4AC4ANQAxACwAIAAxADkAOAAuADcAMgAsACAAMQA5ADkALgAwADkALAAgADEAOQA4AC4AOAA2ACwAIAAxADkAOQAuADAAMwAsACAAMQA5ADkALgA0ADMALAAgADIAMAAwAC4AMwA5ACwAIAAyADAAMQAuADEAMQAsACAAMgAwADEALgAxADQALAAgADIAMAAxAC4ANAA0ACwAIAAyADAAMQAuADcANQAsACAAMgAwADEALgA5ADUALAAgADIAMAAyAC4AMwAxACwAIAAyADAAMgAuADMANwAsACAAMgAwADMALgAxADUAOwBcAG4AIAAgACAAIAAxADkAOQAuADAAOQAsACAAMQA5ADkALAAgADEAOQA4AC4AMgA2ACwAIAAxADkAOAAuADgAMwAsACAAMQA5ADgALgAzADIALAAgADEAOQA4ACwAIAAxADkANwAuADkAMwAsACAAMQA5ADgALgAyADYALAAgADEAOQA4AC4AMAAxACwAIAAxADkANwAuADUANQAsACAAMQA5ADcALgA3ADgALAAgADEAOQAyAC4ANAA2ACwAIAAxADkANwAuADkAMwAsACAAMQA5ADcALgA4ADUALAAgADEAOQA4AC4AMQAzACwAIAAxADkAOAAuADMAOAAsACAAMQA5ADgALgA0ADQALAAgADEAOQA4AC4ANAA2ACwAIAAxADkAOAAuADkANgAsACAAMQA5ADgALgA4ADQALAAgADEAOQA5AC4AMgA1ACwAIAAyADAAMAAuADEANwAsACAAMgAwADAALgAyADgALAAgADIAMAAwAC4AOQA1ACwAIAAyADAAMQAuADMAOQAsACAAMgAwADEALgA4ADcALAAgADIAMAAyAC4AMQAyACwAIAAyADAAMgAuADAAMgAsACAAMgAwADIALgA3ADUALAAgADIAMAAyAC4ANQA3AFwAbgB9ADsAXABuAFwAbgAvAC8AUwBhAGwAdAAgAEYAbwByAGsAIABTAHQAYQB0AGUAIABQAGEAcgBrACAALQAgAEcAdQBlAHIAbgBzAGUAeQAgAEMAbwB1AG4AdAB5ACwAIABPAEgAIAA0ADAALgAxADMANwA1ADcAMAA4ACwALQA4ADEALgA1ADEAMgAzADQAMAA4AFwAbgBTAGEAbAB0AEYAbwByAGsAUwB0AGEAdABlAFAAYQByAGsAPQBWAFMAVABBAEMASwAoAEUAeAB0AHIAYQAuAFMARgBTAFAAXwAxACwARQB4AHQAcgBhAC4AUwBGAFMAUABfADIAKQA7AFwAbgBcAG4ALwAvAFIAYQBjAGgAZQBsACwAIABOAGUAdgBhAGQAYQAgACAAMwA3AC4ANgAzADkAMQA2ADcALAAtADEAMQA1AC4ANwA1ADQAMQA2ADcAXABuAFIAYQBjAGgAZQBsAE4AZQB2AGEAZABhAD0AXABuACAAIAAgACAAewAxADQANwAwAC4AMgA2ACwAIAAxADQANwAwAC4ANgA1ACwAIAAxADQANwAwAC4AOAA3ACwAIAAxADQANwAxAC4AMQA3ACwAIAAxADQANwAxAC4ANgA1ACwAIAAxADQANwAxAC4AOQA1ACwAIAAxADQANwAyAC4AMwAxACwAIAAxADQANwAyAC4ANgA1ACwAIAAxADQANwAyAC4AOQA2ACwAIAAxADQANwAzAC4ANAAyACwAIAAxADQANwAzAC4ANQA4ACwAIAAxADQANwAzAC4ANwA2ACwAIAAxADQANwA0AC4AMAA2ACwAIAAxADQANwA0AC4AMwA5ACwAIAAxADQANwA0AC4ANgA1ACwAIAAxADQANwA0AC4AOAA4ACwAIAAxADQANwA1AC4AMgAsACAAXAAiAC0AOQA5ADkAOQCgAEkAbgB2AGEAbABpAGQAXAAiACwAIAAxADQANwA1AC4AOQAsACAAMQA0ADcANgAuADEANwAsACAAMQA0ADcANgAuADQAOQAsACAAMQA0ADcANgAuADgANQAsACAAMQA0ADcANwAuADMANAAsACAAMQA0ADcANwAuADgALAAgADEANAA3ADgALgAyADcALAAgADEANAA3ADgALgA2ADMALAAgADEANAA3ADkALgAwADUALAAgADEANAA3ADkALgA0ADcALAAgADEANAA3ADkALgA3ADEALAAgADEANAA4ADAALgAyADUAOwBcAG4AIAAgACAAIAAxADQANgA5AC4AOQA2ACwAIAAxADQANwAwAC4AMgAxACwAIAAxADQANwAwAC4ANgA3ACwAIAAxADQANwAwAC4AOQAzACwAIAAxADQANwAxAC4AMgA3ACwAIAAxADQANwAxAC4ANgAzACwAIAAxADQANwAyAC4AMAA1ACwAIAAxADQANwAyAC4ANAAxACwAIAAxADQANwAyAC4ANwAyACwAIAAxADQANwAzAC4AMAAyACwAIAAxADQANwAzAC4AMgA0ACwAIAAxADQANwAzAC4ANAA0ACwAIAAxADQANwAzAC4ANgA4ACwAIAAxADQANwA0AC4AMAA1ACwAIAAxADQANwA0AC4AMQA3ACwAIAAxADQANwA0AC4ANQA2ACwAIAAxADQANwA0AC4AOQA2ACwAIAAxADQANwA1AC4AMQA0ACwAIAAxADQANwA1AC4ANQA2ACwAIAAxADQANwA1AC4ANwA5ACwAIAAxADQANwA2AC4AMgA5ACwAIAAxADQANwA2AC4ANwA5ACwAIAAxADQANwA3AC4AMQA4ACwAIAAxADQANwA3AC4ANQA0ACwAIAAxADQANwA3AC4AOAA1ACwAIAAxADQANwA4AC4AMgAxACwAIAAxADQANwA4AC4ANQAzACwAIAAxADQANwA5AC4AMAAzACwAIAAxADQANwA5AC4ANgAxACwAIAAxADQAOAAwAC4AMgA3ADsAXABuACAAIAAgACAAMQA0ADYAOQAuADYAOAAsACAAMQA0ADcAMAAuADAANwAsACAAMQA0ADcAMAAuADMAMwAsACAAMQA0ADcAMAAuADYAMwAsACAAMQA0ADcAMQAuADEANQAsACAAMQA0ADcAMQAuADMAOQAsACAAMQA0ADcAMQAuADgAMQAsACAAMQA0ADcAMgAuADAANwAsACAAMQA0ADcAMgAuADMAOAAsACAAMQA0ADcAMgAuADUANgAsACAAMQA0ADcAMgAuADgALAAgADEANAA3ADMALgAxADIALAAgADEANAA3ADMALgA0ADIALAAgADEANAA3ADMALgA1ADkALAAgADEANAA3ADMALgA4ADUALAAgADEANAA3ADQALgAzACwAIAAxADQANwA0AC4ANgA2ACwAIAAxADQANwA0AC4AOAA2ACwAIAAxADQANwA1AC4AMgAyACwAIAAxADQANwA1AC4ANQA3ACwAIAAxADQANwA2AC4AMQA1ACwAIAAxADQANwA2AC4ANAAxACwAIAAxADQANwA2AC4ANgA0ACwAIAAxADQANwA3AC4AMAA0ACwAIAAxADQANwA3AC4AMwA3ACwAIAAxADQANwA3AC4AOAA5ACwAIAAxADQANwA4AC4ANAAzACwAIAAxADQANwA5AC4AMQA5ACwAIAAxADQANwA5AC4ANgAxACwAIAAxADQANwA5AC4AOQA5ADsAXABuACAAIAAgACAAMQA0ADYAOQAuADQAMgAsACAAMQA0ADYAOQAuADYAOAAsACAAMQA0ADcAMAAuADEALAAgAFwAIgAtADkAOQA5ADkAoABJAG4AdgBhAGwAaQBkAFwAIgAsACAAMQA0ADcAMAAuADcANQAsACAAMQA0ADcAMQAuADAAOQAsACAAMQA0ADcAMQAuADUALAAgADEANAA3ADEALgA3ACwAIAAxADQANwAxAC4AOQAyACwAIAAxADQANwAyAC4AMgAyACwAIAAxADQANwAyAC4ANAA2ACwAIAAxADQANwAyAC4ANwA4ACwAIAAxADQANwAyAC4AOQA0ACwAIAAxADQANwAzAC4AMwAsACAAMQA0ADcAMwAuADYAMgAsACAAMQA0ADcANAAsACAAMQA0ADcANAAuADMALAAgADEANAA3ADQALgA1ADkALAAgADEANAA3ADUALgAxADUALAAgADEANAA3ADUALgA0ADkALAAgADEANAA3ADUALgA2ADUALAAgADEANAA3ADUALgA4ADkALAAgADEANAA3ADYALgAzADYALAAgADEANAA3ADcALAAgADEANAA3ADcALgA0ADcALAAgADEANAA3ADcALgA4ADUALAAgADEANAA3ADgALgAzADEALAAgADEANAA3ADgALgA4ADEALAAgADEANAA3ADkALgAyADEALAAgADEANAA3ADkALgAzADUAOwBcAG4AIAAgACAAIAAxADQANgA5AC4AMQA4ACwAIAAxADQANgA5AC4ANQAsACAAMQA0ADYAOQAuADgAOAAsACAAMQA0ADcAMAAuADEANAAsACAAMQA0ADcAMAAuADYAMQAsACAAMQA0ADcAMAAuADgANwAsACAAMQA0ADcAMQAuADEANgAsACAAMQA0ADcAMQAuADMANgAsACAAMQA0ADcAMQAuADUAOAAsACAAMQA0ADcAMQAuADkALAAgADEANAA3ADIALgAwADgALAAgADEANAA3ADIALgA0ADIALAAgADEANAA3ADIALgA2ADgALAAgADEANAA3ADMALgAwADgALAAgADEANAA3ADMALgAzADgALAAgADEANAA3ADMALgA2ADQALAAgADEANAA3ADQALgAwADYALAAgADEANAA3ADQALgA0ADkALAAgADEANAA3ADQALgA4ADMALAAgADEANAA3ADQALgA5ADUALAAgADEANAA3ADUALgAzADUALAAgADEANAA3ADUALgA2ADEALAAgADEANAA3ADYALgAyADIALAAgADEANAA3ADYALgA2ACwAIAAxADQANwA3AC4AMAAxACwAIAAxADQANwA3AC4ANQAxACwAIAAxADQANwA3AC4AOAAzACwAIAAxADQANwA4AC4ANAAzACwAIAAxADQANwA4AC4ANgA3ACwAIAAxADQANwA4AC4AOAAxADsAXABuACAAIAAgACAAMQA0ADYAOAAuADkAMgAsACAAMQA0ADYAOQAuADMALAAgADEANAA2ADkALgA3ACwAIAAxADQANwAwAC4AMAA2ACwAIAAxADQANwAwAC4AMgA5ACwAIAAxADQANwAwAC4ANQAzACwAIAAxADQANwAwAC4ANwA4ACwAIAAxADQANwAxAC4AMAA0ACwAIAAxADQANwAxAC4AMwAsACAAMQA0ADcAMQAuADUANAAsACAAMQA0ADcAMQAuADgALAAgADEANAA3ADIALgAxACwAIAAxADQANwAyAC4ANAAyACwAIAAxADQANwAyAC4AOAA4ACwAIAAxADQANwAzAC4AMAAyACwAIAAxADQANwAzAC4AMwA4ACwAIAAxADQANwAzAC4AOQA4ACwAIAAxADQANwA0AC4AMQA1ACwAIAAxADQANwA0AC4AMgA5ACwAIAAxADQANwA0AC4ANQA1ACwAIAAxADQANwA1AC4AMAA5ACwAIAAxADQANwA1AC4ANAA1ACwAIAAxADQANwA1AC4AOAAyACwAIAAxADQANwA2AC4AMgAsACAAMQA0ADcANgAuADUAMQAsACAAMQA0ADcANgAuADgAOQAsACAAMQA0ADcANwAuADIAOQAsACAAMQA0ADcANwAuADkANQAsACAAMQA0ADcANwAuADkANwAsACAAMQA0ADcAOAAuADYAMwA7AFwAbgAgACAAIAAgADEANAA2ADgALgA3ADYALAAgADEANAA2ADkALgAxADEALAAgADEANAA2ADkALgA0ADkALAAgADEANAA2ADkALgA3ADMALAAgADEANAA3ADAALgAwADQALAAgADEANAA3ADAALgAyADQALAAgADEANAA3ADAALgA0ADMALAAgADEANAA3ADAALgA3ADEALAAgADEANAA3ADAALgA4ADgALAAgADEANAA3ADEALgAzACwAIAAxADQANwAxAC4ANAA2ACwAIAAxADQANwAxAC4AOAA2ACwAIAAxADQANwAyAC4AMwAyACwAIAAxADQANwAyAC4ANAA1ACwAIAAxADQANwAyAC4ANwAxACwAIAAxADQANwAzAC4AMQA0ACwAIAAxADQANwAzAC4ANAA4ACwAIAAxADQANwAzAC4ANgAsACAAMQA0ADcANAAsACAAMQA0ADcANAAuADQANAAsACAAMQA0ADcANAAuADcAMgAsACAAMQA0ADcANQAuADAAMgAsACAAMQA0ADcANQAuADQANAAsACAAMQA0ADcANQAuADgAOAAsACAAMQA0ADcANgAuADAAMQAsACAAMQA0ADcANgAuADQAMwAsACAAMQA0ADcANgAuADgANgAsACAAMQA0ADcANwAuADIAMgAsACAAMQA0ADcANwAuADcAMgAsACAAMQA0ADcAOAAuADMAMgA7AFwAbgAgACAAIAAgADEANAA2ADgALgA2ADgALAAgADEANAA2ADkALgAwADMALAAgADEANAA2ADkALgAzADEALAAgADEANAA2ADkALgA1ADEALAAgADEANAA2ADkALgA3ADYALAAgADEANAA2ADkALgA5ADQALAAgADEANAA3ADAALgAxADkALAAgADEANAA3ADAALgA0ADMALAAgADEANAA3ADAALgA3ADIALAAgADEANAA3ADEALAAgADEANAA3ADEALgAyADIALAAgADEANAA3ADEALgA2ADYALAAgADEANAA3ADEALgA4ACwAIAAxADQANwAyAC4AMgAxACwAIAAxADQANwAyAC4ANAA1ACwAIAAxADQANwAyAC4ANwAyACwAIAAxADQANwAzACwAIAAxADQANwAzAC4AMgA4ACwAIAAxADQANwAzAC4AOAAyACwAIAAxADQANwAzAC4AOQA2ACwAIAAxADQANwA0AC4AMwA2ACwAIAAxADQANwA0AC4ANQA4ACwAIAAxADQANwA1AC4AMAA2ACwAIAAxADQANwA1AC4AMwAsACAAMQA0ADcANQAuADYAMQAsACAAMQA0ADcANgAuADEAMwAsACAAMQA0ADcANgAuADMAOAAsACAAMQA0ADcANgAuADkANgAsACAAMQA0ADcANwAuADMANgAsACAAMQA0ADcANwAuADkANgA7AFwAbgAgACAAIAAgADEANAA2ADgALgA1ADMALAAgADEANAA2ADgALgA3ADQALAAgADEANAA2ADkALgAyADIALAAgADEANAA2ADkALgAyADIALAAgADEANAA2ADkALgAzADQALAAgADEANAA2ADkALgA2ADQALAAgADEANAA2ADkALgA4ACwAIAAxADQANwAwAC4AMQA4ACwAIAAxADQANwAwAC4ANAAsACAAMQA0ADcAMAAuADcANgAsACAAMQA0ADcAMAAuADkANwAsACAAMQA0ADcAMQAuADIANwAsACAAMQA0ADcAMQAuADcAMQAsACAAMQA0ADcAMQAuADgANQAsACAAMQA0ADcAMgAuADAANwAsACAAMQA0ADcAMgAuADQAMQAsACAAMQA0ADcAMgAuADYAMQAsACAAMQA0ADcAMwAuADAANAAsACAAMQA0ADcAMwAuADQALAAgADEANAA3ADMALgA1ADgALAAgADEANAA3ADMALgA5ACwAIAAxADQANwA0AC4AMgA2ACwAIAAxADQANwA0AC4ANQA4ACwAIAAxADQANwA0AC4AOQAyACwAIAAxADQANwA1AC4AMgAxACwAIAAxADQANwA2AC4AMAA5ACwAIAAxADQANwA2AC4AMQA4ACwAIAAxADQANwA2AC4ANQA4ACwAIAAxADQANwA2AC4AOQAyACwAIAAxADQANwA3AC4AMgA4ADsAXABuACAAIAAgACAAMQA0ADYAOAAuADEAMQAsACAAMQA0ADYAOAAuADQANgAsACAAMQA0ADYAOAAuADcAMgAsACAAMQA0ADYAOAAuADcAOAAsACAAMQA0ADYAOQAuADIAMgAsACAAMQA0ADYAOQAuADMALAAgADEANAA2ADkALgA2ADIALAAgADEANAA2ADkALgA4ADYALAAgADEANAA3ADAALgAxACwAIAAxADQANwAwAC4AMwA4ACwAIAAxADQANwAwAC4ANgAzACwAIAAxADQANwAxAC4AMQA1ACwAIAAxADQANwAxAC4AMgAzACwAIAAxADQANwAxAC4ANQA1ACwAIAAxADQANwAxAC4ANgA5ACwAIAAxADQANwAxAC4AOQAzACwAIAAxADQANwAyAC4ANAAzACwAIAAxADQANwAyAC4ANwAyACwAIAAxADQANwAyAC4AOQAsACAAMQA0ADcAMwAuADEAOAAsACAAMQA0ADcAMwAuADUANAAsACAAMQA0ADcAMwAuADcANgAsACAAMQA0ADcANAAuADIAMgAsACAAMQA0ADcANAAuADUANgAsACAAMQA0ADcANAAuADgAOQAsACAAMQA0ADcANQAuADQAMQAsACAAMQA0ADcANQAuADYANgAsACAAMQA0ADcANgAuADEANAAsACAAMQA0ADcANgAuADMANgAsACAAMQA0ADcANgAuADcAOAA7AFwAbgAgACAAIAAgADEANAA2ADcALgA4ADUALAAgADEANAA2ADgALgAxADQALAAgADEANAA2ADgALgAyADYALAAgADEANAA2ADgALgA2ACwAIAAxADQANgA4AC4ANwA4ACwAIAAxADQANgA5AC4AMAA4ACwAIAAxADQANgA5AC4AMwAyACwAIAAxADQANgA5AC4ANQA2ACwAIAAxADQANgA5AC4AOAA0ACwAIAAxADQANwAwAC4AMQA2ACwAIAAxADQANwAwAC4ANQA5ACwAIAAxADQANwAwAC4ANwAzACwAIAAxADQANwAwAC4AOAA1ACwAIAAxADQANwAxAC4AMgAxACwAIAAxADQANwAxAC4AMwAzACwAIAAxADQANwAxAC4ANgAzACwAIAAxADQANwAyAC4AMAA3ACwAIAAxADQANwAyAC4AMwA4ACwAIAAxADQANwAyAC4ANQA4ACwAIAAxADQANwAyAC4AOAA0ACwAIAAxADQANwAzAC4AMQA2ACwAIAAxADQANwAzAC4ANAAyACwAIAAxADQANwAzAC4AOAAyACwAIAAxADQANwA0AC4AMgA4ACwAIAAxADQANwA0AC4ANgAxACwAIAAxADQANwA0AC4AOQA3ACwAIAAxADQANwA1AC4ANAAyACwAIAAxADQANwA1AC4ANwAyACwAIAAxADQANwA2AC4AMQAsACAAMQA0ADcANgAuADkAOwBcAG4AIAAgACAAIAAxADQANgA3AC4ANQAyACwAIAAxADQANgA3AC4ANwA1ACwAIAAxADQANgA4AC4AMQA3ACwAIAAxADQANgA4AC4AMwA3ACwAIAAxADQANgA4AC4ANgAxACwAIAAxADQANgA4AC4ANwA5ACwAIAAxADQANgA5AC4AMQAxACwAIAAxADQANgA5AC4AMgA3ACwAIAAxADQANgA5AC4ANQA2ACwAIAAxADQANgA5AC4AOQA0ACwAIAAxADQANwAwAC4AMQAsACAAMQA0ADcAMAAuADMANAAsACAAMQA0ADcAMAAuADUANgAsACAAMQA0ADcAMAAuADcANwAsACAAMQA0ADcAMAAuADkAMwAsACAAMQA0ADcAMQAuADMANAAsACAAMQA0ADcAMQAuADYAOAAsACAAMQA0ADcAMQAuADgAMwAsACAAMQA0ADcAMgAuADIAOQAsACAAMQA0ADcAMgAuADYAMgAsACAAMQA0ADcAMgAuADgAMgAsACAAMQA0ADcAMwAuADEALAAgADEANAA3ADMALgA1ADMALAAgADEANAA3ADMALgA5ADUALAAgADEANAA3ADQALgAzADMALAAgADEANAA3ADQALgA2ADcALAAgADEANAA3ADUALgAwADEALAAgADEANAA3ADUALgA2ADcALAAgADEANAA3ADYALgAyADQALAAgADEANAA3ADYALgA5ADYAOwBcAG4AIAAgACAAIAAxADQANgA3AC4AMwA2ACwAIAAxADQANgA3AC4ANgA5ACwAIAAxADQANgA4AC4AMAA3ACwAIAAxADQANgA3AC4AOQA3ACwAIAAxADQANgA4AC4ANAAxACwAIAAxADQANgA4AC4ANgAxACwAIAAxADQANgA4AC4AOAAzACwAIAAxADQANgA5AC4AMAA1ACwAIAAxADQANgA5AC4ANAA4ACwAIAAxADQANgA5AC4ANgA0ACwAIAAxADQANgA5AC4AOAA2ACwAIAAxADQANwAwAC4AMQAyACwAIAAxADQANwAwAC4ANAAsACAAMQA0ADcAMAAuADUAMQAsACAAMQA0ADcAMAAuADcAMQAsACAAMQA0ADcAMQAuADEAOAAsACAAMQA0ADcAMQAuADMAOAAsACAAMQA0ADcAMQAuADYANQAsACAAMQA0ADcAMgAuADEAMQAsACAAMQA0ADcAMgAuADIAOAAsACAAMQA0ADcAMgAuADYAMgAsACAAMQA0ADcAMgAuADkAMgAsACAAMQA0ADcAMwAuADMANQAsACAAMQA0ADcAMwAuADgANQAsACAAMQA0ADcANAAuADEAMwAsACAAMQA0ADcANAAuADQAOQAsACAAMQA0ADcANQAuADAANwAsACAAMQA0ADcANQAuADcAOQAsACAAMQA0ADcANgAuADIANAAsACAAMQA0ADcANgAuADgANgA7AFwAbgAgACAAIAAgADEANAA2ADcALgAzADIALAAgADEANAA2ADcALgA1ADMALAAgADEANAA2ADcALgA0ADkALAAgADEANAA2ADcALgA3ADkALAAgADEANAA2ADgALgAxADUALAAgADEANAA2ADgALgAzADcALAAgADEANAA2ADgALgA1ADMALAAgADEANAA2ADgALgA4ADMALAAgADEANAA2ADkALgAxADQALAAgADEANAA2ADkALgA0ADIALAAgADEANAA2ADkALgA3ADQALAAgADEANAA2ADkALgA3ADgALAAgADEANAA2ADkALgA5ADQALAAgADEANAA3ADAALgAyADMALAAgADEANAA3ADAALgA1ADcALAAgADEANAA3ADAALgA4ADQALAAgADEANAA3ADEALgAxADQALAAgADEANAA3ADEALgA0ADMALAAgADEANAA3ADEALgA3ADUALAAgADEANAA3ADIALAAgADEANAA3ADIALgA0ACwAIAAxADQANwAyAC4ANwA2ACwAIAAxADQANwAzAC4AMQAzACwAIAAxADQANwAzAC4ANAA5ACwAIAAxADQANwAzAC4AOAA3ACwAIAAxADQANwA0AC4ANAA1ACwAIAAxADQANwA0AC4AOQA1ACwAIAAxADQANwA1AC4ANQA1ACwAIAAxADQANwA1AC4AOAA4ACwAIAAxADQANwA2AC4AMwA0ADsAXABuACAAIAAgACAAMQA0ADYANwAuADEAMQAsACAAMQA0ADYANwAuADIALAAgADEANAA2ADcALgA0ADIALAAgADEANAA2ADcALgA2ACwAIAAxADQANgA3AC4AOQAxACwAIAAxADQANgA3AC4AOQA1ACwAIAAxADQANgA4AC4AMwAsACAAMQA0ADYAOAAuADUANAAsACAAMQA0ADYAOAAuADcANAAsACAAMQA0ADYAOQAuADQALAAgADEANAA2ADkALgAzADgALAAgADEANAA2ADkALgA0ADIALAAgADEANAA2ADkALgA2ACwAIAAxADQANwAwAC4AMAA1ACwAIAAxADQANwAwAC4AMgA5ACwAIAAxADQANwAwAC4ANQAxACwAIAAxADQANwAwAC4AOAA1ACwAIAAxADQANwAxAC4AMAA3ACwAIAAxADQANwAxAC4ANAAxACwAIAAxADQANwAxAC4ANwA0ACwAIAAxADQANwAyAC4AMQA0ACwAIAAxADQANwAyAC4AMwA4ACwAIAAxADQANwAyAC4ANwA4ACwAIAAxADQANwAzAC4AMgA4ACwAIAAxADQANwAzAC4ANgAxACwAIAAxADQANwA0AC4AMgAxACwAIAAxADQANwA0AC4ANQAzACwAIAAxADQANwA0AC4AOAA5ACwAIAAxADQANwA1AC4AMwAxACwAIAAxADQANwA1AC4AOAAxADsAXABuACAAIAAgACAAMQA0ADYANgAuADcANQAsACAAMQA0ADYANgAuADgAMgAsACAAMQA0ADYANwAuADIALAAgADEANAA2ADcALgAzADgALAAgADEANAA2ADcALgA0ADcALAAgADEANAA2ADcALgA3ADcALAAgADEANAA2ADgALgAwADIALAAgADEANAA2ADgALgAyADYALAAgADEANAA2ADgALgA3ACwAIAAxADQANgA5AC4AMgAsACAAMQA0ADYAOAAuADgANgAsACAAMQA0ADYAOQAuADMAOAAsACAAMQA0ADYAOQAuADUAOAAsACAAMQA0ADYAOQAuADcAOQAsACAAMQA0ADcAMAAuADAAMwAsACAAMQA0ADcAMAAuADEAOQAsACAAMQA0ADcAMAAuADUANwAsACAAMQA0ADcAMAAuADcAOQAsACAAMQA0ADcAMQAuADEAOQAsACAAMQA0ADcAMQAuADQANAAsACAAMQA0ADcAMQAuADgAOAAsACAAMQA0ADcAMgAuADEAOAAsACAAMQA0ADcAMgAuADUAOAAsACAAMQA0ADcAMwAuADAAOAAsACAAMQA0ADcAMwAuADIAMwAsACAAMQA0ADcAMwAuADYAOQAsACAAMQA0ADcANAAuADAAMwAsACAAMQA0ADcANAAuADUANQAsACAAMQA0ADcANAAuADcANQAsACAAMQA0ADcANQAuADMAMwA7AFwAbgAgACAAIAAgADEANAA2ADYALgA0ADEALAAgADEANAA2ADYALgA2ADYALAAgADEANAA2ADYALgA5ADQALAAgADEANAA2ADcALAAgADEANAA2ADcALgAzADEALAAgADEANAA2ADcALgA0ADcALAAgADEANAA2ADcALgA3ADYALAAgADEANAA2ADgALgAwADgALAAgADEANAA2ADgALgA0ADYALAAgADEANAA2ADgALgA0ADYALAAgADEANAA2ADgALgA2ADQALAAgADEANAA2ADkALgAwADQALAAgADEANAA2ADkALgAyADQALAAgADEANAA2ADkALgA1ADUALAAgADEANAA2ADkALgA1ADUALAAgADEANAA3ADAALgAwADEALAAgADEANAA3ADAALgAyADMALAAgAFwAIgAtADkAOQA5ADkAoABJAG4AdgBhAGwAaQBkAFwAIgAsACAAMQA0ADcAMAAuADkAMwAsACAAMQA0ADcAMQAuADIANgAsACAAMQA0ADcAMQAuADUAOAAsACAAMQA0ADcAMQAuADkANAAsACAAMQA0ADcAMgAuADMALAAgADEANAA3ADIALgA2ADgALAAgADEANAA3ADMALgAwADEALAAgADEANAA3ADMALgA0ADMALAAgADEANAA3ADMALgA2ADkALAAgADEANAA3ADQALgAwADkALAAgADEANAA3ADQALgAzADkALAAgADEANAA3ADQALgA3ADkAOwBcAG4AIAAgACAAIAAxADQANgA2AC4AMgAyACwAIAAxADQANgA2AC4ANAA2ACwAIAAxADQANgA2AC4ANgAsACAAMQA0ADYANgAuADgANAAsACAAMQA0ADYANwAuADAAMgAsACAAMQA0ADYANwAuADIANAAsACAAMQA0ADYANwAuADYAOQAsACAAMQA0ADYANwAuADcAMwAsACAAMQA0ADYAOAAsACAAMQA0ADYAOAAuADEANgAsACAAMQA0ADYAOAAuADQANwAsACAAMQA0ADYAOAAuADcAOQAsACAAMQA0ADYAOQAuADAAMwAsACAAMQA0ADYAOQAuADEALAAgADEANAA2ADkALgAzACwAIAAxADQANgA5AC4ANgA0ACwAIAAxADQANwAwACwAIAAxADQANwAwAC4AMwAsACAAMQA0ADcAMAAuADYAOAAsACAAMQA0ADcAMAAuADkANAAsACAAMQA0ADcAMQAuADQAMgAsACAAMQA0ADcAMQAuADYAOAAsACAAMQA0ADcAMQAuADkAOQAsACAAMQA0ADcAMgAuADQANQAsACAAMQA0ADcAMgAuADcANwAsACAAMQA0ADcAMwAuADEANQAsACAAMQA0ADcAMwAuADQANQAsACAAMQA0ADcAMwAuADcAMwAsACAAMQA0ADcAMwAuADkANAAsACAAMQA0ADcANAAuADIAOAA7AFwAbgAgACAAIAAgADEANAA2ADYALgAwADYALAAgADEANAA2ADYALgAyADQALAAgADEANAA2ADYALgA0ADQALAAgADEANAA2ADYALgA1ADIALAAgADEANAA2ADYALgA4ADQALAAgADEANAA2ADcALAAgADEANAA2ADcALgAzADUALAAgADEANAA2ADcALgA0ADcALAAgADEANAA2ADcALgA2ADQALAAgADEANAA2ADgALgAwADIALAAgADEANAA2ADgALgAyADcALAAgADEANAA2ADgALgA0ADUALAAgADEANAA2ADgALgA2ADEALAAgADEANAA2ADgALgA4ADIALAAgADEANAA2ADkALgAwADIALAAgADEANAA2ADkALgA0ACwAIAAxADQANgA5AC4AOAAyACwAIAAxADQANwAwAC4AMQA0ACwAIAAxADQANwAwAC4AMwA2ACwAIAAxADQANwAwAC4AOAAyACwAIAAxADQANwAxAC4AMAA0ACwAIAAxADQANwAxAC4AMwA0ACwAIAAxADQANwAxAC4ANwA1ACwAIAAxADQANwAyAC4AMgA1ACwAIAAxADQANwAyAC4AMwA5ACwAIAAxADQANwAyAC4AOQAzACwAIAAxADQANwAzAC4AMAA5ACwAIAAxADQANwAzAC4AMwA1ACwAIAAxADQANwAzAC4ANQA4ACwAIAAxADQANwAzAC4AOQA7AFwAbgAgACAAIAAgADEANAA2ADUALgA4ADcALAAgADEANAA2ADUALgA5ADIALAAgADEANAA2ADYALgAxADQALAAgADEANAA2ADYALgA1ADIALAAgADEANAA2ADYALgA1ADUALAAgADEANAA2ADYALgA4ADkALAAgADEANAA2ADcALgAwADcALAAgADEANAA2ADcALgAyADcALAAgADEANAA2ADcALgA1ADYALAAgADEANAA2ADcALgA5ACwAIAAxADQANgA4AC4AMAA1ACwAIAAxADQANgA4AC4AMQAzACwAIAAxADQANgA4AC4AMgA3ACwAIAAxADQANgA4AC4ANQAxACwAIAAxADQANgA4AC4AOAAxACwAIAAxADQANgA5AC4AMQA5ACwAIAAxADQANgA5AC4ANAA3ACwAIAAxADQANgA5AC4AOQA1ACwAIAAxADQANwAwAC4AMgA5ACwAIAAxADQANwAwAC4ANQAzACwAIAAxADQANwAwAC4ANwAxACwAIAAxADQANwAxAC4AMQAzACwAIAAxADQANwAxAC4ANAA5ACwAIAAxADQANwAxAC4AOAA1ACwAIAAxADQANwAyAC4AMgA4ACwAIAAxADQANwAyAC4ANAA2ACwAIAAxADQANwAyAC4ANgA3ACwAIAAxADQANwAzAC4AMAAxACwAIAAxADQANwAzAC4AMgA0ACwAIAAxADQANwAzAC4ANQA4ADsAXABuACAAIAAgACAAMQA0ADYANQAuADUAMwAsACAAMQA0ADYANQAuADcANgAsACAAMQA0ADYANgAuADAAMgAsACAAMQA0ADYANgAuADEALAAgADEANAA2ADYALgAzADEALAAgADEANAA2ADYALgA2ADcALAAgADEANAA2ADYALgA3ADEALAAgADEANAA2ADcALgAwADkALAAgADEANAA2ADcALgAyADgALAAgADEANAA2ADcALgA2ADIALAAgADEANAA2ADcALgA2ADMALAAgADEANAA2ADcALgA4ADMALAAgADEANAA2ADcALgA5ADUALAAgADEANAA2ADgALgAyADcALAAgADEANAA2ADgALgA1ADMALAAgADEANAA2ADgALgA5ADEALAAgADEANAA2ADkALgAyADEALAAgADEANAA2ADkALgA1ADkALAAgADEANAA2ADkALgA4ADUALAAgADEANAA3ADAALgAwADUALAAgADEANAA3ADAALgA1ADcALAAgADEANAA3ADAALgA3ADcALAAgADEANAA3ADEALgAxADcALAAgADEANAA3ADEALgA2ADEALAAgADEANAA3ADEALgA5ACwAIAAxADQANwAyAC4AMQA4ACwAIAAxADQANwAyAC4ANAA3ACwAIAAxADQANwAyAC4ANwA1ACwAIAAxADQANwAyAC4AOQA4ACwAIAAxADQANwAzAC4AMgA7AFwAbgAgACAAIAAgADEANAA2ADUALgAzADcALAAgADEANAA2ADUALgA0ADgALAAgADEANAA2ADUALgA3ADQALAAgADEANAA2ADUALgA4ADYALAAgADEANAA2ADYALgAyADcALAAgADEANAA2ADYALgAyADcALAAgADEANAA2ADYALgA1ADEALAAgADEANAA2ADYALgA3ADcALAAgADEANAA2ADcALgAwADgALAAgADEANAA2ADcALgAyADQALAAgADEANAA2ADcALgAyADkALAAgADEANAA2ADcALgA0ADcALAAgADEANAA2ADcALgA2ADcALAAgADEANAA2ADgALgAwADMALAAgADEANAA2ADgALgAyADMALAAgADEANAA2ADgALgA1ADcALAAgADEANAA2ADkALgAwADcALAAgADEANAA2ADkALgAyADkALAAgADEANAA2ADkALgA1ADUALAAgADEANAA2ADkALgA4ADUALAAgADEANAA3ADAALgAyADMALAAgADEANAA3ADAALgA0ADkALAAgADEANAA3ADAALgA4ADkALAAgADEANAA3ADEALgAzADEALAAgADEANAA3ADEALgA1ACwAIAAxADQANwAxAC4AOAA4ACwAIAAxADQANwAyAC4AMAAzACwAIAAxADQANwAyAC4AMwA3ACwAIAAxADQANwAyAC4ANQA2ACwAIAAxADQANwAyAC4AOAA2ADsAXABuACAAIAAgACAAMQA0ADYANQAuADAANAAsACAAMQA0ADYANQAuADIAOQAsACAAMQA0ADYANQAuADQAOQAsACAAMQA0ADYANQAuADcAMQAsACAAMQA0ADYANgAuADAAMwAsACAAMQA0ADYANgAuADAANQAsACAAMQA0ADYANgAuADIAMgAsACAAMQA0ADYANgAuADUANAAsACAAMQA0ADYANgAuADgANQAsACAAMQA0ADYANgAuADkAMQAsACAAMQA0ADYANwAuADAAMQAsACAAMQA0ADYANwAuADIAMwAsACAAMQA0ADYANwAuADQANQAsACAAMQA0ADYANwAuADcAMwAsACAAMQA0ADYANwAuADkANQAsACAAMQA0ADYAOAAuADQANAAsACAAMQA0ADYAOAAuADcANAAsACAAMQA0ADYAOAAuADkALAAgADEANAA2ADkALgAyADQALAAgADEANAA2ADkALgA1ADQALAAgADEANAA2ADkALgA5ADIALAAgADEANAA3ADAALgAyACwAIAAxADQANwAwAC4ANQA5ACwAIAAxADQANwAwAC4AOQAzACwAIAAxADQANwAxAC4AMQA3ACwAIAAxADQANwAxAC4ANQA1ACwAIAAxADQANwAxAC4ANwAsACAAMQA0ADcAMQAuADkAOAAsACAAMQA0ADcAMgAuADIAMwAsACAAMQA0ADcAMgAuADQANQA7AFwAbgAgACAAIAAgADEANAA2ADQALgA3ADgALAAgADEANAA2ADUALgAwADkALAAgADEANAA2ADUALgAyADkALAAgADEANAA2ADUALgA1ADUALAAgADEANAA2ADUALgA3ADMALAAgADEANAA2ADUALgA2ADkALAAgADEANAA2ADYALgAwADgALAAgADEANAA2ADYALgAzADgALAAgADEANAA2ADYALgA1ADkALAAgADEANAA2ADYALgA2ADEALAAgADEANAA2ADYALgA3ADUALAAgADEANAA2ADYALgA5ADcALAAgADEANAA2ADcALgAxADUALAAgADEANAA2ADcALgA0ADcALAAgADEANAA2ADcALgA3ADkALAAgADEANAA2ADgALgAxADIALAAgADEANAA2ADgALgAzADYALAAgADEANAA2ADgALgA2ACwAIAAxADQANgA4AC4AOQA4ACwAIAAxADQANgA5AC4AMgA0ACwAIAAxADQANgA5AC4ANgAyACwAIAAxADQANgA5AC4AOAA4ACwAIAAxADQANwAwAC4AMgA1ACwAIAAxADQANwAwAC4ANgAzACwAIAAxADQANwAwAC4AOAA1ACwAIAAxADQANwAxAC4AMQAxACwAIAAxADQANwAxAC4AMwA2ACwAIAAxADQANwAxAC4ANgA4ACwAIAAxADQANwAxAC4AOAA3ACwAIAAxADQANwAyAC4AMQA5ADsAXABuACAAIAAgACAAMQA0ADYANAAuADcALAAgADEANAA2ADQALgA5ADEALAAgADEANAA2ADUALgAxADcALAAgADEANAA2ADUALgAzADkALAAgADEANAA2ADUALgA0ADcALAAgADEANAA2ADUALgA1ADMALAAgADEANAA2ADUALgA5ADIALAAgADEANAA2ADYALgAzACwAIAAxADQANgA2AC4AMwA5ACwAIAAxADQANgA2AC4AMwAxACwAIAAxADQANgA2AC4ANAA1ACwAIAAxADQANgA3AC4ANAA1ACwAIAAxADQANgA2AC4AMgA1ACwAIAAxADQANgA3AC4AMwA1ACwAIAAxADQANgA3AC4ANQA3ACwAIAAxADQANgA3AC4AOAA4ACwAIAAxADQANgA4AC4AMQA4ACwAIAAxADQANgA4AC4ANAA4ACwAIAAxADQANgA5AC4AMwAsACAAMQA0ADYAOQAuADAANAAsACAAMQA0ADYAOQAuADQALAAgADEANAA2ADkALgA3ACwAIAAxADQANwAwAC4AMAA5ACwAIAAxADQANwAwAC4AMwA5ACwAIAAxADQANwAwAC4ANgAxACwAIAAxADQANwAwAC4AOQAzACwAIAAxADQANwAxAC4AMQA4ACwAIAAxADQANwAxAC4ANAA2ACwAIAAxADQANwAxAC4ANwAxACwAIAAxADQANwAyAC4AMAAzADsAXABuACAAIAAgACAAMQA0ADYANAAuADUANAAsACAAMQA0ADYANAAuADgANwAsACAAMQA0ADYANAAuADkAMwAsACAAMQA0ADYANQAuADAAOQAsACAAMQA0ADYANQAuADAANwAsACAAMQA0ADYANQAuADMAOQAsACAAMQA0ADYANQAuADcAOAAsACAAMQA0ADYANQAuADkAOAAsACAAMQA0ADYANQAuADkALAAgADEANAA2ADUALgA5ADYALAAgADEANAA2ADYALgAwADMALAAgADEANAA2ADYALgA0ADcALAAgADEANAA2ADYALgA3ADUALAAgADEANAA2ADcALgAwADkALAAgADEANAA2ADcALgAzADEALAAgADEANAA2ADcALgA1ADcALAAgADEANAA2ADcALgA5ADUALAAgADEANAA2ADgALgAyADEALAAgADEANAA2ADgALgA1ADMALAAgADEANAA2ADgALgA3ADgALAAgADEANAA2ADkALgAyADIALAAgADEANAA2ADkALgA2ADgALAAgADEANAA2ADkALgA3ADQALAAgADEANAA3ADAALgAxADYALAAgADEANAA3ADAALgAzADEALAAgADEANAA3ADAALgA2ADMALAAgADEANAA3ADAALgA4ADMALAAgADEANAA3ADEALgAxADMALAAgADEANAA3ADEALgA0ADIALAAgADEANAA3ADEALgA3ADYAOwBcAG4AIAAgACAAIAAxADQANgA0AC4AMgA2ACwAIAAxADQANgA0AC4ANAAxACwAIAAxADQANgA0AC4ANgAxACwAIAAxADQANgA0AC4ANgA3ACwAIAAxADQANgA0AC4AOAAxACwAIAAxADQANgA1AC4AMQAxACwAIAAxADQANgA1AC4ANAA2ACwAIAAxADQANgA1AC4ANQAyACwAIAAxADQANgA2AC4AMQAsACAAMQA0ADYANQAuADcANgAsACAAMQA0ADYANQAuADkANwAsACAAMQA0ADYANgAuADIAMwAsACAAMQA0ADYANgAuADUAMwAsACAAMQA0ADYANgAuADcAOQAsACAAMQA0ADYANwAuADAAMwAsACAAMQA0ADYANwAuADMANwAsACAAMQA0ADYANwAuADcAOQAsACAAMQA0ADYANwAuADkANwAsACAAMQA0ADYAOAAuADMAMQAsACAAMQA0ADYAOAAuADYANgAsACAAMQA0ADYAOAAuADkAOAAsACAAMQA0ADYAOQAuADEAMgAsACAAMQA0ADYAOQAuADUANAAsACAAMQA0ADYAOQAuADkAMgAsACAAMQA0ADcAMAAuADAANQAsACAAMQA0ADcAMAAuADMAMQAsACAAMQA0ADcAMAAuADUANQAsACAAMQA0ADcAMQAuADAANwAsACAAMQA0ADcAMQAuADEAOAAsACAAMQA0ADcAMQAuADQAMgA7AFwAbgAgACAAIAAgADEANAA2ADQALgAxADYALAAgADEANAA2ADQALgAyADcALAAgADEANAA2ADQALgA0ADMALAAgADEANAA2ADQALgAzADcALAAgADEANAA2ADQALgA2ADcALAAgADEANAA2ADQALgA5ADEALAAgADEANAA2ADUALgAxADQALAAgADEANAA2ADUALgAyADQALAAgADEANAA2ADUALgA0ACwAIAAxADQANgA1AC4ANgAsACAAMQA0ADYANQAuADcANQAsACAAMQA0ADYANgAuADAAMwAsACAAMQA0ADYANgAuADIANwAsACAAMQA0ADYANgAuADUANwAsACAAMQA0ADYANgAuADgAMQAsACAAMQA0ADYANwAuADIANwAsACAAMQA0ADYANwAuADUAMQAsACAAMQA0ADYANwAuADcAMwAsACAAMQA0ADYAOAAuADEAOQAsACAAMQA0ADYAOAAuADIAOAAsACAAMQA0ADYAOAAuADYAOAAsACAAMQA0ADYAOQAsACAAMQA0ADYAOQAuADIANAAsACAAMQA0ADYAOQAuADUAMgAsACAAMQA0ADYAOQAuADgANQAsACAAMQA0ADcAMAAuADEAMQAsACAAMQA0ADcAMAAuADMAMwAsACAAMQA0ADcAMAAuADYANwAsACAAMQA0ADcAMAAuADgALAAgADEANAA3ADEALgAyADsAXABuACAAIAAgACAAMQA0ADYAMwAuADkAMgAsACAAMQA0ADYAMwAuADkAOQAsACAAMQA0ADYANAAuADAAOQAsACAAMQA0ADYAMwAuADcAMQAsACAAMQA0ADYANAAuADMAOAAsACAAMQA0ADYANAAuADYANgAsACAAMQA0ADYANAAuADcANgAsACAAMQA0ADYANQAuADAAMgAsACAAMQA0ADYANQAuADEAMgAsACAAMQA0ADYANQAuADMANgAsACAAMQA0ADYANQAuADUANQAsACAAMQA0ADYANQAuADgANQAsACAAMQA0ADYANgAuADAAOQAsACAAMQA0ADYANgAuADQANwAsACAAMQA0ADYANgAuADYANQAsACAAMQA0ADYANgAuADkAMwAsACAAMQA0ADYANwAuADIAOQAsACAAMQA0ADYANwAuADUANgAsACAAMQA0ADYANwAuADkAOAAsACAAMQA0ADYAOAAuADIAOAAsACAAMQA0ADYAOAAuADQAOAAsACAAMQA0ADYAOAAuADYANgAsACAAMQA0ADYAOAAuADkAOAAsACAAMQA0ADYAOQAuADQAMgAsACAAMQA0ADYAOQAuADQANgAsACAAMQA0ADcAMAAuADEANAAsACAAMQA0ADcAMAAuADEAMgAsACAAMQA0ADcAMAAuADQANgAsACAAMQA0ADcAMAAuADUANAAsACAAMQA0ADcAMAAuADYAMgA7AFwAbgAgACAAIAAgADEANAA2ADMALgA2ADYALAAgADEANAA2ADMALgA2ADcALAAgADEANAA2ADMALgA3ADUALAAgADEANAA2ADMALgA2ADEALAAgADEANAA2ADQALgAyADIALAAgADEANAA2ADQALgAzADIALAAgADEANAA2ADQALgA1ADQALAAgADEANAA2ADQALgA3ADYALAAgADEANAA2ADQALgA5ADIALAAgADEANAA2ADUALgAxADQALAAgADEANAA2ADUALgAzADcALAAgADEANAA2ADUALgA3ADEALAAgADEANAA2ADUALgA5ADEALAAgADEANAA2ADYALgAyADcALAAgADEANAA2ADYALgA0ADMALAAgADEANAA2ADYALgA3ADMALAAgADEANAA2ADcALgAwADcALAAgADEANAA2ADcALgAzADQALAAgADEANAA2ADcALgA2ADgALAAgADEANAA2ADcALgA4ADYALAAgADEANAA2ADgALgAxADYALAAgADEANAA2ADgALgAzADYALAAgADEANAA2ADgALgA3ADgALAAgADEANAA2ADgALgA5ADQALAAgADEANAA2ADkALgAzADIALAAgADEANAA2ADkALgA1ADgALAAgADEANAA2ADkALgA3ADIALAAgADEANAA3ADAALgAxADYALAAgADEANAA2ADkALgA3ADQALAAgADEANAA3ADAALgA5ADIAXABuAH0AOwBcAG4AXABuAC8ALwBTAG8AbQBlAHcAaABlAHIAZQAgAGkAbgAgAHQAaABlACAATgBlAHcAIABNAGUAeABpAGMAbwAgAGQAZQBzAGUAcgB0ACAAbgBlAGEAcgAgAEMAbwByAG8AbgBhACAAMwAzAC4AOQA1ADAAMwAzADcALAAtADEAMAA1AC4AMwAxADMAOQAxAFwAbgBDAG8AcgBvAG4AYQBOAGUAdwBNAGUAeABpAGMAbwA9AFYAUwBUAEEAQwBLACgARQB4AHQAcgBhAC4ATgBNAF8AMQAsAEUAeAB0AHIAYQAuAE4ATQBfADIAKQA7ACIAfQAsAHsAIgBwAGEAdABoACIAOgAiAC8AcAByAG8AagBlAGMAdABzAC8ATABlAGcAZQBuAGQAIgAsACIAdABlAHgAdAAiADoAIgAvAC8ALQAtAEQAeQBuAGEAbQBpAGMAIABMAGUAZwBlAG4AZAAtAC0AXABuAC8ALwBFAGEAYwBoACAAbQBlAHQAcgBpAGMAJwBzACAAbABlAGcAZQBuAGQAIABpAHMAIABzAHQAbwByAGUAZAAgAGEAcwAgAGEAIABjAG8AbgBzAHQAYQBuAHQALAAgAHQAaAB1AG4AawBlAGQALAAgAGEAbgBkACAAdQBuAHAAYQBjAGsAZQBkACAAdwBpAHQAaAAgAFgATABPAE8ASwBVAFAAIAB3AGgAZQByAGUAIABuAGUAZQBkAGUAZAAuAFwAbgBcAG4ALwAvAFMAbABvAHAAZQAgACgAcgBhAGQAaQBhAG4AcwApAFwAbgAgACAAIAAgAFMAbABvAHAAZQBSAD0AXABuACAAIAAgACAARABlAGYAZQByALsDKAB7AFwAIgBlIiAAMQAuADAAXAAiACwAIABcACIAVgBlAHIAeQAgAHMAdABlAGUAcAAgAHQAZQByAHIAYQBpAG4AXAAiADsAXABuACAAIAAgACAAXAAiAGUiIAAwAC4ANgBcACIALAAgAFwAIgBTAHQAZQBlAHAAIABzAGwAbwBwAGUAXAAiADsAXABuACAAIAAgACAAXAAiAGUiIAAwAC4AMwBcACIALAAgAFwAIgBNAG8AZABlAHIAYQB0AGUAIABzAGwAbwBwAGUAXAAiADsAXABuACAAIAAgACAAXAAiAGUiIAAwAC4AMQA1AFwAIgAsACAAXAAiAEcAZQBuAHQAbABlACAAcwBsAG8AcABlAFwAIgA7AFwAbgAgACAAIAAgAFwAIgA8ACAAMAAuADEANQBcACIALAAgAFwAIgBGAGwAYQB0ACAAdABlAHIAcgBhAGkAbgBcACIAfQApADsAXABuAFwAbgAvAC8AUwBsAG8AcABlACAAKABkAGUAZwByAGUAZQBzACkAXABuACAAIAAgACAAUwBsAG8AcABlAEQAZQBnAD0AXABuACAAIAAgACAARABlAGYAZQByALsDKAB7AFwAIgBlIiAANQA3ALAAXAAiACwAIABcACIAVgBlAHIAeQAgAHMAdABlAGUAcAAgAHQAZQByAHIAYQBpAG4AXAAiADsAXABuACAAIAAgACAAXAAiAGUiIAAzADQAsABcACIALAAgAFwAIgBTAHQAZQBlAHAAIABzAGwAbwBwAGUAXAAiADsAXABuACAAIAAgACAAXAAiAGUiIAAxADcAsABcACIALAAgAFwAIgBNAG8AZABlAHIAYQB0AGUAIABzAGwAbwBwAGUAXAAiADsAXABuACAAIAAgACAAXAAiAGUiIAA4AC4ANgCwAFwAIgAsACAAXAAiAEcAZQBuAHQAbABlACAAcwBsAG8AcABlAFwAIgA7AFwAbgAgACAAIAAgAFwAIgA8ACAAOAAuADYAsABcACIALAAgAFwAIgBGAGwAYQB0ACAAdABlAHIAcgBhAGkAbgBcACIAfQApADsAXABuAFwAbgAvAC8AQQBzAHAAZQBjAHQAIAAoAHIAYQBkAGkAYQBuAHMAKQBcAG4AIAAgACAAIABBAHMAcABlAGMAdABSAD0AXABuACAAIAAgACAARABlAGYAZQByALsDKAB7AFwAIgAtADEAXAAiACwAXAAiAEwAZQB2AGUAbAAgAFMAdQByAGYAYQBjAGUAXAAiADsAXABuACAAIAAgACAAXAAiADAAIAB0AG8AIAAxAC4AMgA2ACAALQAgAE4AbwByAHQAaABcACIALAAgAFwAIgAwACAAdABvACAANwAyALAAXAAiADsAXABuACAAIAAgACAAXAAiADEALgAyADYAIAB0AG8AIAAyAC4ANQAxACAALQAgAEUAYQBzAHQAXAAiACwAIABcACIANwAyALAAIAB0AG8AIAAxADQANACwAFwAIgA7AFwAbgAgACAAIAAgAFwAIgAyAC4ANQAxACAAdABvACAAMwAuADcANwAgAC0AIABTAG8AdQB0AGgAXAAiACwAIABcACIAMQA0ADQAsAAgAHQAbwAgADIAMQA2ALAAXAAiADsAXABuACAAIAAgACAAXAAiADMALgA3ADcAIAB0AG8AIAA1AC4AMAAzACAALQAgAFcAZQBzAHQAXAAiACwAIABcACIAMgAxADYAsAAgAHQAbwAgADIAOAA4ALAAXAAiADsAXABuACAAIAAgACAAXAAiADUALgAwADMAIAB0AG8AIAA2AC4AMgA4ACAALQAgAE4AbwByAHQAaAB3AGUAcwB0AFwAIgAsACAAXAAiADIAOAA4ALAAIAB0AG8AIAAzADYAMACwAFwAIgB9ACkAOwBcAG4AXABuAC8ALwBDAHUAcgB2AGEAdAB1AHIAZQBcAG4AIAAgACAAIABDAHUAcgB2AGEAdAB1AHIAZQA9AFwAbgAgACAAIAAgAEQAZQBmAGUAcgC7AygAewBcACIAZCIgAC0AMQAuADAAXAAiACwAIABcACIAQwBvAG4AYwBhAHYAZQAgACgAcwB0AHIAbwBuAGcAKQBcACIAOwBcAG4AIAAgACAAIABcACIALQAxAC4AMAAgAHQAbwAgAC0AMAAuADIAXAAiACwAIABcACIAQwBvAG4AYwBhAHYAZQAgACgAZwBlAG4AdABsAGUAKQBcACIAOwBcAG4AIAAgACAAIABcACIALQAwAC4AMgAgAHQAbwAgADAALgAyAFwAIgAsACAAXAAiAEYAbABhAHQAIAAvACAATgBlAHUAdAByAGEAbABcACIAOwBcAG4AIAAgACAAIABcACIAMAAuADIAIAB0AG8AIAAxAC4AMABcACIALAAgAFwAIgBDAG8AbgB2AGUAeAAgACgAZwBlAG4AdABsAGUAKQBcACIAOwBcAG4AIAAgACAAIABcACIAZSIgADEALgAwAFwAIgAsACAAXAAiAEMAbwBuAHYAZQB4ACAAKABzAHQAcgBvAG4AZwApAFwAIgB9ACkAOwBcAG4AXABuAC8ALwBQAHIAbwBmAGkAbABlACAAQwB1AHIAdgBhAHQAdQByAGUAXABuACAAIAAgACAAUAByAG8AQwB1AHIAdgBhAHQAdQByAGUAPQBcAG4AIAAgACAAIABEAGUAZgBlAHIAuwMoAHsAXAAiAGQiIAAtADEALgAwAFwAIgAsACAAXAAiAFMAdAByAG8AbgBnACAAZABlAGMAZQBsAGUAcgBhAHQAaQBvAG4AXAAiADsAXABuACAAIAAgACAAXAAiAC0AMQAuADAAIAB0AG8AIAAtADAALgAyAFwAIgAsACAAXAAiAEcAZQBuAHQAbABlACAAZABlAGMAZQBsAGUAcgBhAHQAaQBvAG4AXAAiADsAXABuACAAIAAgACAAXAAiAC0AMAAuADIAIAB0AG8AIAAwAC4AMgBcACIALAAgAFwAIgBOAGUAdQB0AHIAYQBsACAALwAgAGMAbwBuAHMAdABhAG4AdAAgAGYAbABvAHcAXAAiADsAXABuACAAIAAgACAAXAAiADAALgAyACAAdABvACAAMQAuADAAXAAiACwAIABcACIARwBlAG4AdABsAGUAIABhAGMAYwBlAGwAZQByAGEAdABpAG8AbgBcACIAOwBcAG4AIAAgACAAIABcACIAZSIgADEALgAwAFwAIgAsACAAXAAiAFMAdAByAG8AbgBnACAAYQBjAGMAZQBsAGUAcgBhAHQAaQBvAG4AXAAiAH0AKQA7AFwAbgBcAG4ALwAvAEcAcgBhAGQAaQBlAG4AdAAgAE0AYQBnAG4AaQB0AHUAZABlAFwAbgAgACAAIAAgAEcAcgBhAGQAaQBlAG4AdABNAGEAZwA9AFwAbgAgACAAIAAgAEQAZQBmAGUAcgC7AygAewBcACIAZCIgADAALgAwADUAXAAiACwAIABcACIARgBsAGEAdAAgAC8AIABuAGUAYQByAGwAeQAgAGYAbABhAHQAXAAiADsAXABuACAAIAAgACAAXAAiADAALgAwADUALQAwAC4AMgBcACIALAAgAFwAIgBHAGUAbgB0AGwAZQAgAHMAbABvAHAAZQBcACIAOwBcAG4AIAAgACAAIABcACIAMAAuADIALQAwAC4ANQBcACIALAAgAFwAIgBNAG8AZABlAHIAYQB0AGUAIABzAGwAbwBwAGUAXAAiADsAXABuACAAIAAgACAAXAAiADAALgA1AC0AMQAuADAAXAAiACwAIABcACIAUwB0AGUAZQBwACAAcwBsAG8AcABlAFwAIgA7AFwAbgAgACAAIAAgAFwAIgBlIiAAMQAuADAAXAAiACwAIABcACIAVgBlAHIAeQAgAHMAdABlAGUAcAAgAC8AIABjAGwAaQBmAGYAXAAiAH0AKQA7AFwAbgBcAG4ALwAvAEgAaQBsAGwAcwBoAGEAZABlAFwAbgAgACAAIAAgAEgAaQBsAGwAcwBoAGEAZABlAD0AXABuACAAIAAgACAARABlAGYAZQByALsDKAB7AFwAIgBkIiAANQAwAFwAIgAsACAAXAAiAEQAZQBlAHAAIABzAGgAYQBkAG8AdwBcACIAOwBcAG4AIAAgACAAIABcACIANQAxAC0AMQAwADAAXAAiACwAIABcACIAUwBoAGEAZABvAHcAZQBkACAAcwBsAG8AcABlAFwAIgA7AFwAbgAgACAAIAAgAFwAIgAxADAAMQAtADEANQAwAFwAIgAsACAAXAAiAE4AZQB1AHQAcgBhAGwAIAB0AGUAcgByAGEAaQBuAFwAIgA7AFwAbgAgACAAIAAgAFwAIgAxADUAMQAtADIAMAAwAFwAIgAsACAAXAAiAFMAdQBuAGwAaQB0ACAAcwBsAG8AcABlAFwAIgA7AFwAbgAgACAAIAAgAFwAIgBlIiAAMgAwADEAXAAiACwAIABcACIAQgByAGkAZwBoAHQAIABoAGkAZwBoAGwAaQBnAGgAdABcACIAfQApADsAXABuAFwAbgAvAC8AUgBvAHUAZwBoAG4AZQBzAHMAXABuACAAIAAgACAAUgBvAHUAZwBoAG4AZQBzAHMAPQBcAG4AIAAgACAAIABEAGUAZgBlAHIAuwMoAHsAXAAiAGQiIAA1ADAAXAAiACwAIABcACIARgBsAGEAdAAgAC8AIABzAG0AbwBvAHQAaAAgAHQAZQByAHIAYQBpAG4AXAAiADsAXABuACAAIAAgACAAXAAiADUAMAAtADIAMAAwAFwAIgAsACAAXAAiAEcAZQBuAHQAbABlACAAdABlAHgAdAB1AHIAZQBcACIAOwBcAG4AIAAgACAAIABcACIAMgAwADAALQA1ADAAMABcACIALAAgAFwAIgBNAG8AZABlAHIAYQB0AGUAIAByAHUAZwBnAGUAZABuAGUAcwBzAFwAIgA7AFwAbgAgACAAIAAgAFwAIgA1ADAAMAAtADEAMAAwADAAXAAiACwAIABcACIAUgB1AGcAZwBlAGQAIAB0AGUAcgByAGEAaQBuAFwAIgA7AFwAbgAgACAAIAAgAFwAIgBlIiAAMQAwADAAMABcACIALAAgAFwAIgBIAGkAZwBoAGwAeQAgAHIAdQBnAGcAZQBkACAALwAgAGoAYQBnAGcAZQBkAFwAIgB9ACkAOwBcAG4AXABuAC8ALwBaAFQAUABJAFwAbgAgACAAIAAgAFoAVABQAEkAPQBcAG4AIAAgACAAIABEAGUAZgBlAHIAuwMoAHsAXAAiAGQiIAAtADEALgAwAFwAIgAsACAAXAAiAFYAYQBsAGwAZQB5ACAALwAgAGQAZQBwAHIAZQBzAHMAaQBvAG4AXAAiADsAXABuACAAIAAgACAAXAAiAC0AMQAuADAAIAB0AG8AIAAtADAALgAyADUAXAAiACwAIABcACIATABvAHcAZQByACAAcwBsAG8AcABlAFwAIgA7AFwAbgAgACAAIAAgAFwAIgAtADAALgAyADUAIAB0AG8AIAAwAC4AMgA1AFwAIgAsACAAXAAiAEYAbABhAHQAIAAvACAAbQBpAGQALQBzAGwAbwBwAGUAXAAiADsAXABuACAAIAAgACAAXAAiADAALgAyADUAIAB0AG8AIAAxAC4AMABcACIALAAgAFwAIgBVAHAAcABlAHIAIABzAGwAbwBwAGUAXAAiADsAXABuACAAIAAgACAAXAAiAGUiIAAxAC4AMABcACIALAAgAFwAIgBSAGkAZABnAGUAIAAvACAAcABlAGEAawBcACIAfQApADsAXABuAFwAbgAvAC8AUwB0AGEAYwBrAGUAZAAgAHQAaAB1AG4AawBzACAALQAgAEMAbABhAHMAcwBpAGYAeQAgAGQAbwBlAHMAIABuAG8AdAAgAGgAYQB2AGUAIABhACAAbABlAGcAZQBuAGQAIAAoAEkAdAAgAHUAcwBlAHMAIABUAGUAcgByAGEAaQBuACAAUwB1AG0AbQBhAHIAeQApAC4AIABBACAAZgBpAGwAbABlAHIAXABuAC8ALwBlAG4AdAByAHkAIABpAHMAIABhAGQAZABlAGQAIAB0AG8AIABhAHMAcwB1AGEAZwBlACAAdABoAGUAIABsAG8AbwBrAHUAcAAuAFwAbgAgACAAIAAgAEUAbgB0AHIAaQBlAHMAIAA9ACAAVgBTAFQAQQBDAEsAKABcAG4AIAAgACAAIAAgACAAIAAgACAAIAAgACAAIAAgACAAIABMAGUAZwBlAG4AZAAuAEEAcwBwAGUAYwB0AFIALABcAG4AIAAgACAAIAAgACAAIAAgACAAIAAgACAAIAAgACAAIABcACIAQwBsAGEAcwBzAGkAZgB5AFwAIgAsAFwAbgAgACAAIAAgACAAIAAgACAAIAAgACAAIAAgACAAIAAgAEwAZQBnAGUAbgBkAC4AQwB1AHIAdgBhAHQAdQByAGUALABcAG4AIAAgACAAIAAgACAAIAAgACAAIAAgACAAIAAgACAAIABMAGUAZwBlAG4AZAAuAEcAcgBhAGQAaQBlAG4AdABNAGEAZwAsAFwAbgAgACAAIAAgACAAIAAgACAAIAAgACAAIAAgACAAIAAgAEwAZQBnAGUAbgBkAC4ASABpAGwAbABzAGgAYQBkAGUALABcAG4AIAAgACAAIAAgACAAIAAgACAAIAAgACAAIAAgACAAIABMAGUAZwBlAG4AZAAuAFAAcgBvAEMAdQByAHYAYQB0AHUAcgBlACwAXABuACAAIAAgACAAIAAgACAAIAAgACAAIAAgACAAIAAgACAATABlAGcAZQBuAGQALgBSAG8AdQBnAGgAbgBlAHMAcwAsAFwAbgAgACAAIAAgACAAIAAgACAAIAAgACAAIAAgACAAIAAgAEwAZQBnAGUAbgBkAC4AUwBsAG8AcABlAEQAZQBnACwAXABuACAAIAAgACAAIAAgACAAIAAgACAAIAAgACAAIAAgACAATABlAGcAZQBuAGQALgBTAGwAbwBwAGUAUgAsAFwAbgAgACAAIAAgACAAIAAgACAAIAAgACAAIAAgACAAIAAgAEwAZQBnAGUAbgBkAC4AWgBUAFAASQApADsAXABuAFwAbgAvAC8ATABlAGcAZQBuAGQAIABwAGwAYQBjAGUAZAAgAGEAdAAgAHMAaABlAGUAdAAgAGwAZQB2AGUAbABcAG4AIAAgACAAIABEAHkAbgBhAG0AaQBjACAAPQBJAEYARQBSAFIATwBSACgAWABMAE8ATwBLAFUAUAAoAGYAbgBfAGkAbgBwAHUAdAAsAG0AZQB0AHIAaQBjACwATABlAGcAZQBuAGQALgBFAG4AdAByAGkAZQBzACwAXAAiAFwAIgApACgAKQAsAFwAIgBcACIAKQA7ACIAfQAsAHsAIgBwAGEAdABoACIAOgAiAC8AcAByAG8AagBlAGMAdABzAC8ARQB4AHQAcgBhACIALAAiAHQAZQB4AHQAIgA6ACIALwAvAEwAYQByAGcAZQByACAARABFAE0AcwAgAHQAbwAgAGIAZQAgAGYAbwBsAGQAZQBkACAAaQBuAHQAbwAgAG4AYQBtAGUAZAAgAGkAdABlAG0AcwAgAGkAbgAgAEQARQBNACAAbQBvAGQAdQBsAGUALgBcAG4AXABuAFMARgBTAFAAXwAxAD0AXABuACAAIAAgACAAewAyADQAMgAuADkANgAsACAAMgA0ADYALgAzADIALAAgADIANQAyAC4ANAA1ACwAIAAyADYAMQAuADQANgAsACAAMgA3ADAALgAzADUALAAgADIANwA4AC4ANwA2ACwAIAAyADgANQAuADIALAAgADIAOQAwAC4AMAA0ACwAIAAyADkAMgAuADgAOQAsACAAMgA5ADQALgAwADgALAAgADIAOQA3AC4AMQA4ACwAIAAyADkANgAuADMAMwAsACAAMgA5ADMALgA0ADcALAAgADIAOQAwAC4AMgAxACwAIAAyADkAMwAuADYAOAAsACAAMgA5ADYALgAwADcALAAgADIAOQA3AC4ANQAxACwAIAAyADkAOAAuADUANwAsACAAMgA5ADkALgA0ACwAIAAzADAAMQAuADIANgAsACAAMwAwADIALgAwADYALAAgADIAOQA4AC4AOQA5ACwAIAAyADkANAAuADQAMQAsACAAMgA5ADAALgA2ADgALAAgADIAOAA3AC4ANwA1ACwAIAAyADgANAAuADYANgAsACAAMgA3ADkALgA1ADYALAAgADIANwAzAC4ANwA0ACwAIAAyADYANgAuADcALAAgADIANQA0AC4ANQA4ACwAIAAyADQAOQAuADYAOQAsACAAMgA1ADQALgA0ADUALAAgADIANgA1AC4AMAA2ACwAIAAyADcANAAsACAAMgA4ADAALgA3ADEALAAgADIAOAA3AC4AMQA3ACwAIAAyADkAMAAuADUAMgAsACAAMgA5ADMALgA2ADQALAAgADIAOQA0AC4ANAA3ACwAIAAyADkANQAuADcANAA7AFwAbgAgACAAIAAgADIANAAyAC4AOQA2ACwAIAAyADQANwAuADEANwAsACAAMgA1ADUALgA1ADIALAAgADIANgAzAC4ANgAsACAAMgA3ADMALgA1ADQALAAgADIAOAAyAC4ANgA3ACwAIAAyADgANwAuADkANAAsACAAMgA5ADMALgA2ACwAIAAyADkANwAuADQANQAsACAAMgA5ADcALgA4ADYALAAgADIAOQA5AC4AOQA5ACwAIAAyADkAOQAuADEANAAsACAAMgA5ADUALgA3ADUALAAgADIAOQAxAC4AMwAzACwAIAAyADkANAAuADMANwAsACAAMgA5ADcALgAyACwAIAAyADkAOQAuADQAOAAsACAAMwAwADIALgAxADEALAAgADMAMAAzAC4AMgA3ACwAIAAzADAAMgAuADUAMgAsACAAMwAwADAALgAxADYALAAgADIAOQA1AC4ANgAyACwAIAAyADkAMQAuADgALAAgADIAOAA4AC4AOQAsACAAMgA4ADQALgAxACwAIAAyADcAOQAuADIANgAsACAAMgA3ADQALgAwADcALAAgADIANwAwAC4ANgAzACwAIAAyADYAMwAuADMANgAsACAAMgA1ADQALgA2ADYALAAgADIANAA5AC4ANwA3ACwAIAAyADUANgAuADQANwAsACAAMgA2ADcALgAyADEALAAgADIANwA0AC4AOQA2ACwAIAAyADgAMgAuADEAMQAsACAAMgA4ADcALgA1ADgALAAgADIAOAA5AC4ANgAyACwAIAAyADkAMAAuADYANgAsACAAMgA5ADAALgA1ADEALAAgADIAOQAxAC4AMAAyADsAXABuACAAIAAgACAAMgA0ADQALgA3ADYALAAgADIANAA4AC4AOQAxACwAIAAyADUANgAuADYAMgAsACAAMgA2ADUALgA2ADkALAAgADIANwA1AC4AMgA4ACwAIAAyADgAMwAuADYANQAsACAAMgA5ADAALgA0ADMALAAgADIAOQA3AC4ANwAyACwAIAAzADAAMgAuADUANQAsACAAMwAwADMALgAwADUALAAgADMAMAA0AC4AMAA1ACwAIAAzADAAMQAuADIAOAAsACAAMgA5ADYALgA3ADQALAAgADIAOQAzAC4AMgAxACwAIAAyADkAMwAuADMAOAAsACAAMgA5ADYALgA2ADkALAAgADIAOQA5AC4ANgAsACAAMwAwADMALgA1ADUALAAgADMAMAA0AC4ANAA4ACwAIAAzADAAMgAuADEAOAAsACAAMgA5ADYALgA1ADIALAAgADIAOQAyAC4AMgAxACwAIAAyADgAOAAuADYAOQAsACAAMgA4ADMALgA4ADgALAAgADIAOAAxAC4ANwA0ACwAIAAyADgANAAuADAAMwAsACAAMgA4ADEALgA5ADUALAAgADIANwA1AC4AMwA5ACwAIAAyADYAOQAuADYANwAsACAAMgA1ADcALgA3ADMALAAgADIANQAwAC4ANQA1ACwAIAAyADUAMwAuADkAMwAsACAAMgA2ADcALgA4ADEALAAgADIANwA2AC4ANgA3ACwAIAAyADgAMgAuADcAOAAsACAAMgA4ADUALgA2ACwAIAAyADgANgAuADYAOAAsACAAMgA4ADYALgAwADgALAAgADIAOAA4AC4AOAA2ACwAIAAyADkAMgAuADQAOAA7AFwAbgAgACAAIAAgADIANAA2AC4ANwAsACAAMgA1ADEALgA0ADMALAAgADIANgAwAC4ANQAzACwAIAAyADYAOQAuADcANAAsACAAMgA3ADcALgA0ADEALAAgADIAOAA1AC4ANAAxACwAIAAyADkAMQAuADUAOAAsACAAMgA5ADgALgA4ADQALAAgADMAMAA1AC4AMgA3ACwAIAAzADAANwAuADEAOQAsACAAMwAwADUALgA2ADMALAAgADMAMAAyAC4ANgA5ACwAIAAyADkAOAAuADUAOAAsACAAMgA5ADYALgAwADYALAAgADIAOQA2AC4AMwA1ACwAIAAyADkANgAuADEAMwAsACAAMgA5ADgALgA4ADEALAAgADMAMAAyAC4AMwAyACwAIAAzADAANAAuADgAOQAsACAAMwAwADQALgAwADUALAAgADIAOQA5AC4ANgAsACAAMgA5ADQALgA4ADUALAAgADIAOQAxAC4AOQAyACwAIAAyADgANgAuADIANAAsACAAMgA4ADYALgAzADUALAAgADIAOAA2AC4ANgA5ACwAIAAyADgANAAuADEANwAsACAAMgA3ADcALgAzADUALAAgADIANwAwAC4AOAAsACAAMgA2ADEALgA0ADkALAAgADIANQAyAC4ANAAsACAAMgA1ADAALgA2ACwAIAAyADYANwAuADEAMgAsACAAMgA3ADQALgAzACwAIAAyADcAOQAuADMAMgAsACAAMgA4ADEALgAxADkALAAgADIAOAAxAC4ANgA3ACwAIAAyADgANQAuADUAOAAsACAAMgA4ADkALgA1ACwAIAAyADkAMwAuADUANwA7AFwAbgAgACAAIAAgADIANAA5AC4ANwA1ACwAIAAyADUANgAuADIAOAAsACAAMgA2ADMALgAyADEALAAgADIANwA0AC4ANAA3ACwAIAAyADgAMQAuADMANwAsACAAMgA4ADYALgAwADQALAAgADIAOQAxAC4AOQA3ACwAIAAyADkAOQAuADUANAAsACAAMwAwADUALgA2ADcALAAgADMAMAA4AC4ANQAsACAAMwAwADcALgAwADkALAAgADMAMAAzAC4ANQA4ACwAIAAzADAAMAAuADIANQAsACAAMgA5ADcALgAyADQALAAgADIAOQA3AC4ANQAyACwAIAAyADkAOAAuADEANAAsACAAMwAwADAALgA0ACwAIAAzADAAMwAuADgAOAAsACAAMwAwADUALgA3ACwAIAAzADAANAAuADMAMgAsACAAMwAwADEALgAxADQALAAgADIAOQA2AC4AMwAsACAAMgA5ADEALgA4ADQALAAgADIAOAA5AC4AMgA3ACwAIAAyADgAOQAuADQAMwAsACAAMgA4ADcALgAwADIALAAgADIAOAAyAC4ANQAzACwAIAAyADcANgAuADQAOQAsACAAMgA3ADAALgA3ADkALAAgADIANgA1AC4AOQA4ACwAIAAyADUANwAuADcAMgAsACAAMgA1ADEALgA5ADYALAAgADIANgAxAC4AOQA4ACwAIAAyADcAMAAuADkAOQAsACAAMgA3ADAALgAyADYALAAgADIANwA3AC4ANwA2ACwAIAAyADgAMwAuADMAMQAsACAAMgA4ADgALgAwADkALAAgADIAOQAyAC4AMwAsACAAMgA5ADUALgA2ADIAOwBcAG4AIAAgACAAIAAyADQAOQAuADgANgAsACAAMgA1ADgALgA1ADgALAAgADIANgA3AC4AMQAsACAAMgA3ADUALgA4ADkALAAgADIAOAAxAC4ANgA0ACwAIAAyADgANQAuADcAMwAsACAAMgA4ADkALgA2ACwAIAAyADkANAAuADYAOAAsACAAMwAwADEALgAxADYALAAgADMAMAA2AC4ANgA3ACwAIAAzADAANwAuADkAOAAsACAAMwAwADYALgAzADYALAAgADMAMAAyAC4AMgA1ACwAIAAzADAAMAAuADYAOAAsACAAMwAwADEALAAgADMAMAAxAC4AMQAyACwAIAAzADAAMQAuADEAMgAsACAAMwAwADQALgAzADEALAAgADMAMAA1AC4AOQA4ACwAIAAzADAAMQAuADgANwAsACAAMgA5ADcALgAyADkALAAgADIAOQAzAC4AOAA2ACwAIAAyADkAMgAuADUANQAsACAAMgA5ADIALgA2ADkALAAgADIAOQAxAC4AMwA4ACwAIAAyADgAOAAuADIANAAsACAAMgA4ADMALgA4ADkALAAgADIANwA3AC4ANwA5ACwAIAAyADcAMwAuADgAMgAsACAAMgA2ADkALgAwADMALAAgADIANQA3AC4ANgA4ACwAIAAyADUAMwAuADEAMwAsACAAMgA1ADYALgAwADYALAAgADIANQA5AC4ANAA4ACwAIAAyADcAMgAuADEANAAsACAAMgA3ADgALgA4ADYALAAgADIAOAAzAC4AMQAxACwAIAAyADgANgAuADcANAAsACAAMgA5ADAALgAzACwAIAAyADkANAAuADUAMwA7AFwAbgAgACAAIAAgADIANQA3AC4ANAAsACAAMgA2ADEALgA0ADEALAAgADIANgA1AC4ANwA2ACwAIAAyADcAMgAuADgALAAgADIAOAAwAC4AMAA0ACwAIAAyADgANAAuADEALAAgADIAOAA3AC4AOAAyACwAIAAyADkAMQAuADMAMwAsACAAMgA5ADYALgA4ADgALAAgADMAMAAyAC4AOAA2ACwAIAAzADAANwAuADcAMwAsACAAMwAwADcALgA5ADgALAAgADMAMAA1AC4AMAAyACwAIAAzADAAMwAuADgAMQAsACAAMwAwADcALgAyADEALAAgADMAMAA1AC4AOAA0ACwAIAAzADAANgAuADQAMQAsACAAMwAwADYALgAzADEALAAgADMAMAA2AC4ANQAxACwAIAAzADAAMgAuADgAMgAsACAAMwAwADAALgA0ACwAIAAyADkAOQAuADIANgAsACAAMgA5ADcALgA1ACwAIAAyADkANAAuADcAMgAsACAAMgA5ADIALgAzADIALAAgADIAOAA5AC4ANAA1ACwAIAAyADgANAAuADMALAAgADIANwA5AC4AMwA5ACwAIAAyADcAMwAuADAANQAsACAAMgA2ADIALgAxADEALAAgADIANgA0AC4AMAA2ACwAIAAyADUAMwAuADkANwAsACAAMgA2ADAALgA3ACwAIAAyADYANgAuADkANAAsACAAMgA2ADkALgA5ADIALAAgADIANwA4AC4AMwAzACwAIAAyADgAMwAuADUAMQAsACAAMgA4ADQALgAwADkALAAgADIAOAA2AC4ANgAxACwAIAAyADgANwAuADYAMwA7AFwAbgAgACAAIAAgADIANgA1AC4ANQA4ACwAIAAyADcAMgAuADQAMQAsACAAMgA3ADcALgA1ACwAIAAyADgAMQAuADEAMwAsACAAMgA4ADQALgA0ADYALAAgADIAOAA2AC4ANwA3ACwAIAAyADkAMAAuADcANwAsACAAMgA5ADcALgA2ADkALAAgADMAMAAyAC4AOQA3ACwAIAAzADAANQAuADQAOQAsACAAMwAwADcALgA2ADMALAAgADMAMAA5AC4AOQAzACwAIAAzADAANwAuADkAMQAsACAAMwAwADcALgAzADYALAAgADMAMQAwAC4AMgAxACwAIAAzADAAOQAuADQAMgAsACAAMwAwADgALgA0ADIALAAgADMAMAA4AC4ANAAzACwAIAAzADAAOQAuADUANQAsACAAMwAwADYALgA4ADgALAAgADMAMAAzAC4AOQAyACwAIAAyADkAOAAuADkANAAsACAAMgA5ADUALgA3ADYALAAgADIAOQAzAC4AMAA5ACwAIAAyADkAMQAuADMAOQAsACAAMgA4ADkALgAzADEALAAgADIAOAA0AC4AOQA5ACwAIAAyADcAMwAuADUAMQAsACAAMgA3ADYALgA0ADcALAAgADIANwA0AC4AOAAsACAAMgA3ADAALgAwADkALAAgADIANQA5AC4ANQA0ACwAIAAyADUANAAuADkAOAAsACAAMgA2ADUALgAzADYALAAgADIANwAyAC4AMwAzACwAIAAyADcAOAAuADIAMQAsACAAMgA4ADMALgA1ACwAIAAyADgAOAAuADIALAAgADIAOQAyAC4ANQAsACAAMgA5ADUALgAxADgAOwBcAG4AIAAgACAAIAAyADcANAAuADIAOAAsACAAMgA4ADAALgAxACwAIAAyADgAMgAuADgAMwAsACAAMgA4ADUALgA1ADcALAAgADIAOAA4AC4AOAA0ACwAIAAyADkAMAAuADQAOAAsACAAMgA5ADUALgA0ADcALAAgADMAMAAyAC4AMwAzACwAIAAzADAAMwAuADgALAAgADMAMAA0AC4AMgAzACwAIAAzADAANQAuADAANwAsACAAMwAwADIALgA1ADEALAAgADMAMAA3AC4AMAA1ACwAIAAzADAAOQAuADMAMwAsACAAMwAxADAALgAzADMALAAgADMAMAA5AC4AOQA1ACwAIAAzADAAOQAuADEAOAAsACAAMwAwADkALgAyADcALAAgADMAMAA5AC4ANgA2ACwAIAAzADAANwAuADgALAAgADMAMAAyAC4AOQA5ACwAIAAzADAAMAAuADgANAAsACAAMgA5ADYALgAyADEALAAgADIAOQAyAC4AOAAsACAAMgA4ADkALgA1ADcALAAgADIAOAA3AC4AMgA0ACwAIAAyADgANQAuADQANgAsACAAMgA4ADEALgAyADQALAAgADIAOAAzAC4AOAA3ACwAIAAyADgAMAAuADMAOAAsACAAMgA3ADQALgA3ADYALAAgADIANgA3AC4AOQAzACwAIAAyADUANgAuADgANAAsACAAMgA1ADYALgA1ADUALAAgADIANwAwAC4AMwAxACwAIAAyADcANQAuADQAMwAsACAAMgA4ADEALgAzADMALAAgADIAOAAzAC4ANQA0ACwAIAAyADkAMgAuADMAMQAsACAAMgA5ADgALgA3ADIAOwBcAG4AIAAgACAAIAAyADcANQAuADIAMQAsACAAMgA4ADAALgA2ADYALAAgADIAOAA0AC4AMwAzACwAIAAyADgANwAuADEAOAAsACAAMgA5ADAALgA0ADMALAAgADIAOQAzAC4AOAA5ACwAIAAyADkAMwAuADMANQAsACAAMgA5ADMALgA2ADMALAAgADIAOQAzAC4AOAAzACwAIAAyADkANAAuADkANwAsACAAMgA5ADUALgAwADQALAAgADIAOQA5AC4AMwAzACwAIAAzADAANwAuADYAMgAsACAAMwAwADYALgAyADYALAAgADMAMAA4AC4AOAAxACwAIAAzADEAMAAuADEANAAsACAAMwAxADAALgAxADEALAAgADMAMQAwAC4AMAAyACwAIAAzADAAOAAuADgAMQAsACAAMwAwADYALgAyACwAIAAzADAANgAuADUANAAsACAAMwAwADMALgAyADEALAAgADIAOQA2AC4AMwA2ACwAIAAyADkAMgAuADAANgAsACAAMgA4ADkALgAyADUALAAgADIAOAA2AC4AOAAyACwAIAAyADgANAAuADMAMgAsACAAMgA4ADYALgA0ADQALAAgADIAOAA3AC4ANQA2ACwAIAAyADgANAAuADYANAAsACAAMgA3ADkALgAwADYALAAgADIANwAwAC4AOAA4ACwAIAAyADYANAAuADgANwAsACAAMgA1ADYALgA5ADYALAAgADIANgA0AC4AMwAxACwAIAAyADcANAAuADIAMwAsACAAMgA4ADEALgA4ADYALAAgADIAOAA4AC4AMAAzACwAIAAyADkAMwAuADgAOAAsACAAMgA5ADgALgAwADgAOwBcAG4AIAAgACAAIAAyADcAMQAuADQAMgAsACAAMgA3ADYALgAwADcALAAgADIAOAAwAC4AMwAxACwAIAAyADgANAAuADQAOAAsACAAMgA4ADgALgA2ACwAIAAyADkAMAAuADEANQAsACAAMgA4ADYALgA1ADIALAAgADIAOAA1AC4AOAA1ACwAIAAyADgANgAuADUANAAsACAAMgA4ADgALgA0ADUALAAgADIAOQAxAC4ANgA2ACwAIAAyADkAOAAuADcANwAsACAAMwAwADMALgA1ADMALAAgADMAMAAwAC4AOAAzACwAIAAzADAAMgAuADIANgAsACAAMwAwADUALgA0ACwAIAAzADEAMAAuADQANgAsACAAMwAxADIALgA4ADUALAAgADMAMQAxAC4AMAAzACwAIAAzADAANwAuADMAMwAsACAAMwAwADIALgAxADQALAAgADIAOQA5ACwAIAAyADkANQAuADYAMQAsACAAMgA5ADMALgA1ADQALAAgADIAOQAwAC4AOQAsACAAMgA4ADcALgAwADMALAAgADIAOAA2AC4AOAA0ACwAIAAyADgAOAAuADgANwAsACAAMgA5ADAALgA0ADQALAAgADIAOAA3AC4AMQAzACwAIAAyADgAMgAuADUAMgAsACAAMgA3ADUALgAzADEALAAgADIANgA5AC4AMwAsACAAMgA2ADAALgA0ADQALAAgADIANgA0AC4AMAA0ACwAIAAyADcANAAuADAAMgAsACAAMgA4ADEALgAwADUALAAgADIAOAA3AC4ANwAyACwAIAAyADkANQAuADUAOAAsACAAMwAwADAALgA4ADEAOwBcAG4AIAAgACAAIAAyADcAMgAuADcANwAsACAAMgA3ADUALgAwADgALAAgADIAOAAwAC4ANAAyACwAIAAyADgAMwAuADAAOQAsACAAMgA4ADUALgA0ADMALAAgADIAOAA1AC4ANQA3ACwAIAAyADgAMAAuADMAMQAsACAAMgA3ADcALgA2ADIALAAgADIAOAAwAC4ANwA3ACwAIAAyADgANAAuADMAMwAsACAAMgA4ADgALgAxADgALAAgADIAOQAyAC4ANAA0ACwAIAAyADkANQAuADEAOQAsACAAMgA5ADMALgA4ADEALAAgADMAMAAzAC4AMwA0ACwAIAAzADAAOQAuADcAOQAsACAAMwAxADIALgAyADUALAAgADMAMQA0AC4ANgA3ACwAIAAzADEAMgAuADcAMQAsACAAMwAwADkALgA3ADIALAAgADMAMAA4AC4AMQA1ACwAIAAzADAANAAuADEAMgAsACAAMgA5ADgALgA4ADUALAAgADIAOQA0AC4AOAA0ACwAIAAyADkAMAAuADcAMgAsACAAMgA4ADgALgAwADQALAAgADIAOAA5AC4AMgA0ACwAIAAyADkAMQAuADAANQAsACAAMgA5ADIALgA2ADkALAAgADIAOQAwAC4AMwAsACAAMgA4ADQALgAzADQALAAgADIANwA5AC4ANQA1ACwAIAAyADcAMwAuADQAMQAsACAAMgA2ADEALgA3ADgALAAgADIANgA1AC4AMgAyACwAIAAyADcANQAuADQANgAsACAAMgA4ADIALgA2ADIALAAgADIAOAA5AC4AMgAsACAAMgA5ADYALgA4ADIALAAgADMAMAAwAC4AMwA5ADsAXABuACAAIAAgACAAMgA2ADIALgA0ADkALAAgADIANgA0AC4ANAA2ACwAIAAyADYAOQAuADIANwAsACAAMgA3ADIALgA4ACwAIAAyADcANQAuADcAMgAsACAAMgA3ADUALgA5ADIALAAgADIANwAzAC4ANAA2ACwAIAAyADcAMAAuADUALAAgADIANwA0AC4AMQAsACAAMgA3ADkALgAxADcALAAgADIAOAA0AC4AMQA2ACwAIAAyADgAOAAuADIANwAsACAAMgA4ADkALgAyACwAIAAyADkANAAuADMANwAsACAAMwAwADIALgAyADEALAAgADMAMAA5AC4ANwA4ACwAIAAzADEAMQAuADYAMwAsACAAMwAxADIALgA1ACwAIAAzADEAMAAuADgALAAgADMAMAA2AC4AOAA2ACwAIAAzADAANQAuADIANgAsACAAMwAwADEALgA4ADkALAAgADIAOQA3AC4AOQA4ACwAIAAyADkANAAuADIANAAsACAAMgA5ADAALgAwADgALAAgADIAOQAxAC4ANAAsACAAMgA5ADMALgAzADMALAAgADIAOQA0AC4ANgAsACAAMgA5ADYALgA5ADkALAAgADIAOQAzAC4ANgA4ACwAIAAyADgANgAuADUANgAsACAAMgA4ADEALgAzADYALAAgADIANwA1AC4ANQA2ACwAIAAyADYANQAuADMAOAAsACAAMgA2ADAALgA3ADIALAAgADIANwA1AC4ANQAxACwAIAAyADgAMgAuADMANQAsACAAMgA4ADkALgAyADEALAAgADIAOQA3AC4ANgA0ACwAIAAzADAAMQAuADQANAA7AFwAbgAgACAAIAAgADIANQAzAC4AMwAyACwAIAAyADUANwAuADEANAAsACAAMgA1ADgALgA3ACwAIAAyADYAMQAuADYAMwAsACAAMgA2ADIALgA3ADUALAAgADIANgA0AC4AMgA2ACwAIAAyADYANAAuADMALAAgADIANgAyAC4ANQA3ACwAIAAyADYAOAAuADEANAAsACAAMgA3ADMALgAxADMALAAgADIANwA4AC4AMgAyACwAIAAyADgAMgAuADQAOAAsACAAMgA4ADkALgAzADkALAAgADIAOQA0AC4AOQA5ACwAIAAzADAAMgAuADYANgAsACAAMwAwADYALgA3ADEALAAgADMAMAA5AC4AMQAxACwAIAAzADAAOQAuADcAOAAsACAAMwAxADAALgA0ACwAIAAzADAAOAAuADIAMQAsACAAMwAwADUALgAxADEALAAgADIAOQA5AC4AMgAyACwAIAAyADkANQAuADYALAAgADIAOQAzAC4AMgA5ACwAIAAyADkAMwAuADkAMwAsACAAMgA5ADUALgA3ADgALAAgADIAOQA4AC4AMAAxACwAIAAyADkAOQAuADEANAAsACAAMwAwADAALgAwADUALAAgADIAOQA1AC4AMQAxACwAIAAyADgAOAAuADIAMwAsACAAMgA4ADMALgAzADMALAAgADIANwA2AC4AOQAzACwAIAAyADYAMwAuADYALAAgADIANgA3AC4ANgA4ACwAIAAyADcANgAuADQALAAgADIAOAAyAC4AMQA1ACwAIAAyADgAOAAuADUALAAgADIAOQA1AC4ANAAyACwAIAAzADAAMQAuADMAMQA7AFwAbgAgACAAIAAgADIANAAyAC4AOQA2ACwAIAAyADQANwAuADEANgAsACAAMgA0ADkALgAzADYALAAgADIANQAzAC4ANgA0ACwAIAAyADUANAAuADYANAAsACAAMgA1ADcALgA1ADQALAAgADIANQA2AC4ANQAyACwAIAAyADUANgAuADgANwAsACAAMgA2ADIALgAxADUALAAgADIANgA2AC4ANQAyACwAIAAyADcAMQAuADkANAAsACAAMgA3ADcALgAzADUALAAgADIAOAA1AC4AMgAxACwAIAAyADkAMAAuADQAOQAsACAAMgA5ADQALgAwADIALAAgADMAMAAxAC4AMQAsACAAMwAwADYALgA3ADUALAAgADMAMAA4AC4AOAA5ACwAIAAzADAANgAuADkANwAsACAAMwAwADQALgAzADEALAAgADMAMAA2AC4ANwA4ACwAIAAzADAAMgAuADQANwAsACAAMgA5ADgALgAwADIALAAgADIAOQA1AC4AMQAxACwAIAAyADkANwAuADMANwAsACAAMwAwADEALgAyADEALAAgADMAMAAyAC4ANAA2ACwAIAAzADAAMwAuADUAOQAsACAAMwAwADIALgAxADcALAAgADIAOQA2AC4ANAA4ACwAIAAyADgAOQAuADYAMQAsACAAMgA4ADQALgAzADYALAAgADIANwA4AC4ANgAxACwAIAAyADcAMQAuADcANwAsACAAMgA2ADEALgA0ACwAIAAyADcANgAuADMAMQAsACAAMgA4ADIALAAgADIAOAA2AC4ANwA1ACwAIAAyADkAMQAuADMAMwAsACAAMgA5ADYALgAyADMAOwBcAG4AIAAgACAAIAAyADQAMgAuADkANgAsACAAMgA0ADIALgA5ADYALAAgADIANAAyAC4AOQA2ACwAIAAyADQAMgAuADkANgAsACAAMgA0ADUALgA5ADkALAAgADIANAA4AC4AMQA1ACwAIAAyADQANwAuADIAOQAsACAAMgA1ADEALgA3ACwAIAAyADUANQAuADAAMgAsACAAMgA2ADAALgAwADkALAAgADIANgA2AC4AMwA2ACwAIAAyADcAMgAuADgAOQAsACAAMgA3ADkALAAgADIAOAA0AC4AMwA0ACwAIAAyADkAMQAuADYALAAgADIAOQA2AC4ANAAsACAAMwAwADEALgA5ADQALAAgADMAMAA3AC4ANgAsACAAMwAwADYALgAxADQALAAgADIAOQA2AC4ANAA3ACwAIAAyADkAOQAuADkAMwAsACAAMwAwADAALgAwADIALAAgADIAOQA5AC4AMwA1ACwAIAAyADkAOAAuADkAOQAsACAAMgA5ADkALgA1ADQALAAgADMAMAA0AC4AMAA3ACwAIAAzADAANQAuADYAOAAsACAAMwAwADUALgAyADMALAAgADMAMAAwAC4AMAA5ACwAIAAyADkANQAuADIAOQAsACAAMgA4ADkALgA1ADQALAAgADIAOAA0AC4ANAAyACwAIAAyADcAOQAuADIANgAsACAAMgA3ADEALgAyADcALAAgADIANgA0AC4AMQAzACwAIAAyADcAMwAuADEAMQAsACAAMgA3ADkALgA3ADUALAAgADIAOAA0AC4AMAA5ACwAIAAyADgANgAuADUAOAAsACAAMgA4ADcALgA3ADEAOwBcAG4AIAAgACAAIAAyADQAMgAuADkANgAsACAAMgA0ADIALgA5ADYALAAgADIANAAyAC4AOQA2ACwAIAAyADQAMgAuADkANgAsACAAMgA0ADIALgA5ADYALAAgADIANAAyAC4AOQA2ACwAIAAyADQAMwAuADcANwAsACAAMgA0ADcALgA2ADIALAAgADIANQAwAC4AMgA1ACwAIAAyADUANAAuADAAMwAsACAAMgA2ADEALgA1ADMALAAgADIANgA3AC4AMwAsACAAMgA3ADQALgAyADUALAAgADIAOAAwAC4ANwA4ACwAIAAyADgANgAuADQANAAsACAAMgA5ADEALgA2ADIALAAgADIAOQA4AC4ANwAyACwAIAAzADAANQAuADQALAAgADMAMAAzAC4AOQAyACwAIAAyADkANQAuADAAMgAsACAAMgA5ADIALgA1ADgALAAgADIAOQA1ACwAIAAyADkANwAuADYANQAsACAAMwAwADEALgA4ADIALAAgADMAMAAyAC4AMAA4ACwAIAAzADAAMwAuADUALAAgADMAMAA0AC4AOQA2ACwAIAAzADAAMQAuADgAMwAsACAAMgA5ADYALgA2ADEALAAgADIAOQAxAC4AMQA3ACwAIAAyADgANQAuADgAMQAsACAAMgA4ADMALgAwADUALAAgADIANwA5AC4AMAA5ACwAIAAyADYAOAAuADAAOQAsACAAMgA3ADAALgAwADMALAAgADIAOAAwAC4ANwAzACwAIAAyADgAMQAuADcAMQAsACAAMgA3ADgALgA4ADEALAAgADIAOAA0AC4AMQA0ACwAIAAyADgAOQAuADkAOAA7AFwAbgAgACAAIAAgADIANAAyAC4AOQA2ACwAIAAyADQAMgAuADkANgAsACAAMgA0ADIALgA5ADYALAAgADIANAAyAC4AOQA2ACwAIAAyADQAMgAuADkANgAsACAAMgA0ADIALgA5ADYALAAgADIANAAyAC4AOQA2ACwAIAAyADQAMgAuADkANgAsACAAMgA0ADYALgA2ADIALAAgADIANQAwAC4AMwA5ACwAIAAyADUANQAuADYANgAsACAAMgA2ADEALgAxADMALAAgADIANgA4AC4AMAA2ACwAIAAyADcANAAuADAAMQAsACAAMgA4ADIALgAyADUALAAgADIAOAA3AC4AMwAsACAAMgA5ADIALgA2ADEALAAgADIAOQA2AC4ANAAsACAAMgA5ADYALgA4ADIALAAgADIAOQAxAC4ANQA3ACwAIAAyADgANgAuADUAMwAsACAAMgA5ADIALgAxADgALAAgADIAOQA2AC4AMwA5ACwAIAAzADAAMQAuADMAMwAsACAAMwAwADUALgAwADEALAAgADMAMAA1AC4AMAA1ACwAIAAzADAAMwAuADkANwAsACAAMgA5ADgALgAwADgALAAgADIAOQAzAC4AMAAzACwAIAAyADgANgAuADYAMgAsACAAMgA4ADMALgAyADMALAAgADIAOAAwAC4ANgA4ACwAIAAyADcANgAuADEANwAsACAAMgA2ADcALgAyADUALAAgADIANwA1AC4ANgAzACwAIAAyADgAMQAuADgAMwAsACAAMgA4ADYALgA2ADYALAAgADIAOAA4AC4ANgA1ACwAIAAyADgANwAuADQANQAsACAAMgA5ADEALgA5ADcAOwBcAG4AIAAgACAAIAAyADQAMgAuADkANgAsACAAMgA0ADIALgA5ADYALAAgADIANAAyAC4AOQA2ACwAIAAyADQAMgAuADkANgAsACAAMgA0ADIALgA5ADYALAAgADIANAAyAC4AOQA2ACwAIAAyADQAMgAuADkANgAsACAAMgA0ADIALgA5ADYALAAgADIANAAyAC4AOQA2ACwAIAAyADQANgAuADMAOQAsACAAMgA1ADEALgAxACwAIAAyADUANgAuADkAOAAsACAAMgA2ADIALgA3ADQALAAgADIANgA3AC4AMAAxACwAIAAyADcANQAuADIANAAsACAAMgA4ADEALgA2ADIALAAgADIAOAA2AC4AMgA4ACwAIAAyADgAOAAuADEAOAAsACAAMgA4ADgALgA0ADQALAAgADIAOAA1AC4AOAAyACwAIAAyADgANwAuADMALAAgADIAOQAxAC4AMgAsACAAMgA5ADQALgAzADUALAAgADMAMAAxAC4AMwA1ACwAIAAzADAANgAuADUAOQAsACAAMwAwADYALgA2ADYALAAgADMAMAA0AC4ANQA2ACwAIAAyADkANgAuADUANAAsACAAMgA5ADQALgAxADEALAAgADIAOQAwAC4AMgA0ACwAIAAyADgANgAuADgANQAsACAAMgA4ADIALgA5ADEALAAgADIANwA5AC4ANAA2ACwAIAAyADYAOQAuADUAOQAsACAAMgA3ADcALgA5ADcALAAgADIAOAAzAC4ANwAyACwAIAAyADgAOQAuADQANQAsACAAMgA5ADUALgA3ADUALAAgADIAOQA2AC4ANQA5ACwAIAAyADkANwAuADkAMwA7AFwAbgAgACAAIAAgADIANAAyAC4AOQA2ACwAIAAyADQAMgAuADkANgAsACAAMgA0ADIALgA5ADYALAAgADIANAAyAC4AOQA2ACwAIAAyADQAMgAuADkANgAsACAAMgA0ADIALgA5ADYALAAgADIANAAyAC4AOQA2ACwAIAAyADQAMgAuADkANgAsACAAMgA0ADIALgA5ADYALAAgADIANAAyAC4AOQA2ACwAIAAyADQANwAuADIANwAsACAAMgA1ADMALgAzADQALAAgADIANQA4AC4ANQA5ACwAIAAyADYAMQAuADgALAAgADIANgA5AC4AMAA5ACwAIAAyADcANgAuADEANAAsACAAMgA3ADkALgAxADkALAAgADIAOAAwAC4ANAAzACwAIAAyADgAMAAuADQANgAsACAAMgA4ADQALgAzADgALAAgADIAOQAwAC4ANAA2ACwAIAAyADkANQAuADQANgAsACAAMgA5ADkALgAxADIALAAgADMAMAAyAC4AMAAyACwAIAAzADAAOAAuADkAMQAsACAAMwAwADcALgA5ADUALAAgADMAMAAwAC4AOQA4ACwAIAAyADkAOAAuADEAMgAsACAAMwAwADAALgA3ADUALAAgADIAOQA0AC4AMwA5ACwAIAAyADkAMAAuADEANQAsACAAMgA4ADQALgAyADgALAAgADIAOAAwAC4ANQA2ACwAIAAyADYAOAAuADAANwAsACAAMgA3ADkALgA4ADQALAAgADIAOAA1AC4AMAA3ACwAIAAyADkAMgAuADMAOAAsACAAMgA5ADgALgAwADIALAAgADMAMAAzAC4AMgAsACAAMwAwADQALgA0ADcAXABuAH0AOwBcAG4AXABuAFMARgBTAFAAXwAyAD0AXABuACAAIAAgACAAewAyADQANAAuADgANgAsACAAMgA0ADMALgAzADIALAAgADIANAAyAC4AOQA2ACwAIAAyADQAMgAuADkANgAsACAAMgA0ADIALgA5ADYALAAgADIANAAyAC4AOQA2ACwAIAAyADQAMgAuADkANgAsACAAMgA0ADIALgA5ADYALAAgADIANAAyAC4AOQA2ACwAIAAyADQAMgAuADkANgAsACAAMgA0ADQALgA4ACwAIAAyADQAOAAuADcALAAgADIANQA0AC4AMwA2ACwAIAAyADUAOQAuADEALAAgADIANgAzAC4ANAA4ACwAIAAyADYAOAAuADcAMgAsACAAMgA3ADIALgAzADMALAAgADIANgA5AC4AOQAzACwAIAAyADcAMQAuADUANwAsACAAMgA4ADIALgA5ADcALAAgADIAOAA5AC4ANgA5ACwAIAAyADkANwAuADQANgAsACAAMwAwADMALgAwADkALAAgADMAMAA3AC4AOQAyACwAIAAzADAAOAAuADgAMgAsACAAMwAwADgALgAxADgALAAgADMAMAA1AC4AMQA3ACwAIAAzADAANAAuADMANgAsACAAMwAwADIALgA5ADYALAAgADIAOQA3AC4AOQAzACwAIAAyADkAMgAuADEANwAsACAAMgA4ADQALgA4ADkALAAgADIANwA5ACwAIAAyADcAMAAuADgANgAsACAAMgA4ADEALgAwADUALAAgADIAOAA2AC4AOQA4ACwAIAAyADkANAAuADcAOQAsACAAMgA5ADkALgA5ADIALAAgADMAMAA2ACwAIAAzADAAOQAuADIAOAA7AFwAbgAgACAAIAAgADIANAA2AC4AOQAxACwAIAAyADQANAAuADYAMQAsACAAMgA0ADIALgA5ADYALAAgADIANAAyAC4AOQA2ACwAIAAyADQAMgAuADkANgAsACAAMgA0ADIALgA5ADYALAAgADIANAAyAC4AOQA2ACwAIAAyADQAMgAuADkANgAsACAAMgA0ADIALgA5ADYALAAgADIANAAyAC4AOQA2ACwAIAAyADQAMgAuADkANgAsACAAMgA0ADMALgAzADEALAAgADIANAA5AC4AMAA3ACwAIAAyADUANAAuADcAMwAsACAAMgA1ADgALgAzADcALAAgADIANgAxAC4AOAAsACAAMgA2ADMALAAgADIANgA0AC4AMwA4ACwAIAAyADcANAAuADQANgAsACAAMgA4ADAALgA5ADUALAAgADIAOAA3AC4ANgAzACwAIAAyADkAMwAuADUAMgAsACAAMgA5ADgALgAzADYALAAgADMAMAA2AC4AMAA5ACwAIAAzADAAOAAuADEANgAsACAAMwAwADgALgA0ADEALAAgADMAMAA3AC4AMAA4ACwAIAAzADAANQAuADMANAAsACAAMwAwADIALgA2ADMALAAgADIAOQA4AC4AOQA3ACwAIAAyADkAMgAuADMANAAsACAAMgA4ADgALgAyADIALAAgADIAOAAyAC4ANAAzACwAIAAyADcAMQAuADUAMgAsACAAMgA4ADIALgA3ADMALAAgADIAOAA4AC4ANwAxACwAIAAyADkANwAuADEAMwAsACAAMwAwADMALgAyADgALAAgADMAMAA3AC4AMwAzACwAIAAzADEAMgAuADUANQA7AFwAbgAgACAAIAAgADIANAA4AC4ANgA1ACwAIAAyADQANwAuADQANwAsACAAMgA0ADMALgAxACwAIAAyADQAMgAuADkANgAsACAAMgA0ADIALgA5ADYALAAgADIANAAyAC4AOQA2ACwAIAAyADQAMgAuADkANgAsACAAMgA0ADIALgA5ADYALAAgADIANAAyAC4AOQA2ACwAIAAyADQAMgAuADkANgAsACAAMgA0ADIALgA5ADYALAAgADIANAAyAC4AOQA2ACwAIAAyADQANgAuADQANQAsACAAMgA0ADkALgA1ADMALAAgADIANQAyAC4AMgA5ACwAIAAyADUANAAuADIANgAsACAAMgA2ADAALgAwADYALAAgADIANgA2AC4ANwA2ACwAIAAyADcAMwAuADMALAAgADIANwA5AC4AOAA4ACwAIAAyADgANAAuADcAOAAsACAAMgA5ADAALgAwADcALAAgADIAOQA0AC4AOAA2ACwAIAAyADkAOQAuADIAMQAsACAAMwAwADIALgA2ADgALAAgADMAMAA3AC4ANAA3ACwAIAAzADAANgAuADYANgAsACAAMwAwADUALgA5ADIALAAgADMAMAAxAC4AMQA0ACwAIAAyADkAMwAuADcANQAsACAAMgA4ADgALgA3ADQALAAgADIAOAA1AC4AMgA1ACwAIAAyADgAMQAuADMANAAsACAAMgA4ADAALgA4ADkALAAgADIAOAAzAC4AMQA3ACwAIAAyADgAOQAuADMANAAsACAAMgA5ADYALgAzADYALAAgADMAMAAzAC4ANgAsACAAMwAwADkALgA0ADgALAAgADMAMQA1AC4AMgA7AFwAbgAgACAAIAAgADIANQAzAC4ANgAxACwAIAAyADUANAAuADcAMgAsACAAMgA0ADcALgA4ADcALAAgADIANAAyAC4AOQA2ACwAIAAyADQAMgAuADkANgAsACAAMgA0ADIALgA5ADYALAAgADIANAAyAC4AOQA2ACwAIAAyADQAMgAuADkANgAsACAAMgA0ADIALgA5ADYALAAgADIANAAyAC4AOQA2ACwAIAAyADQAMgAuADkANgAsACAAMgA0ADQALgA1ADcALAAgADIANAA2AC4ANwAsACAAMgA0ADgALgA1ADIALAAgADIANAA5AC4AMwAzACwAIAAyADUANAAuADkANQAsACAAMgA1ADkALgA0ADIALAAgADIANgA4AC4AMQA3ACwAIAAyADcAMwAuADcAOQAsACAAMgA3ADkALgAyADIALAAgADIAOAAxAC4AMAA4ACwAIAAyADgANAAuADcAMgAsACAAMgA5ADAALgAyADYALAAgADIAOQA1AC4AMAAyACwAIAAzADAAMQAuADkAOQAsACAAMwAwADYALgA0ADUALAAgADMAMAA1AC4AMwA4ACwAIAAzADAANAAuADYAMQAsACAAMgA5ADkALgAzADEALAAgADIAOQA0AC4AMQA3ACwAIAAyADgAOAAuADkAOAAsACAAMgA4ADYALgAyADgALAAgADIAOAAxAC4AMQAsACAAMgA4ADAALgA4ADMALAAgADIAOAA1AC4ANAA4ACwAIAAyADgAOQAuADcAMwAsACAAMgA5ADQALgA5ADcALAAgADMAMAAwAC4ANAAzACwAIAAzADAAOAAuADQANwAsACAAMwAxADIALgA0ADkAOwBcAG4AIAAgACAAIAAyADYAMgAuADEANwAsACAAMgA2ADIALgAyADYALAAgADIANQA4AC4AMAA0ACwAIAAyADQANgAuADYAOQAsACAAMgA0ADIALgA5ADYALAAgADIANAAyAC4AOQA2ACwAIAAyADQAMgAuADkANgAsACAAMgA0ADIALgA5ADYALAAgADMAMAAyAC4AOQA3ACwAIAAyADQAMgAuADkANgAsACAAMgA0ADIALgA5ADYALAAgADIANAA0AC4AMQA0ACwAIAAyADQANQAuADQAMQAsACAAMgA0ADcALgAyADgALAAgADIANAA4AC4AOAAyACwAIAAyADUANwAuADIANAAsACAAMgA2ADIALgA1ADkALAAgADIANwAxAC4ANQAxACwAIAAyADcANgAuADgANwAsACAAMgA3ADkALgAwADkALAAgADIAOAA0AC4AMwAyACwAIAAyADkAMAAuADAANQAsACAAMgA5ADUALgA0ADEALAAgADIAOQA2AC4ANAA0ACwAIAAzADAAMQAuADIANQAsACAAMwAwADUALgAwADEALAAgADMAMAAzAC4ANgA1ACwAIAAzADAAMgAuADUALAAgADMAMAAxAC4AMAAzACwAIAAyADkAOAAuADEAOQAsACAAMgA5ADMALgA4ADYALAAgADIAOAA4AC4AMQA2ACwAIAAyADgAMAAuADEANAAsACAAMgA4ADAALgAzADYALAAgADIAOAA0AC4AMAA0ACwAIAAyADgAOAAuADQANgAsACAAMgA5ADMALgAwADQALAAgADIAOQA4AC4ANAA5ACwAIAAzADAAMgAuADYAOQAsACAAMwAwADcALgAzADsAXABuACAAIAAgACAAMgA3ADAALgAzADEALAAgADIANwAxAC4AMQA2ACwAIAAyADYANwAuADMANwAsACAAMgA1ADcALgA4ADgALAAgADIANAA1AC4ANwA5ACwAIAAyADQAMgAuADkANgAsACAAMgA0ADIALgA5ADYALAAgADIANAAyAC4AOQA2ACwAIAAyADQAMgAuADkANgAsACAAMgA0ADIALgA5ADYALAAgADIANAAyAC4AOQA2ACwAIAAyADQAMgAuADkANgAsACAAMgA0ADMALgAzACwAIAAyADQANAAuADYAOQAsACAAMgA0ADcALgAxADMALAAgADIANQAzAC4ANwAsACAAMgA2ADEALgA1ADUALAAgADIANwAwAC4AMwAsACAAMgA3ADcALgAwADkALAAgADIAOAAzAC4ANAA3ACwAIAAyADgAOAAuADkAOQAsACAAMgA5ADYALgAyADQALAAgADMAMAAxAC4ANwAzACwAIAAzADAANAAuADcAOAAsACAAMwAwADQALgAxADQALAAgADMAMAAzAC4ANAAzACwAIAAzADAAMQAuADAAOAAsACAAMwAwADEALgA2ADUALAAgADIAOQA3AC4AMwAxACwAIAAyADkANQAuADkANAAsACAAMgA5ADMALgA2ADYALAAgADIAOAA3AC4ANAAsACAAMgA3ADkALgA1ADgALAAgADIAOAAwAC4AOQA3ACwAIAAyADgAOAAuADMALAAgADIAOQAwAC4ANAAzACwAIAAyADgAOAAuADIANAAsACAAMgA5ADIALgA4ADYALAAgADIAOQA4AC4ANQA2ACwAIAAzADAAMwAuADEAOwBcAG4AIAAgACAAIAAyADcAOAAuADUAMgAsACAAMgA3ADgALgA1ADYALAAgADIANwA0AC4AMwAsACAAMgA2ADUALgA1ADEALAAgADIANQA1AC4AMgA3ACwAIAAyADQANAAuADEAMgAsACAAMgA0ADIALgA5ADYALAAgADIANAAyAC4AOQA2ACwAIAAyADQAMgAuADkANgAsACAAMgA0ADIALgA5ADYALAAgADIANAAyAC4AOQA2ACwAIAAyADQAMgAuADkANgAsACAAMgA0ADIALgA5ADYALAAgADIANAAyAC4AOQA2ACwAIAAyADQAMgAuADkANgAsACAAMgA0ADgALgA1ADkALAAgADIANQA3AC4ANQA0ACwAIAAyADYANQAuADAAOAAsACAAMgA3ADQALgAwADYALAAgADIAOAAxAC4ANAAzACwAIAAyADgANgAuADUANQAsACAAMgA5ADEALgA5ADMALAAgADIAOQA5AC4AMQAyACwAIAAzADAANAAuADIAMwAsACAAMwAwADQALgA1ADEALAAgADMAMAAzAC4AOAAsACAAMwAwADAALgAwADIALAAgADIAOQA4AC4ANAAxACwAIAAyADkANwAuADkANwAsACAAMgA5ADMALgA1ADEALAAgADIAOQAwAC4AMQA2ACwAIAAyADgAMwAuADUANQAsACAAMgA4ADEALgA0ACwAIAAyADgANwAuADMAMgAsACAAMgA5ADIALgAwADcALAAgADIAOQA3AC4AMwAzACwAIAAyADkANwAuADkALAAgADIAOQA5AC4ANAAzACwAIAAzADAAMgAuADAAMgAsACAAMwAwADYALgAyADkAOwBcAG4AIAAgACAAIAAyADgANQAuADkAMgAsACAAMgA4ADUALgAwADcALAAgADIAOAAwAC4AMAA3ACwAIAAyADcAMQAuADcAOQAsACAAMgA2ADAALgAyADIALAAgADIANAA5AC4ANgA0ACwAIAAyADQAMgAuADkANgAsACAAMgA0ADIALgA5ADYALAAgADIANAAyAC4AOQA2ACwAIAAyADQAMgAuADkANgAsACAAMgA0ADIALgA5ADYALAAgADIANAAyAC4AOQA2ACwAIAAyADQAMgAuADkANgAsACAAMgA0ADIALgA5ADYALAAgADIANAAyAC4AOQA2ACwAIAAyADQANQAuADIANgAsACAAMgA1ADIALgA2ADUALAAgADIANQA5AC4ANwAsACAAMgA2ADgALgA2ADQALAAgADIANwA2AC4AOAA2ACwAIAAyADgAMgAuADcAMgAsACAAMgA4ADYALgA4ADcALAAgADIAOQAyAC4AMAA0ACwAIAAyADkANgAuADIANQAsACAAMwAwADAALgAzACwAIAAzADAAMwAuADQAMQAsACAAMwAwADIALgAxADUALAAgADIAOQA3AC4ANgAxACwAIAAyADkAMQAuADgAMgAsACAAMgA4ADcALgA3ADcALAAgADIAOAA4AC4AMgA2ACwAIAAyADgANwAuADAAMQAsACAAMgA4ADIALgAxADkALAAgADIAOAA4AC4ANQA3ACwAIAAyADkANgAuADEAMgAsACAAMwAwADAALgAwADcALAAgADMAMAAzAC4AMgA3ACwAIAAzADAANgAuADIANQAsACAAMwAwADkALgA4ADkALAAgADMAMQAxAC4AMgAzADsAXABuACAAIAAgACAAMgA5ADAALgAzADcALAAgADIAOAA3AC4AOQA5ACwAIAAyADgAMgAuADYAOAAsACAAMgA3ADMALgAzACwAIAAyADYAMwAuADcANQAsACAAMgA1ADMALgA1ADcALAAgADIANAAzAC4AOQA3ACwAIAAyADQAMgAuADkANgAsACAAMgA0ADIALgA5ADYALAAgADIANAAyAC4AOQA2ACwAIAAyADQAMgAuADkANgAsACAAMgA0ADIALgA5ADYALAAgADIANAAyAC4AOQA2ACwAIAAyADQAMgAuADkANgAsACAAMgA0ADIALgA5ADYALAAgADIANAAzAC4AMQA2ACwAIAAyADQAOQAuADIAMwAsACAAMgA1ADUALgAwADUALAAgADIANgAyAC4ANAA5ACwAIAAyADcAMAAuADgANQAsACAAMgA3ADkALgA5ADQALAAgADIAOAA0AC4AMAA0ACwAIAAyADgAOQAuADcAOQAsACAAMgA5ADMALgA2ADEALAAgADIAOQA1AC4AOQA1ACwAIAAzADAAMAAuADIANQAsACAAMwAwADIALgA2ADcALAAgADIAOQA5AC4AMgAyACwAIAAyADkANgAuADUAOAAsACAAMgA5ADUALgAxADIALAAgADIAOQAzAC4AOAAxACwAIAAyADkAMQAuADAANQAsACAAMgA4ADMALgA5ADIALAAgADIAOAA4AC4ANwA5ACwAIAAyADkANgAuADIAOQAsACAAMgA5ADkALgA1ADgALAAgADMAMAA1AC4AMgA5ACwAIAAzADEAMgAuADAAMgAsACAAMwAxADUALgA2ADkALAAgADMAMQA3AC4ANgAzADsAXABuACAAIAAgACAAMgA5ADIALgA3ADUALAAgADIAOAA5AC4AMgA0ACwAIAAyADgANAAuADAAMwAsACAAMgA3ADUALgAzADYALAAgADIANgA1AC4ANAA3ACwAIAAyADUANgAuADkAOQAsACAAMgA0ADUALgA2ADMALAAgADIANAAyAC4AOQA2ACwAIAAyADQAMgAuADkANgAsACAAMgA0ADIALgA5ADYALAAgADIANAAyAC4AOQA2ACwAIAAyADQAMgAuADkANgAsACAAMgA0ADIALgA5ADYALAAgADIANAAyAC4AOQA2ACwAIAAyADQAMgAuADkANgAsACAAMgA0ADIALgA5ADYALAAgADIANAA2AC4ANwA5ACwAIAAyADUAMgAuADMALAAgADIANgAwAC4AMgAxACwAIAAyADcAMQAuADMANAAsACAAMgA4ADAALgA4ADkALAAgADIAOAA3AC4AOQAyACwAIAAyADkANgAuADMAOAAsACAAMwAwADEALgAwADcALAAgADMAMAAxAC4AMAA2ACwAIAAzADAAMgAuADIALAAgADMAMAAyAC4AOAA4ACwAIAAzADAAMQAuADkANAAsACAAMwAwADAALgA2ADkALAAgADIAOQA5AC4ANwAzACwAIAAyADkAOAAuADAAOQAsACAAMgA5ADMALgAwADYALAAgADIAOAA1AC4AMQA2ACwAIAAyADgAOAAuADgANwAsACAAMgA5ADUALgA3ADgALAAgADIAOQA4AC4ANwAzACwAIAAzADAANAAuADgANQAsACAAMwAxADIALgAwADYALAAgADMAMQA5AC4AMwA2ACwAIAAzADIANAAuADMANQA7AFwAbgAgACAAIAAgADIAOQAzAC4AMwA0ACwAIAAyADgAOAAuADkAOQAsACAAMgA4ADQALgAwADQALAAgADIANwA2AC4ANwAzACwAIAAyADYANwAuADEAMQAsACAAMgA1ADkALgAzADEALAAgADIANAA3AC4AOQA0ACwAIAAyADQAMgAuADkANgAsACAAMgA0ADIALgA5ADYALAAgADIANAAyAC4AOQA2ACwAIAAyADQAMgAuADkANgAsACAAMgA0ADIALgA5ADYALAAgADIANAAyAC4AOQA2ACwAIAAyADQAMgAuADkANgAsACAAMgA0ADIALgA5ADYALAAgADIANAAyAC4AOQA2ACwAIAAyADQANAAuADEANQAsACAAMgA1ADEALgAwADQALAAgADIANgAwAC4AOQA4ACwAIAAyADYAOQAuADkAOAAsACAAMgA3ADkALgAxADEALAAgADIAOAA1AC4AOAAzACwAIAAyADkAMgAuADQANwAsACAAMgA5ADYALgAwADEALAAgADIAOQA1AC4AOAA5ACwAIAAyADkANQAuADgANgAsACAAMgA5ADkALgA2ADkALAAgADMAMAAyAC4ANAA1ACwAIAAzADAAMgAuADYAMgAsACAAMwAwADIALgA1ADUALAAgADMAMAAwAC4AMAA4ACwAIAAyADkANQAuADEAOQAsACAAMgA4ADkALgA2ADUALAAgADIAOAA5AC4AMQAzACwAIAAyADkANgAuADAANgAsACAAMwAwADAALgA5ADYALAAgADMAMAA2AC4AMwAsACAAMwAxADIALgAwADkALAAgADMAMQA4AC4AMQA5ACwAIAAzADIANQAuADEANwA7AFwAbgAgACAAIAAgADIAOAA3AC4AMgA3ACwAIAAyADgANAAuADgANQAsACAAMgA4ADEALgA2ADgALAAgADIANwA1AC4AOQAxACwAIAAyADYAOAAuADYANAAsACAAMgA1ADkALgA1ADUALAAgADIANAA1AC4AOAA2ACwAIAAyADQAMgAuADkANgAsACAAMgA0ADIALgA5ADYALAAgADIANAAyAC4AOQA2ACwAIAAyADQAMgAuADkANgAsACAAMgA0ADIALgA5ADYALAAgADIANAAyAC4AOQA2ACwAIAAyADQAMgAuADkANgAsACAAMgA0ADIALgA5ADYALAAgADIANAAyAC4AOQA2ACwAIAAyADQAMgAuADkANgAsACAAMgA1ADEALgAxADEALAAgADIANgAwAC4AMAAyACwAIAAyADYAOAAuADAANgAsACAAMgA3ADUALgAxADcALAAgADIAOAAwAC4AOQA4ACwAIAAyADgANQAuADAAMwAsACAAMgA4ADYALgA2ADQALAAgADIAOAA1AC4AOQA3ACwAIAAyADgAOQAuADEAMwAsACAAMgA5ADYALgAxACwAIAAzADAAMAAuADYALAAgADMAMAAzAC4AMQA3ACwAIAAzADAAMwAuADYANgAsACAAMwAwADEALgAxACwAIAAzADAAMAAuADAAMQAsACAAMgA5ADQALgA3ADkALAAgADIAOAA3AC4ANwA5ACwAIAAyADkANQAuADQANgAsACAAMgA5ADkALgA1ACwAIAAzADAAMwAuADgAOQAsACAAMwAxADAALgAxACwAIAAzADEANgAuADAANwAsACAAMwAyADEALgAxADcAOwBcAG4AIAAgACAAIAAyADgAMgAuADMAMwAsACAAMgA3ADcALgAxADEALAAgADIANwA1AC4AMAAxACwAIAAyADcAMQAuADAAOQAsACAAMgA2ADMALgA1ADMALAAgADIANQAzAC4AOQA1ACwAIAAyADQANAAuADMAOAAsACAAMgA0ADIALgA5ADYALAAgADIANAAyAC4AOQA2ACwAIAAyADQAMgAuADkANgAsACAAMgA0ADIALgA5ADYALAAgADIANAAyAC4AOQA2ACwAIAAyADQAMgAuADkANgAsACAAMgA0ADIALgA5ADYALAAgADIANAAyAC4AOQA2ACwAIAAyADQAMgAuADkANgAsACAAMgA0ADIALgA5ADYALAAgADIANQAwAC4AMgA4ACwAIAAyADUAOQAuADUAMgAsACAAMgA2ADYALgAwADcALAAgADIANwAxAC4ANwAyACwAIAAyADcANQAsACAAMgA3ADcALgA4ADYALAAgADIANwA4AC4ANwAzACwAIAAyADgAMAAuADIAMQAsACAAMgA4ADYALgAzADYALAAgADIAOQA0AC4ANQA0ACwAIAAzADAAMAAuADMANAAsACAAMwAwADQALgAyADQALAAgADMAMAA2AC4AMgA4ACwAIAAzADAAMwAuADgANQAsACAAMwAwADIALgA1ADIALAAgADIAOQA4AC4AMAAzACwAIAAyADkAMAAuADMAMgAsACAAMgA5ADIALgAwADQALAAgADIAOQA4AC4ANwA0ACwAIAAzADAAMwAuADQAMwAsACAAMwAwADgALgA3ADUALAAgADMAMQAzAC4AOAAyACwAIAAzADEAOAAuADQANwA7AFwAbgAgACAAIAAgADIAOAA0AC4AMgA1ACwAIAAyADcANgAuADIANAAsACAAMgA2ADYALgAzADIALAAgADIANgAyAC4ANAA4ACwAIAAyADUANgAuADYAMgAsACAAMgA0ADkALgAwADUALAAgADIANAA0AC4AOAA0ACwAIAAyADQAMgAuADkANgAsACAAMgA0ADIALgA5ADYALAAgADIANAAyAC4AOQA2ACwAIAAyADQAMgAuADkANgAsACAAMgA0ADIALgA5ADYALAAgADIANAAyAC4AOQA2ACwAIAAyADQAMgAuADkANgAsACAAMgA0ADIALgA5ADYALAAgADIANAAyAC4AOQA2ACwAIAAyADQAMwAuADEAOAAsACAAMgA1ADIALgAwADgALAAgADIANQA4AC4AMQAsACAAMgA2ADIALgA0ADkALAAgADIANgA2AC4AMgA5ACwAIAAyADYAOQAuADAAMwAsACAAMgA3ADAALgA1ADIALAAgADIANgA5AC4ANAA2ACwAIAAyADcAOAAuADUAMgAsACAAMgA4ADQALgA3ADIALAAgADIAOQAxAC4ANAA3ACwAIAAyADkAOAAuADQANgAsACAAMwAwADIALgA3ADcALAAgADMAMAA0AC4ANAA2ACwAIAAzADAANgAuADEAMQAsACAAMwAwADQALgAxACwAIAAzADAAMAAuADgAMwAsACAAMgA5ADYALgAxADIALAAgADIAOAA5AC4ANgA4ACwAIAAyADkAOAAuADEANgAsACAAMwAwADIALgAyADgALAAgADMAMAA2AC4AMAAyACwAIAAzADEAMAAuADIAOAAsACAAMwAxADMALgA5ADcAOwBcAG4AIAAgACAAIAAyADgANwAuADMAMQAsACAAMgA3ADgALgA2ADEALAAgADIANgA5AC4AMwAxACwAIAAyADUAOAAuADQAMwAsACAAMgA1ADIALgA5ADUALAAgADIANAA4AC4AOQA2ACwAIAAyADQANQAuADcAOAAsACAAMgA0ADIALgA5ADYALAAgADIANAAyAC4AOQA2ACwAIAAyADQAMgAuADkANgAsACAAMgA0ADIALgA5ADYALAAgADIANAAyAC4AOQA2ACwAIAAyADQAMgAuADkANgAsACAAMgA0ADIALgA5ADYALAAgADIANAAyAC4AOQA2ACwAIAAyADQAMgAuADkANgAsACAAMgA0ADkALgAyADMALAAgADIANQAzAC4ANwAxACwAIAAyADUANgAuADEANgAsACAAMgA1ADcALgA0ADUALAAgADIANQA5AC4AMwA1ACwAIAAyADYAMQAuADkAOAAsACAAMgA2ADAALgA5ADUALAAgADIANwAwAC4AMQA3ACwAIAAyADcANgAuADEANQAsACAAMgA4ADEALgA0ADEALAAgADIAOAA3AC4AMwAsACAAMgA5ADQALgAwADkALAAgADIAOQA4AC4AOAAzACwAIAAzADAAMQAuADYANAAsACAAMwAwADUALgA2ADMALAAgADMAMAA2AC4AMwA4ACwAIAAzADAAMwAuADgAMgAsACAAMgA5ADkALgAwADQALAAgADIAOQAwAC4AMQA1ACwAIAAyADkAMgAuADMANwAsACAAMgA5ADkALgA3ADYALAAgADMAMAAyAC4ANgAsACAAMwAwADUALgA1ACwAIAAzADAAOAAuADkAOwBcAG4AIAAgACAAIAAyADkAMAAuADQANQAsACAAMgA3ADkALgA4ADYALAAgADIANwAwAC4ANQAzACwAIAAyADUAOQAuADEAOAAsACAAMgA1ADAALgA3ADMALAAgADIANAA3AC4ANgA2ACwAIAAyADQANAAuADAAMQAsACAAMgA0ADIALgA5ADYALAAgADIANAAyAC4AOQA2ACwAIAAyADQAMgAuADkANgAsACAAMgA0ADIALgA5ADYALAAgADIANAAyAC4AOQA2ACwAIAAyADQAMgAuADkANgAsACAAMgA0ADIALgA5ADYALAAgADIANAAyAC4AOQA2ACwAIAAyADQANgAuADAANAAsACAAMgA0ADkALgAwADIALAAgADIANQAwAC4ANAA0ACwAIAAyADUAMQAuADMALAAgADIANQAyAC4ANQAsACAAMgA1ADMALgA3ADMALAAgADIANQA2AC4AMwAxACwAIAAyADUAOAAuADcAMQAsACAAMgA2ADUALgA1ADgALAAgADIANwAxAC4AOQA1ACwAIAAyADcANwAuADYAOAAsACAAMgA4ADIALgA5ACwAIAAyADgANwAuADMANQAsACAAMgA5ADIALgA5ADkALAAgADIAOQA5AC4AMQAsACAAMwAwADIALgAwADYALAAgADMAMAAzAC4ANQA2ACwAIAAzADAANAAuADYANgAsACAAMwAwADEALgA2ADgALAAgADIAOQA0AC4ANgA0ACwAIAAyADkAOQAuADUAMgAsACAAMgA5ADkALgA0ADkALAAgADIAOQA4AC4ANgAyACwAIAAzADAAMQAuADcAOAAsACAAMwAwADUALgAxADUAOwBcAG4AIAAgACAAIAAyADkAMQAuADQAOAAsACAAMgA4ADEALgAyADYALAAgADIANgA4AC4ANAAxACwAIAAyADUANgAuADYANQAsACAAMgA0ADkALgAwADcALAAgADIANAA2AC4AMQA3ACwAIAAyADQAMwAuADQANQAsACAAMgA0ADIALgA5ADYALAAgADIANAAyAC4AOQA2ACwAIAAyADQAMgAuADkANgAsACAAMgA0ADIALgA5ADYALAAgADIANAAyAC4AOQA2ACwAIAAyADQAMgAuADkANgAsACAAMgA0ADIALgA5ADYALAAgADIANAAyAC4AOQA2ACwAIAAyADQAMgAuADkANgAsACAAMgA0ADMALgA0ADMALAAgADIANAA2AC4AMAAxACwAIAAyADQANwAuADgANAAsACAAMgA0ADgALgA5ADgALAAgADIANQAxAC4AMAAyACwAIAAyADUAMgAuADgAMgAsACAAMgA1ADUALgA1ADIALAAgADIANgAxAC4ANwA1ACwAIAAyADYAOAAuADYANgAsACAAMgA3ADMALgAzADkALAAgADIANwA4AC4ANQA1ACwAIAAyADgAMgAuADkANAAsACAAMgA4ADgALgA4ADQALAAgADIAOQA1AC4ANgA4ACwAIAAzADAAMQAuADIAOAAsACAAMwAwADQALgA5ADEALAAgADMAMAA2AC4AMAAxACwAIAAzADAANAAuADUAMwAsACAAMwAwADEALgA5ADQALAAgADMAMAAwAC4AOQA5ACwAIAAzADAAMwAuADcAOAAsACAAMwAwADQALgAzADUALAAgADMAMAA0AC4AMgA5ACwAIAAzADAANAAuADEANgA7AFwAbgAgACAAIAAgADIAOAA3AC4AMAAxACwAIAAyADcAOQAuADQAMgAsACAAMgA2ADYALgA2ADEALAAgADIANQA1AC4AMwAyACwAIAAyADQAOQAuADEAMwAsACAAMgA0ADYALgA0ADYALAAgADIANAA1AC4AMwA2ACwAIAAyADQAMgAuADkANgAsACAAMgA0ADIALgA5ADYALAAgADIANAAyAC4AOQA2ACwAIAAyADQAMgAuADkANgAsACAAMgA0ADIALgA5ADYALAAgADIANAAyAC4AOQA2ACwAIAAyADQAMgAuADkANgAsACAAMgA0ADIALgA5ADYALAAgADIANAAyAC4AOQA2ACwAIAAyADQAMgAuADkANgAsACAAMgA0ADMALgAxADgALAAgADIANAA1AC4AMQA1ACwAIAAyADQANwAuADIANAAsACAAMgA0ADgALgA4ADkALAAgADIANQAwAC4ANQA4ACwAIAAyADUAMwAuADQAOAAsACAAMgA1ADkALgA0ADcALAAgADIANgAzAC4AOQA1ACwAIAAyADYAOAAuADIAMwAsACAAMgA3ADQALgA3ADQALAAgADIAOAAwAC4AOQAzACwAIAAyADgANwAuADIANAAsACAAMgA5ADMALgAxADIALAAgADIAOQA4AC4AOAA2ACwAIAAzADAAMgAuADMANwAsACAAMwAwADUALgAzADMALAAgADMAMAA2AC4AMAAzACwAIAAzADAANAAuADcANgAsACAAMwAwADIALgAzADEALAAgADMAMAA1AC4AMQAsACAAMwAwADgALgA5ADEALAAgADMAMAA4AC4ANgA2ACwAIAAzADAANwAuADEAOwBcAG4AIAAgACAAIAAyADcAOAAuADkAOQAsACAAMgA3ADMALgA2ADIALAAgADIANgAzAC4ANAA1ACwAIAAyADUANAAuADIAOAAsACAAMgA1ADAALgAxADEALAAgADIANAA3AC4ANQAyACwAIAAyADQANgAuADIANwAsACAAMgA0ADMALgA3ADQALAAgADIANAAyAC4AOQA2ACwAIAAyADQAMgAuADkANgAsACAAMgA0ADIALgA5ADYALAAgADIANAAyAC4AOQA2ACwAIAAyADQAMgAuADkANgAsACAAMgA0ADIALgA5ADYALAAgADIANAAyAC4AOQA2ACwAIAAyADQAMgAuADkANgAsACAAMgA0ADIALgA5ADYALAAgADIANAAyAC4AOQA2ACwAIAAyADQAMwAuADcAOAAsACAAMgA0ADUALgAyADQALAAgADIANAA3AC4AMgAsACAAMgA0ADgALgA4ADEALAAgADIANQAzAC4AMQAyACwAIAAyADUANwAuADkAMQAsACAAMgA1ADkALgAyADkALAAgADIANgA0AC4ANgAsACAAMgA3ADEALgAzADIALAAgADIANwA3AC4ANgA1ACwAIAAyADgANAAuADIAMgAsACAAMgA4ADgALgA4ADMALAAgADIAOQAzAC4AMQAzACwAIAAyADkANwAuADkAMQAsACAAMwAwADEALgA0ADIALAAgADMAMAA0AC4AMQA0ACwAIAAzADAANgAuADAAOAAsACAAMwAwADUALgA5ADQALAAgADMAMAA2AC4AMgA2ACwAIAAzADAAOAAuADkAMwAsACAAMwAxADIALgA3ADMALAAgADMAMQAxAC4ANQA2ADsAXABuACAAIAAgACAAMgA2ADkALgAzADgALAAgADIANgAzAC4AOAA3ACwAIAAyADUAOAAuADAANgAsACAAMgA1ADMALgA1ADcALAAgADIANQAwAC4AOAAxACwAIAAyADQAOAAuADYAMgAsACAAMgA0ADcALgAwADQALAAgADIANAA1AC4AMQAsACAAMgA0ADIALgA5ADYALAAgADIANAAyAC4AOQA2ACwAIAAyADQAMgAuADkANgAsACAAMgA0ADIALgA5ADYALAAgADIANAAyAC4AOQA2ACwAIAAyADQAMgAuADkANgAsACAAMgA0ADIALgA5ADYALAAgADIANAAyAC4AOQA2ACwAIAAyADQAMgAuADkANgAsACAAMgA0ADIALgA5ADYALAAgADIANAAyAC4AOQA2ACwAIAAyADQAMwAuADUAMgAsACAAMgA0ADYALAAgADIANAA4AC4ANQAyACwAIAAyADUAMQAuADYAMwAsACAAMgA1ADIALgA5ADgALAAgADIANQA1AC4AMwA0ACwAIAAyADUAOQAuADAANQAsACAAMgA2ADYALgAwADYALAAgADIANwAyAC4ANgA0ACwAIAAyADcANgAuADQAMgAsACAAMgA4ADUALgA0ADQALAAgADIAOQAyAC4ANQA1ACwAIAAyADkAOAAuADYANwAsACAAMwAwADEALgA4ADkALAAgADMAMAA1AC4AOQA5ACwAIAAzADAAOQAuADAAMgAsACAAMwAwADkALgA2ADQALAAgADMAMQAwAC4ANQAzACwAIAAzADEAMwAuADAAOQAsACAAMwAxADUALgA1ADcALAAgADMAMQA2AC4AMQA2AFwAbgB9ADsAXABuAFwAbgBOAE0AXwAxAD0AXABuACAAIAAgACAAewAxADgAMQAwAC4AMgAsACAAMQA4ADEAMQAuADMAMQAsACAAMQA4ADEAMAAuADMAMgAsACAAMQA4ADAAOQAuADMANAAsACAAMQA4ADAAOAAuADQANwAsACAAMQA4ADAANwAuADQANAAsACAAMQA4ADAANgAuADEALAAgADEAOAAwADQALgA4ACwAIAAxADgAMAAzAC4ANAA1ACwAIAAxADgAMAAxAC4AOQA1ACwAIAAxADgAMAAwAC4ANAAzACwAIAAxADcAOQA4AC4ANwAzACwAIAAxADcAOQA3AC4AMwA2ACwAIAAxADcAOQA2AC4ANQA3ACwAIAAxADcAOQA1AC4AOQA0ACwAIAAxADcAOQA1AC4ANgA0ACwAIAAxADcAOQA1AC4AMAA5ACwAIAAxADcAOQA0AC4ANAA5ACwAIAAxADcAOQAzAC4AOAA2ACwAIAAxADcAOQAyAC4AOAA5ACwAIAAxADcAOQAxAC4ANAA2ACwAIABcACIALQA5ADkAOQA5AKAASQBuAHYAYQBsAGkAZABcACIALAAgADEANwA4ADcALgAzADQALAAgADEANwA4ADUALgA4ADgALAAgAFwAIgAtADkAOQA5ADkAoABJAG4AdgBhAGwAaQBkAFwAIgAsACAAMQA3ADgAMgAuADIAMwAsACAAMQA3ADgAMAAuADUANgAsACAAMQA3ADcAOQAuADEANAAsACAAMQA3ADcAOAAuADEAMQAsACAAMQA3ADcANwAuADQANwA7AFwAbgAgACAAIAAgAFwAIgAtADkAOQA5ADkAoABJAG4AdgBhAGwAaQBkAFwAIgAsACAAMQA4ADAAOQAuADQAOQAsACAAMQA4ADAAOAAuADkAMQAsACAAMQA4ADAAOAAuADQANAAsACAAMQA4ADAANwAuADQAMwAsACAAMQA4ADAANgAuADYALAAgAFwAIgAtADkAOQA5ADkAoABJAG4AdgBhAGwAaQBkAFwAIgAsACAAMQA4ADAANAAuADIANgAsACAAMQA4ADAAMgAuADcAOAAsACAAMQA4ADAAMQAuADQALAAgADEANwA5ADkALgA5ADMALAAgADEANwA5ADgALgA0ADgALAAgAFwAIgAtADkAOQA5ADkAoABJAG4AdgBhAGwAaQBkAFwAIgAsACAAMQA3ADkANgAuADYANwAsACAAMQA3ADkANgAuADMAOQAsACAAMQA3ADkANQAuADcANQAsACAAMQA3ADkANAAuADkAOAAsACAAMQA3ADkANAAuADMANwAsACAAMQA3ADkAMwAuADMANwAsACAAMQA3ADkAMgAuADMANgAsACAAMQA3ADkAMQAuADEANAAsACAAMQA3ADkAMAAuADEANAAsACAAMQA3ADgAOAAuADUANgAsACAAMQA3ADgANgAuADgANwAsACAAMQA3ADgANQAuADEANwAsACAAMQA3ADgAMwAuADMAMwAsACAAMQA3ADgAMAAuADkAOAAsACAAMQA3ADcAOQAuADgALAAgADEANwA3ADkALgAwADEALAAgADEANwA3ADgALgA2ADMAOwBcAG4AIAAgACAAIAAxADgAMAA3AC4ANgAsACAAMQA4ADAANwAuADIAMQAsACAAXAAiAC0AOQA5ADkAOQCgAEkAbgB2AGEAbABpAGQAXAAiACwAIABcACIALQA5ADkAOQA5AKAASQBuAHYAYQBsAGkAZABcACIALAAgAFwAIgAtADkAOQA5ADkAoABJAG4AdgBhAGwAaQBkAFwAIgAsACAAMQA4ADAANQAuADcANgAsACAAMQA4ADAANAAuADgANAAsACAAMQA4ADAAMwAuADEANQAsACAAMQA4ADAAMgAuADIALAAgADEAOAAwADAALgA4ADcALAAgADEANwA5ADkALgA1ADUALAAgAFwAIgAtADkAOQA5ADkAoABJAG4AdgBhAGwAaQBkAFwAIgAsACAAMQA3ADkANwAuADAAOAAsACAAMQA3ADkANgAuADIAOAAsACAAMQA3ADkANQAuADUAMgAsACAAMQA3ADkANAAuADkAOQAsACAAMQA3ADkANAAuADMAMwAsACAAMQA3ADkAMwAuADMAMwAsACAAMQA3ADkAMgAuADAANgAsACAAMQA3ADkAMQAuADYAMQAsACAAMQA3ADkAMAAuADUANgAsACAAMQA3ADgAOQAuADUAOAAsACAAMQA3ADgAOAAuADMANAAsACAAMQA3ADgANgAuADUAOQAsACAAMQA3ADgANQAuADIANAAsACAAXAAiAC0AOQA5ADkAOQCgAEkAbgB2AGEAbABpAGQAXAAiACwAIAAxADcAOAAxAC4ANAAyACwAIAAxADcAOAAwAC4AMgA1ACwAIAAxADcANwA5AC4AMQA0ACwAIAAxADcANwA3AC4AOQAzADsAXABuACAAIAAgACAAMQA4ADAANAAuADcAMwAsACAAMQA4ADAANAAuADgANgAsACAAMQA4ADAANQAuADEAOQAsACAAMQA4ADAANQAuADIAMgAsACAAMQA4ADAANQAuADAANgAsACAAMQA4ADAANAAuADQAMwAsACAAMQA4ADAAMwAuADgALAAgADEAOAAwADIALgAxADkALAAgADEAOAAwADEALgA1ADEALAAgADEAOAAwADAALgA0ADYALAAgADEANwA5ADkALgAwADgALAAgADEANwA5ADcALgA3ADgALAAgADEANwA5ADYALgA2ADcALAAgADEANwA5ADUALgA3ACwAIAAxADcAOQA0AC4ANwAxACwAIAAxADcAOQAzAC4AOQA5ACwAIAAxADcAOQAyAC4AOQA4ACwAIAAxADcAOQAyAC4AMQA0ACwAIAAxADcAOQAxAC4AMAAzACwAIAAxADcAOQAwAC4ANAAyACwAIAAxADcAOAA5AC4ANQA5ACwAIAAxADcAOAA4AC4ANQA4ACwAIAAxADcAOAA2AC4ANQAzACwAIAAxADcAOAA2AC4AMAA2ACwAIAAxADcAOAA0AC4ANQA3ACwAIAAxADcAOAAzAC4AMQA2ACwAIAAxADcAOAAxAC4AMgA1ACwAIAAxADcAOAAwAC4AMAA1ACwAIAAxADcANwA4AC4AOAA1ACwAIAAxADcANwA3AC4AMgA2ADsAXABuACAAIAAgACAAMQA4ADAAMAAuADkANQAsACAAMQA3ADkAOQAuADcANwAsACAAMQA4ADAAMgAuADUANwAsACAAMQA4ADAAMwAuADIAOAAsACAAMQA4ADAAMwAuADEAMgAsACAAMQA4ADAAMwAuADEANQAsACAAMQA4ADAAMgAuADYANgAsACAAMQA4ADAAMQAuADcAOQAsACAAXAAiAC0AOQA5ADkAOQCgAEkAbgB2AGEAbABpAGQAXAAiACwAIAAxADcAOQA5AC4AOAAyACwAIAAxADcAOQA4AC4ANAA3ACwAIAAxADcAOQA3AC4AMwA2ACwAIAAxADcAOQA2AC4AMgA5ACwAIABcACIALQA5ADkAOQA5AKAASQBuAHYAYQBsAGkAZABcACIALAAgAFwAIgAtADkAOQA5ADkAoABJAG4AdgBhAGwAaQBkAFwAIgAsACAAXAAiAC0AOQA5ADkAOQCgAEkAbgB2AGEAbABpAGQAXAAiACwAIAAxADcAOQAxAC4AMgAyACwAIAAxADcAOQAwAC4ANQAsACAAMQA3ADgAOQAuADYAMwAsACAAMQA3ADgAOAAuADcAOAAsACAAMQA3ADgANwAsACAAMQA3ADgANQAuADMANwAsACAAMQA3ADgANAAuADcANgAsACAAMQA3ADgANAAuADYAMgAsACAAMQA3ADgAMwAuADcALAAgADEANwA4ADEALgA4ADEALAAgADEANwA4ADAALgA0ADIALAAgAFwAIgAtADkAOQA5ADkAoABJAG4AdgBhAGwAaQBkAFwAIgAsACAAMQA3ADcAOAAuADAANAAsACAAMQA3ADcANgAuADQANQA7AFwAbgAgACAAIAAgADEAOAAwADAALgAzADYALAAgADEANwA5ADcALgA4ADIALAAgADEAOAAwADAALgA2ADQALAAgADEAOAAwADEALgAxADcALAAgADEAOAAwADEALgAwADkALAAgADEAOAAwADEALgAxADQALAAgADEAOAAwADAALgA5ADYALAAgAFwAIgAtADkAOQA5ADkAoABJAG4AdgBhAGwAaQBkAFwAIgAsACAAMQA3ADkAOQAuADQANgAsACAAMQA3ADkAOAAuADYANQAsACAAMQA3ADkANwAuADYALAAgADEANwA5ADYALgA3ADYALAAgADEANwA5ADUALgA2ADUALAAgADEANwA5ADQALgA1ADUALAAgADEANwA5ADMALgAyADQALAAgADEANwA5ADEALgA1ADgALAAgAFwAIgAtADkAOQA5ADkAoABJAG4AdgBhAGwAaQBkAFwAIgAsACAAMQA3ADgAOAAuADYAOQAsACAAXAAiAC0AOQA5ADkAOQCgAEkAbgB2AGEAbABpAGQAXAAiACwAIAAxADcAOAA2AC4ANgA5ACwAIAAxADcAOAA1AC4AMQA5ACwAIAAxADcAOAAzAC4ANwA1ACwAIAAxADcAOAAyAC4AOAA5ACwAIAAxADcAOAAyAC4AOAA0ACwAIAAxADcAOAAyAC4ANQA4ACwAIAAxADcAOAAwAC4ANgAzACwAIAAxADcANwA5AC4ANQA0ACwAIAAxADcANwA4AC4AMwAyACwAIAAxADcANwA3AC4AMQA2ACwAIAAxADcANwA1AC4ANwA4ADsAXABuACAAIAAgACAAMQA3ADkAOAAuADUANAAsACAAMQA3ADkANwAuADAANgAsACAAMQA3ADkAOAAuADEAOQAsACAAMQA3ADkAOAAuADYAOAAsACAAMQA3ADkAOQAuADMAOQAsACAAMQA3ADkAOQAuADUAMQAsACAAMQA3ADkAOQAuADMAMgAsACAAMQA3ADkAOAAuADgAOQAsACAAMQA3ADkAOAAuADMAOAAsACAAMQA3ADkANwAuADcAOAAsACAAMQA3ADkANgAuADkAOAAsACAAMQA3ADkANgAuADEAMQAsACAAMQA3ADkANAAuADkAOAAsACAAMQA3ADkAMwAuADkAOQAsACAAXAAiAC0AOQA5ADkAOQCgAEkAbgB2AGEAbABpAGQAXAAiACwAIAAxADcAOQAxAC4ANAA2ACwAIAAxADcAOAA5AC4ANgA1ACwAIAAxADcAOAA3AC4ANQAsACAAXAAiAC0AOQA5ADkAOQCgAEkAbgB2AGEAbABpAGQAXAAiACwAIAAxADcAOAA1AC4ANAA3ACwAIAAxADcAOAA0AC4AMgA2ACwAIAAxADcAOAAyAC4ANgA2ACwAIAAxADcAOAAxAC4AMAA3ACwAIAAxADcAOAAwAC4ANAAsACAAMQA3ADgAMAAuADAAMQAsACAAMQA3ADcAOAAuADcAMgAsACAAMQA3ADcANwAuADUANAAsACAAXAAiAC0AOQA5ADkAOQCgAEkAbgB2AGEAbABpAGQAXAAiACwAIAAxADcANwA1AC4AOQAyACwAIAAxADcANwA0AC4ANQA5ADsAXABuACAAIAAgACAAMQA3ADkANgAuADIAOAAsACAAMQA3ADkANAAuADIANwAsACAAMQA3ADkANQAuADcANwAsACAAXAAiAC0AOQA5ADkAOQCgAEkAbgB2AGEAbABpAGQAXAAiACwAIAAxADcAOQA3AC4ANAAxACwAIAAxADcAOQA3AC4AMwA3ACwAIAAxADcAOQA3AC4ANwAxACwAIAAxADcAOQA3AC4ANgAsACAAMQA3ADkANwAuADIAOQAsACAAMQA3ADkANgAuADgAOAAsACAAMQA3ADkANgAuADIAOQAsACAAMQA3ADkANQAuADUAMgAsACAAMQA3ADkANAAuADQAMgAsACAAMQA3ADkAMwAuADQANwAsACAAMQA3ADkAMgAuADMANwAsACAAMQA3ADkAMQAuADEAMQAsACAAMQA3ADgAOQAuADEAMwAsACAAMQA3ADgANgAuADkAOQAsACAAXAAiAC0AOQA5ADkAOQCgAEkAbgB2AGEAbABpAGQAXAAiACwAIAAxADcAOAA0AC4AMQAxACwAIAAxADcAOAAzAC4AMgA4ACwAIAAxADcAOAAxAC4AOQA1ACwAIAAxADcANwA5AC4AOQA0ACwAIAAxADcANwA4AC4AMwAzACwAIAAxADcANwA2AC4AOQAzACwAIAAxADcANwA2AC4AMwAsACAAMQA3ADcANQAuADkAOAAsACAAMQA3ADcANQAuADMANAAsACAAXAAiAC0AOQA5ADkAOQCgAEkAbgB2AGEAbABpAGQAXAAiACwAIAAxADcANwAzAC4ANgA2ADsAXABuACAAIAAgACAAMQA3ADkAMwAuADQANAAsACAAMQA3ADkAMgAuADQAMQAsACAAXAAiAC0AOQA5ADkAOQCgAEkAbgB2AGEAbABpAGQAXAAiACwAIAAxADcAOQA1AC4AMAA1ACwAIAAxADcAOQA1AC4ANQAsACAAMQA3ADkANQAuADIAMgAsACAAMQA3ADkANQAuADgAMQAsACAAMQA3ADkANgAuADAAMwAsACAAMQA3ADkANQAuADcANQAsACAAMQA3ADkANQAuADYAMQAsACAAMQA3ADkANQAuADEALAAgADEANwA5ADQALgAzADcALAAgADEANwA5ADMALgA2ADgALAAgADEANwA5ADIALgA3ADMALAAgADEANwA5ADEALgA2ADcALAAgADEANwA5ADAALgA1ADIALAAgADEANwA4ADgALgA4ADYALAAgAFwAIgAtADkAOQA5ADkAoABJAG4AdgBhAGwAaQBkAFwAIgAsACAAMQA3ADgANAAuADgANgAsACAAXAAiAC0AOQA5ADkAOQCgAEkAbgB2AGEAbABpAGQAXAAiACwAIABcACIALQA5ADkAOQA5AKAASQBuAHYAYQBsAGkAZABcACIALAAgADEANwA4ADAALgAzADcALAAgADEANwA3ADkALgA2ADIALAAgADEANwA3ADcALgAzADUALAAgADEANwA3ADUALgA4ADMALAAgADEANwA3ADQALgA1ADQALAAgADEANwA3ADMALgA2ADYALAAgADEANwA3ADIALgA4ADYALAAgADEANwA3ADIALgA3ADcALAAgADEANwA3ADIALgAxADgAOwBcAG4AIAAgACAAIAAxADcAOQAwAC4ANgAxACwAIAAxADcAOQAwAC4ANAAsACAAMQA3ADkAMgAuADMALAAgADEANwA5ADIALgA5ADEALAAgADEANwA5ADIALgA5ADIALAAgADEANwA5ADMALgA3ADIALAAgADEANwA5ADQALgAwADMALAAgADEANwA5ADQALgAwADcALAAgADEANwA5ADQALgAwADYALAAgADEANwA5ADQALgAyADUALAAgADEANwA5ADMALgA5ACwAIAAxADcAOQAzAC4ANAA1ACwAIABcACIALQA5ADkAOQA5AKAASQBuAHYAYQBsAGkAZABcACIALAAgADEANwA5ADEALgA5ADUALAAgADEANwA5ADAALgA4ADQALAAgADEANwA4ADkALgA0ADUALAAgADEANwA4ADgALgA1ACwAIAAxADcAOAA3AC4AMAA0ACwAIAAxADcAOAA0AC4AOQA5ACwAIAAxADcAOAAzAC4AMQA1ACwAIAAxADcAOAAwAC4ANAAyACwAIAAxADcANwA4AC4AMwAxACwAIAAxADcANwA3AC4AMQA1ACwAIABcACIALQA5ADkAOQA5AKAASQBuAHYAYQBsAGkAZABcACIALAAgADEANwA3ADQALgA5ADIALAAgADEANwA3ADMALgA1ADgALAAgADEANwA3ADIALgA0ADMALAAgAFwAIgAtADkAOQA5ADkAoABJAG4AdgBhAGwAaQBkAFwAIgAsACAAMQA3ADcAMAAuADQANwAsACAAXAAiAC0AOQA5ADkAOQCgAEkAbgB2AGEAbABpAGQAXAAiADsAXABuACAAIAAgACAAMQA3ADgANwAuADcAOQAsACAAMQA3ADgAOAAuADgAMwAsACAAMQA3ADkAMAAuADYANQAsACAAMQA3ADkAMQAuADEAMwAsACAAMQA3ADkAMQAuADEANwAsACAAMQA3ADkAMQAuADcAMgAsACAAMQA3ADkAMgAuADEAOQAsACAAMQA3ADkAMgAuADEAOAAsACAAMQA3ADkAMgAuADUAMgAsACAAMQA3ADkAMgAuADcAMgAsACAAMQA3ADkAMgAuADQAOAAsACAAMQA3ADkAMgAuADQALAAgADEANwA5ADEALgA4ADcALAAgADEANwA5ADEALgAyADcALAAgADEANwA5ADAALgAwADMALAAgAFwAIgAtADkAOQA5ADkAoABJAG4AdgBhAGwAaQBkAFwAIgAsACAAMQA3ADgANgAuADkANgAsACAAMQA3ADgANQAuADMANAAsACAAXAAiAC0AOQA5ADkAOQCgAEkAbgB2AGEAbABpAGQAXAAiACwAIAAxADcAOAAyAC4AOAA4ACwAIABcACIALQA5ADkAOQA5AKAASQBuAHYAYQBsAGkAZABcACIALAAgADEANwA3ADgALgAxADMALAAgAFwAIgAtADkAOQA5ADkAoABJAG4AdgBhAGwAaQBkAFwAIgAsACAAMQA3ADcANAAuADEAOQAsACAAXAAiAC0AOQA5ADkAOQCgAEkAbgB2AGEAbABpAGQAXAAiACwAIAAxADcANwAyAC4ANAAsACAAMQA3ADcAMQAuADUANAAsACAAMQA3ADcAMAAuADUANAAsACAAMQA3ADYAOQAuADUANgAsACAAMQA3ADYAOAAuADQANAA7AFwAbgAgACAAIAAgADEANwA4ADUALgA4ADgALAAgADEANwA4ADcALgAwADkALAAgADEANwA4ADgALgAyADYALAAgADEANwA4ADgALgAwADgALAAgADEANwA4ADkALgAyADEALAAgADEANwA4ADkALgA2ADgALAAgAFwAIgAtADkAOQA5ADkAoABJAG4AdgBhAGwAaQBkAFwAIgAsACAAMQA3ADkAMAAuADIAOQAsACAAXAAiAC0AOQA5ADkAOQCgAEkAbgB2AGEAbABpAGQAXAAiACwAIAAxADcAOQAwAC4ANQA1ACwAIAAxADcAOQAwAC4AOAAzACwAIAAxADcAOQAxAC4AMAA1ACwAIAAxADcAOQAwAC4AOAA4ACwAIAAxADcAOQAwAC4ANAA4ACwAIAAxADcAOAA5AC4ANAAxACwAIAAxADcAOAA3AC4AOQA4ACwAIAAxADcAOAA2AC4ANAA0ACwAIABcACIALQA5ADkAOQA5AKAASQBuAHYAYQBsAGkAZABcACIALAAgADEANwA4ADIALgA5ADgALAAgADEANwA4ADEALgA4ADIALAAgADEANwA4ADAALgA4ADEALAAgADEANwA3ADgALgA5ADcALAAgADEANwA3ADYALgAzADYALAAgADEANwA3ADIALgAzADcALAAgADEANwA3ADEALgA2ADQALAAgADEANwA3ADEALgAyADcALAAgADEANwA3ADEALgAyADUALAAgADEANwA3ADAALgA3ADkALAAgADEANwA3ADAALgAyACwAIABcACIALQA5ADkAOQA5AKAASQBuAHYAYQBsAGkAZABcACIAOwBcAG4AIAAgACAAIAAxADcAOAAzAC4AOQA2ACwAIAAxADcAOAAzAC4ANgA5ACwAIAAxADcAOAA0AC4AOAAxACwAIAAxADcAOAA1AC4AMQA0ACwAIAAxADcAOAA2AC4AOQA0ACwAIAAxADcAOAA2AC4AMQAzACwAIAAxADcAOAA3AC4AMwA3ACwAIAAxADcAOAA3AC4ANAAxACwAIAAxADcAOAA3AC4AOAA2ACwAIAAxADcAOAA4AC4AOAAxACwAIAAxADcAOAA5AC4AMQA4ACwAIAAxADcAOAA5AC4ANQAxACwAIAAxADcAOAA5AC4ANAAzACwAIAAxADcAOAA4AC4ANwA3ACwAIAAxADcAOAA4AC4ANQAxACwAIAAxADcAOAA3AC4AOQA2ACwAIAAxADcAOAA2AC4ANgAxACwAIAAxADcAOAA0AC4ANAAsACAAMQA3ADgAMgAuADEAOQAsACAAMQA3ADcAOQAuADUAMQAsACAAMQA3ADcANwAuADQANwAsACAAMQA3ADcANQAuADAANAAsACAAMQA3ADcAMgAuADkANQAsACAAMQA3ADcAMQAuADYANAAsACAAMQA3ADcAMQAuADAAMwAsACAAMQA3ADcAMQAuADEANAAsACAAMQA3ADcAMgAuADIAMwAsACAAMQA3ADcAMgAuADIANQAsACAAMQA3ADcAMgAuADAAMgAsACAAMQA3ADcAMQAuADkAMQA7AFwAbgAgACAAIAAgADEANwA4ADIALgAwADcALAAgADEANwA4ADEALgA1ADEALAAgADEANwA4ADEALgA2ADMALAAgAFwAIgAtADkAOQA5ADkAoABJAG4AdgBhAGwAaQBkAFwAIgAsACAAMQA3ADgAMwAuADgAOQAsACAAMQA3ADgANAAsACAAMQA3ADgAMwAuADcAMQAsACAAMQA3ADgAMwAuADgANQAsACAAMQA3ADgANQAuADUAOAAsACAAMQA3ADgANgAuADEAMwAsACAAMQA3ADgANgAuADgANAAsACAAMQA3ADgANgAuADMAOQAsACAAMQA3ADgANgAuADkAMwAsACAAMQA3ADgANwAuADQAMwAsACAAMQA3ADgANwAuADgAMQAsACAAMQA3ADgANwAuADUANwAsACAAMQA3ADgANgAuADcAMwAsACAAMQA3ADgANAAuADkAOAAsACAAMQA3ADgAMwAuADQANQAsACAAMQA3ADgAMAAuADAANQAsACAAMQA3ADcANgAuADUALAAgADEANwA3ADQALgA5ADcALAAgADEANwA3ADMALgAxADgALAAgADEANwA3ADIALgA2ADkALAAgADEANwA3ADAALgAyADMALAAgAFwAIgAtADkAOQA5ADkAoABJAG4AdgBhAGwAaQBkAFwAIgAsACAAMQA3ADcAMwAuADgAMQAsACAAMQA3ADcANAAuADEANAAsACAAXAAiAC0AOQA5ADkAOQCgAEkAbgB2AGEAbABpAGQAXAAiACwAIAAxADcANwAzAC4ANQA4ADsAXABuACAAIAAgACAAMQA3ADgAMAAuADQAOQAsACAAMQA3ADgAMAAuADAAMgAsACAAMQA3ADcAOQAuADcALAAgADEANwA3ADkALgA5ADQALAAgADEANwA4ADAALgA3ADcALAAgADEANwA4ADEALgA3ADcALAAgADEANwA4ADEALgA2ADUALAAgADEANwA4ADEALgA3ADYALAAgAFwAIgAtADkAOQA5ADkAoABJAG4AdgBhAGwAaQBkAFwAIgAsACAAMQA3ADgAMwAuADkALAAgADEANwA4ADMALgA0ADUALAAgADEANwA4ADQALgAxADMALAAgADEANwA4ADUALgA0ADEALAAgADEANwA4ADYALgA2ADcALAAgADEANwA4ADcALgA0ADgALAAgADEANwA4ADcALgA0ADUALAAgADEANwA4ADYALgA4ACwAIABcACIALQA5ADkAOQA5AKAASQBuAHYAYQBsAGkAZABcACIALAAgADEANwA4ADIALgAyADMALAAgADEANwA3ADkALgA4ADEALAAgADEANwA3ADkALgA0ADIALAAgADEANwA3ADkALgAyADUALAAgADEANwA3ADkALgAxADYALAAgADEANwA3ADkALgAwADkALAAgADEANwA3ADgALgA1ADkALAAgADEANwA3ADUALgA0ACwAIAAxADcANwA2AC4AMwA3ACwAIABcACIALQA5ADkAOQA5AKAASQBuAHYAYQBsAGkAZABcACIALAAgADEANwA3ADUALgA3ADkALAAgADEANwA3ADUALgA0ADEAXABuAH0AOwBcAG4AXABuAE4ATQBfADIAPQBcAG4AIAAgACAAIAB7ADEANwA3ADkALgA5ADEALAAgADEANwA3ADgALgA2ADEALAAgADEANwA3ADgALgAyADYALAAgADEANwA3ADcALgA3ADkALAAgADEANwA3ADgALgAzADMALAAgADEANwA3ADgALgA2ADIALAAgADEANwA3ADkALgA1ACwAIAAxADcAOAAwAC4ANgA3ACwAIAAxADcAOAAyAC4AMgAxACwAIABcACIALQA5ADkAOQA5AKAASQBuAHYAYQBsAGkAZABcACIALAAgADEANwA4ADEALgA0ADYALAAgADEANwA4ADMALAAgADEANwA4ADQALgA4ADgALAAgADEANwA4ADYALgA1ADUALAAgADEANwA4ADcALgAwADgALAAgADEANwA4ADcALgAxADQALAAgADEANwA4ADYALgAxADIALAAgADEANwA4ADQALgA4ACwAIAAxADcAOAAyAC4AOAAsACAAMQA3ADgAMgAuADQANAAsACAAMQA3ADgAMgAuADYANwAsACAAMQA3ADgAMgAuADYAMQAsACAAXAAiAC0AOQA5ADkAOQCgAEkAbgB2AGEAbABpAGQAXAAiACwAIAAxADcAOAAxAC4AMAAyACwAIABcACIALQA5ADkAOQA5AKAASQBuAHYAYQBsAGkAZABcACIALAAgADEANwA3ADcALgAxADQALAAgADEANwA3ADgALgAwADgALAAgADEANwA3ADcALgA5ADIALAAgADEANwA3ADcALgA1ACwAIAAxADcANwA2AC4ANwA4ADsAXABuACAAIAAgACAAMQA3ADgAMAAuADUAMQAsACAAMQA3ADcANwAuADcAOAAsACAAMQA3ADcANwAuADEAMQAsACAAMQA3ADcANgAuADUAMwAsACAAMQA3ADcANgAuADUAOQAsACAAMQA3ADcANgAuADkANwAsACAAMQA3ADcANwAuADgANwAsACAAMQA3ADcAOAAuADMAMwAsACAAMQA3ADcAOQAuADkAOQAsACAAMQA3ADcAOQAuADYAMgAsACAAMQA3ADgAMAAuADgANwAsACAAMQA3ADgAMwAuADAANgAsACAAMQA3ADgANQAuADAANwAsACAAMQA3ADgANgAuADMAMwAsACAAMQA3ADgANwAsACAAMQA3ADgANwAuADAAMwAsACAAMQA3ADgANgAuADMANQAsACAAMQA3ADgANQAuADEANQAsACAAMQA3ADgANAAuADMAMgAsACAAMQA3ADgANAAuADcAMgAsACAAMQA3ADgANAAuADUAOQAsACAAXAAiAC0AOQA5ADkAOQCgAEkAbgB2AGEAbABpAGQAXAAiACwAIAAxADcAOAAzAC4ANgAxACwAIAAxADcAOAAxAC4AOQA2ACwAIAAxADcAOAAxAC4ANgAyACwAIAAxADcAOAAwAC4AOAA5ACwAIAAxADcAOAAwAC4AMgAyACwAIAAxADcANwA5AC4ANgAsACAAMQA3ADcAOAAuADYANwAsACAAMQA3ADcANwAuADcAOQA7AFwAbgAgACAAIAAgADEANwA4ADMALgA2ADIALAAgADEANwA3ADYALgA5ADkALAAgADEANwA3ADYALgAyADUALAAgAFwAIgAtADkAOQA5ADkAoABJAG4AdgBhAGwAaQBkAFwAIgAsACAAXAAiAC0AOQA5ADkAOQCgAEkAbgB2AGEAbABpAGQAXAAiACwAIAAxADcANwA1AC4ANQA3ACwAIAAxADcANwA2AC4AMAA3ACwAIABcACIALQA5ADkAOQA5AKAASQBuAHYAYQBsAGkAZABcACIALAAgADEANwA3ADcALgA0ADIALAAgAFwAIgAtADkAOQA5ADkAoABJAG4AdgBhAGwAaQBkAFwAIgAsACAAMQA3ADgAMQAuADIANwAsACAAMQA3ADgANAAuADAAMgAsACAAMQA3ADgANQAuADQALAAgAFwAIgAtADkAOQA5ADkAoABJAG4AdgBhAGwAaQBkAFwAIgAsACAAMQA3ADgANwAsACAAMQA3ADgANgAuADcALAAgADEANwA4ADYALgAyADkALAAgAFwAIgAtADkAOQA5ADkAoABJAG4AdgBhAGwAaQBkAFwAIgAsACAAMQA3ADgANQAuADkANgAsACAAMQA3ADgANgAuADAAOQAsACAAMQA3ADgANQAuADkAOQAsACAAMQA3ADgANQAuADYALAAgADEANwA4ADUALgAxACwAIAAxADcAOAA0AC4AMwA3ACwAIAAxADcAOAAzAC4AMAA5ACwAIAAxADcAOAAxAC4ANwAxACwAIAAxADcAOAAwAC4AOQA5ACwAIABcACIALQA5ADkAOQA5AKAASQBuAHYAYQBsAGkAZABcACIALAAgADEANwA3ADkALgAyADYALAAgADEANwA3ADgALgAyADkAOwBcAG4AIAAgACAAIAAxADcAOAAzAC4AOAAsACAAMQA3ADcAOQAuADIANgAsACAAMQA3ADcANQAuADkAOAAsACAAMQA3ADcANQAuADEAMgAsACAAMQA3ADcANAAuADEAMwAsACAAMQA3ADcAMwAuADcANgAsACAAMQA3ADcANAAuADIAMgAsACAAMQA3ADcANQAuADQAMgAsACAAMQA3ADcANgAuADYANwAsACAAMQA3ADcAOAAuADgAMgAsACAAMQA3ADgAMQAuADgANgAsACAAMQA3ADgANAAuADMALAAgAFwAIgAtADkAOQA5ADkAoABJAG4AdgBhAGwAaQBkAFwAIgAsACAAMQA3ADgANgAuADYALAAgADEANwA4ADcALgAxADEALAAgADEANwA4ADYALgA2ADUALAAgADEANwA4ADYALgA0ADgALAAgADEANwA4ADYALgA2ADgALAAgADEANwA4ADcALgAwADcALAAgADEANwA4ADcALgAyADEALAAgADEANwA4ADcALgAwADgALAAgADEANwA4ADYALgA5ADIALAAgADEANwA4ADYALgA1ADYALAAgADEANwA4ADUALgA2ADUALAAgADEANwA4ADMALgA3ADUALAAgAFwAIgAtADkAOQA5ADkAoABJAG4AdgBhAGwAaQBkAFwAIgAsACAAXAAiAC0AOQA5ADkAOQCgAEkAbgB2AGEAbABpAGQAXAAiACwAIAAxADcAOAAxAC4AMAA3ACwAIABcACIALQA5ADkAOQA5AKAASQBuAHYAYQBsAGkAZABcACIALAAgADEANwA3ADcALgA2ADcAOwBcAG4AIAAgACAAIAAxADcAOAA0AC4AMQA4ACwAIAAxADcAOAAxAC4ANgA4ACwAIAAxADcANwA4AC4ANAAzACwAIAAxADcANwA1AC4AOQA3ACwAIAAxADcANwAzAC4AMAA4ACwAIAAxADcANwAyAC4AOQA5ACwAIAAxADcANwAzAC4AMQAyACwAIABcACIALQA5ADkAOQA5AKAASQBuAHYAYQBsAGkAZABcACIALAAgADEANwA3ADYALgA5ACwAIAAxADcANwA5AC4AMQA4ACwAIAAxADcAOAAyAC4AMAA3ACwAIAAxADcAOAA0AC4AMQAsACAAMQA3ADgANQAuADUAMwAsACAAMQA3ADgANgAuADQANwAsACAAMQA3ADgANgAuADkAMgAsACAAXAAiAC0AOQA5ADkAOQCgAEkAbgB2AGEAbABpAGQAXAAiACwAIAAxADcAOAA2AC4AOAA4ACwAIAAxADcAOAA3AC4ANAAzACwAIABcACIALQA5ADkAOQA5AKAASQBuAHYAYQBsAGkAZABcACIALAAgADEANwA4ADgALgAwADMALAAgADEANwA4ADgALgAwADEALAAgAFwAIgAtADkAOQA5ADkAoABJAG4AdgBhAGwAaQBkAFwAIgAsACAAMQA3ADgANwAuADMAOAAsACAAXAAiAC0AOQA5ADkAOQCgAEkAbgB2AGEAbABpAGQAXAAiACwAIAAxADcAOAA0AC4AMwAsACAAMQA3ADgAMwAuADIAMgAsACAAMQA3ADgAMgAuADQALAAgADEANwA4ADAALgA5ADcALAAgADEANwA3ADkALgAwADIALAAgADEANwA3ADYALgA5ADYAOwBcAG4AIAAgACAAIAAxADcAOAAyAC4ANAAyACwAIAAxADcAOAAwAC4ANAA2ACwAIAAxADcANwA3AC4ANwA4ACwAIAAxADcANwA0AC4AMwA0ACwAIAAxADcANwAyAC4ANwAyACwAIAAxADcANwAyAC4AMAA3ACwAIABcACIALQA5ADkAOQA5AKAASQBuAHYAYQBsAGkAZABcACIALAAgADEANwA3ADMALgA3ADcALAAgAFwAIgAtADkAOQA5ADkAoABJAG4AdgBhAGwAaQBkAFwAIgAsACAAMQA3ADgAMAAuADAANwAsACAAMQA3ADgAMQAuADgANQAsACAAMQA3ADgAMwAuADYANwAsACAAMQA3ADgANQAuADIAMwAsACAAMQA3ADgANgAuADMAMgAsACAAMQA3ADgANgAuADcAMQAsACAAXAAiAC0AOQA5ADkAOQCgAEkAbgB2AGEAbABpAGQAXAAiACwAIAAxADcAOAA2AC4ANwA4ACwAIABcACIALQA5ADkAOQA5AKAASQBuAHYAYQBsAGkAZABcACIALAAgADEANwA4ADcALgA5ADcALAAgADEANwA4ADgALgAxADIALAAgADEANwA4ADgALgA0ACwAIABcACIALQA5ADkAOQA5AKAASQBuAHYAYQBsAGkAZABcACIALAAgADEANwA4ADgALgAyADEALAAgADEANwA4ADcALgAxADUALAAgAFwAIgAtADkAOQA5ADkAoABJAG4AdgBhAGwAaQBkAFwAIgAsACAAMQA3ADgAMwAuADkAMwAsACAAMQA3ADgAMgAuADMANwAsACAAMQA3ADgAMAAuADgALAAgAFwAIgAtADkAOQA5ADkAoABJAG4AdgBhAGwAaQBkAFwAIgAsACAAMQA3ADcANgAuADIAMQA7AFwAbgAgACAAIAAgADEANwA3ADkALgA3ADMALAAgADEANwA3ADgALgAwADcALAAgADEANwA3ADQALgA3ADUALAAgADEANwA3ADMALgAyADQALAAgAFwAIgAtADkAOQA5ADkAoABJAG4AdgBhAGwAaQBkAFwAIgAsACAAMQA3ADcAMQAuADEANwAsACAAMQA3ADcAMQAuADMAMwAsACAAMQA3ADcAMgAuADgAOQAsACAAMQA3ADcANQAuADYAMwAsACAAMQA3ADcAOQAuADUAOQAsACAAXAAiAC0AOQA5ADkAOQCgAEkAbgB2AGEAbABpAGQAXAAiACwAIAAxADcAOAAzAC4AMAA4ACwAIAAxADcAOAA0AC4ANAAxACwAIAAxADcAOAA1AC4ANAAyACwAIAAxADcAOAA2AC4AMAA0ACwAIAAxADcAOAA1AC4AOAA1ACwAIAAxADcAOAA1AC4ANgA0ACwAIABcACIALQA5ADkAOQA5AKAASQBuAHYAYQBsAGkAZABcACIALAAgAFwAIgAtADkAOQA5ADkAoABJAG4AdgBhAGwAaQBkAFwAIgAsACAAMQA3ADgANgAuADkAOAAsACAAMQA3ADgANwAuADYANAAsACAAMQA3ADgANwAuADcANgAsACAAMQA3ADgAOAAuADAAMwAsACAAMQA3ADgANwAuADMAMQAsACAAMQA3ADgANgAuADEANAAsACAAMQA3ADgAMwAuADgAMQAsACAAMQA3ADgAMgAuADYAMgAsACAAMQA3ADgAMAAuADkAOQAsACAAMQA3ADcAOAAuADcAMgAsACAAMQA3ADcANgAuADQANgA7AFwAbgAgACAAIAAgADEANwA3ADUALgA1ADgALAAgADEANwA3ADQALgAwADkALAAgADEANwA3ADIALgA0ADkALAAgADEANwA3ADEALgA4ADkALAAgADEANwA3ADAALgA4ADMALAAgADEANwA3ADAALgAxADkALAAgADEANwA3ADAALgAzADkALAAgADEANwA3ADIALgA4ADMALAAgADEANwA3ADYALgAyACwAIAAxADcANwA4AC4AOQAsACAAMQA3ADgAMAAuADUAOQAsACAAMQA3ADgAMQAuADYAOAAsACAAMQA3ADgAMgAuADkAMQAsACAAMQA3ADgANAAuADAAOAAsACAAMQA3ADgANAAuADUAMQAsACAAMQA3ADgANAAuADMAMQAsACAAXAAiAC0AOQA5ADkAOQCgAEkAbgB2AGEAbABpAGQAXAAiACwAIAAxADcAOAAyAC4AOQAxACwAIAAxADcAOAA0AC4AMQAzACwAIAAxADcAOAA0AC4ANwAyACwAIABcACIALQA5ADkAOQA5AKAASQBuAHYAYQBsAGkAZABcACIALAAgADEANwA4ADYALgAyADYALAAgADEANwA4ADYALgA4ADUALAAgADEANwA4ADYALgAyADEALAAgADEANwA4ADUALgAzADMALAAgAFwAIgAtADkAOQA5ADkAoABJAG4AdgBhAGwAaQBkAFwAIgAsACAAMQA3ADgAMgAuADEANAAsACAAMQA3ADgAMAAuADUANAAsACAAXAAiAC0AOQA5ADkAOQCgAEkAbgB2AGEAbABpAGQAXAAiACwAIAAxADcANwA1AC4AOAA7AFwAbgAgACAAIAAgADEANwA3ADIALgA1ACwAIAAxADcANwAxAC4ANQAyACwAIAAxADcANwAxAC4AMQAsACAAMQA3ADcAMAAuADUALAAgADEANwA2ADkALgA3ADQALAAgAFwAIgAtADkAOQA5ADkAoABJAG4AdgBhAGwAaQBkAFwAIgAsACAAMQA3ADYAOQAuADQALAAgADEANwA3ADIALgA0ADQALAAgADEANwA3ADUALgA1ADkALAAgADEANwA3ADcALgA5ADcALAAgADEANwA3ADgALgA2ADUALAAgAFwAIgAtADkAOQA5ADkAoABJAG4AdgBhAGwAaQBkAFwAIgAsACAAMQA3ADgAMQAuADgALAAgADEANwA4ADIALgA0ADgALAAgADEANwA4ADIALgAzADMALAAgADEANwA4ADIALgAwADcALAAgADEANwA4ADEALgAzADEALAAgADEANwA4ADAALgA5ACwAIABcACIALQA5ADkAOQA5AKAASQBuAHYAYQBsAGkAZABcACIALAAgADEANwA4ADMALgAzADcALAAgADEANwA4ADQALgAxADgALAAgADEANwA4ADQALgA2ACwAIAAxADcAOAA1AC4AMQAxACwAIAAxADcAOAA1AC4AMAA4ACwAIAAxADcAOAA0AC4AMgAyACwAIAAxADcAOAAyAC4ANwA1ACwAIAAxADcAOAAxAC4AMgAzACwAIAAxADcANwA5AC4ANwA4ACwAIAAxADcANwA3AC4ANwA2ACwAIAAxADcANwA1AC4AMwA1ADsAXABuACAAIAAgACAAMQA3ADcAMQAsACAAMQA3ADcAMAAuADIALAAgADEANwA2ADkALgA2ACwAIAAxADcANgA4AC4AOQA2ACwAIAAxADcANgA4AC4ANAA0ACwAIABcACIALQA5ADkAOQA5AKAASQBuAHYAYQBsAGkAZABcACIALAAgAFwAIgAtADkAOQA5ADkAoABJAG4AdgBhAGwAaQBkAFwAIgAsACAAMQA3ADcAMAAuADQANgAsACAAMQA3ADcAMwAuADMANQAsACAAMQA3ADcANQAuADUAMQAsACAAMQA3ADcANwAuADMANQAsACAAMQA3ADcAOQAuADAAMgAsACAAMQA3ADgAMAAuADIAMgAsACAAMQA3ADgAMAAuADkAMwAsACAAMQA3ADgAMAAuADQAOQAsACAAMQA3ADcAOQAuADcAMwAsACAAMQA3ADcANwAuADUANgAsACAAMQA3ADcAOAAsACAAMQA3ADgAMAAuADAAMgAsACAAMQA3ADgAMQAuADMANAAsACAAMQA3ADgAMgAuADIALAAgADEANwA4ADIALgA5ADIALAAgADEANwA4ADMALgA1ADQALAAgAFwAIgAtADkAOQA5ADkAoABJAG4AdgBhAGwAaQBkAFwAIgAsACAAMQA3ADgAMgAuADkANAAsACAAMQA3ADgAMQAuADQANgAsACAAMQA3ADcAOQAuADkAOAAsACAAMQA3ADcAOAAuADkANgAsACAAMQA3ADcANwAuADUANQAsACAAMQA3ADcANQAuADIANgA7AFwAbgAgACAAIAAgADEANwA3ADAALgAyADcALAAgADEANwA2ADkALgAzADIALAAgADEANwA2ADgALgA1ADIALAAgADEANwA2ADcALgA4ADIALAAgADEANwA2ADcALgA0ADIALAAgADEANwA2ADcALgAxADQALAAgAFwAIgAtADkAOQA5ADkAoABJAG4AdgBhAGwAaQBkAFwAIgAsACAAMQA3ADcAMAAuADAANwAsACAAMQA3ADcAMgAuADAAOQAsACAAMQA3ADcANAAuADEANgAsACAAXAAiAC0AOQA5ADkAOQCgAEkAbgB2AGEAbABpAGQAXAAiACwAIAAxADcANwA3AC4AMgAzACwAIAAxADcANwA4AC4AMgA5ACwAIAAxADcANwA4AC4AMwAzACwAIAAxADcANwA4AC4ANgAsACAAXAAiAC0AOQA5ADkAOQCgAEkAbgB2AGEAbABpAGQAXAAiACwAIAAxADcANwA0AC4AMAA2ACwAIAAxADcANwA0AC4ANAA5ACwAIAAxADcANwA2AC4AOAA3ACwAIAAxADcANwA5AC4AMwA5ACwAIAAxADcAOAAwAC4AMwAxACwAIAAxADcAOAAxAC4AMQA2ACwAIABcACIALQA5ADkAOQA5AKAASQBuAHYAYQBsAGkAZABcACIALAAgADEANwA4ADEALgA4ADQALAAgADEANwA4ADEALgA1ADMALAAgADEANwA4ADAALgAzACwAIAAxADcANwA4AC4AOQAxACwAIAAxADcANwA4AC4AMAA0ACwAIAAxADcANwA3AC4AMAAyACwAIAAxADcANwA0AC4AOQAyADsAXABuACAAIAAgACAAMQA3ADYAOQAuADcAMwAsACAAXAAiAC0AOQA5ADkAOQCgAEkAbgB2AGEAbABpAGQAXAAiACwAIABcACIALQA5ADkAOQA5AKAASQBuAHYAYQBsAGkAZABcACIALAAgADEANwA2ADcALgAwADQALAAgADEANwA2ADYALgA0ADQALAAgADEANwA2ADYALgAwADkALAAgAFwAIgAtADkAOQA5ADkAoABJAG4AdgBhAGwAaQBkAFwAIgAsACAAMQA3ADYAOQAuADMANAAsACAAMQA3ADcAMQAuADAANQAsACAAMQA3ADcAMgAuADkAOAAsACAAXAAiAC0AOQA5ADkAOQCgAEkAbgB2AGEAbABpAGQAXAAiACwAIAAxADcANwA1AC4AMgA3ACwAIAAxADcANwA2AC4AMQA4ACwAIAAxADcANwA2AC4ANwA1ACwAIAAxADcANwA2AC4AOAA0ACwAIAAxADcANwA1AC4ANQAzACwAIAAxADcANwAxAC4AOQA3ACwAIAAxADcANwAyAC4ANAA0ACwAIAAxADcANwA0AC4AMgA0ACwAIABcACIALQA5ADkAOQA5AKAASQBuAHYAYQBsAGkAZABcACIALAAgADEANwA3ADgALgAwADYALAAgADEANwA3ADgALgA2ADcALAAgADEANwA3ADkALgA2ADQALAAgADEANwA3ADkALgA5ADEALAAgADEANwA3ADkALgA1ADgALAAgAFwAIgAtADkAOQA5ADkAoABJAG4AdgBhAGwAaQBkAFwAIgAsACAAMQA3ADcANwAuADIAMQAsACAAMQA3ADcANgAuADYAMwAsACAAMQA3ADcANQAuADYANQAsACAAXAAiAC0AOQA5ADkAOQCgAEkAbgB2AGEAbABpAGQAXAAiADsAXABuACAAIAAgACAAMQA3ADYAOQAuADYAMgAsACAAMQA3ADcAMQAuADAAOAAsACAAXAAiAC0AOQA5ADkAOQCgAEkAbgB2AGEAbABpAGQAXAAiACwAIAAxADcANgA2AC4ANwAzACwAIABcACIALQA5ADkAOQA5AKAASQBuAHYAYQBsAGkAZABcACIALAAgADEANwA2ADQALgA4ADgALAAgADEANwA2ADYALgAxADIALAAgADEANwA2ADcALgA1ADkALAAgADEANwA3ADAALgAzADUALAAgADEANwA3ADEALgAyACwAIAAxADcANwAyAC4ANAAyACwAIAAxADcANwAzAC4ANQA0ACwAIAAxADcANwAzAC4ANQAyACwAIAAxADcANwA0AC4AMwAyACwAIAAxADcANwA0AC4ANgA3ACwAIAAxADcANwAxAC4ANgA5ACwAIAAxADcANgA4AC4ANQAsACAAMQA3ADYAOQAuADEALAAgAFwAIgAtADkAOQA5ADkAoABJAG4AdgBhAGwAaQBkAFwAIgAsACAAMQA3ADcAMwAuADkANwAsACAAMQA3ADcANQAuADcAMwAsACAAMQA3ADcANgAuADYALAAgADEANwA3ADcALgAzADEALAAgADEANwA3ADcALgA5ADgALAAgADEANwA3ADcALgA4ADEALAAgADEANwA3ADcALgAwADkALAAgADEANwA3ADUALgAwADgALAAgADEANwA3ADMALgA4ADIALAAgADEANwA3ADMALgAyADMALAAgADEANwA3ADIALgAxADkAOwBcAG4AIAAgACAAIAAxADcANwA1AC4ANgAxACwAIAAxADcANwAyAC4ANgAzACwAIAAxADcANgA5AC4AMQAzACwAIAAxADcANgA2AC4ANAA1ACwAIAAxADcANgA1AC4AMAAzACwAIAAxADcANgAzAC4AOQA4ACwAIAAxADcANgA0AC4AMwA5ACwAIABcACIALQA5ADkAOQA5AKAASQBuAHYAYQBsAGkAZABcACIALAAgADEANwA2ADcALgAzADkALAAgAFwAIgAtADkAOQA5ADkAoABJAG4AdgBhAGwAaQBkAFwAIgAsACAAMQA3ADcAMAAuADMAMwAsACAAMQA3ADYAOQAuADYANQAsACAAMQA3ADcAMAAuADAANQAsACAAMQA3ADcAMAAuADUALAAgADEANwA3ADAALgA1ADYALAAgAFwAIgAtADkAOQA5ADkAoABJAG4AdgBhAGwAaQBkAFwAIgAsACAAMQA3ADYANgAuADQANQAsACAAMQA3ADYANwAuADgALAAgADEANwA2ADkALgA2ADcALAAgADEANwA3ADEALgA5ADUALAAgADEANwA3ADMALgA1ADIALAAgAFwAIgAtADkAOQA5ADkAoABJAG4AdgBhAGwAaQBkAFwAIgAsACAAMQA3ADcANQAuADIANQAsACAAMQA3ADcANQAuADQAOQAsACAAMQA3ADcANQAuADUAMgAsACAAMQA3ADcANAAuADcALAAgADEANwA3ADMALgAzADcALAAgADEANwA3ADAALgA1ADcALAAgADEANwA3ADAALgAzACwAIAAxADcANgA4AC4ANwA1ADsAXABuACAAIAAgACAAXAAiAC0AOQA5ADkAOQCgAEkAbgB2AGEAbABpAGQAXAAiACwAIABcACIALQA5ADkAOQA5AKAASQBuAHYAYQBsAGkAZABcACIALAAgADEANwA2ADgALgA5ADUALAAgAFwAIgAtADkAOQA5ADkAoABJAG4AdgBhAGwAaQBkAFwAIgAsACAAMQA3ADYANAAuADMANgAsACAAMQA3ADYAMwAuADQANgAsACAAMQA3ADYAMwAuADIANQAsACAAMQA3ADYAMwAuADYAMgAsACAAMQA3ADYANAAuADkAOAAsACAAMQA3ADYANgAuADkAMwAsACAAMQA3ADYANgAuADcANQAsACAAMQA3ADYANgAuADMAMwAsACAAMQA3ADYANgAuADUALAAgADEANwA2ADcALgAyADUALAAgADEANwA2ADYALgA1ADkALAAgADEANwA2ADQALgA3ADgALAAgADEANwA2ADQALgA4ADcALAAgADEANwA2ADUALgA5ACwAIABcACIALQA5ADkAOQA5AKAASQBuAHYAYQBsAGkAZABcACIALAAgADEANwA2ADkALgAzADIALAAgADEANwA3ADAALgA5ACwAIAAxADcANwAyAC4AMQAxACwAIAAxADcANwAyAC4ANwA2ACwAIABcACIALQA5ADkAOQA5AKAASQBuAHYAYQBsAGkAZABcACIALAAgADEANwA3ADIALgA1ADYALAAgADEANwA3ADAALgA5ADUALAAgADEANwA3ADEALgAxADEALAAgADEANwA2ADkALgAwADYALAAgADEANwA2ADcALgAzADgALAAgADEANwA2ADQALgAxADYAXABuAH0AIgB9AF0ALAAiAHAAcgBvAGoAZQBjAHQATgBhAG0AZQBzACIAOgBbACIAVABlAHIAcgBhAGkAbgC7AyIALAAiAEMAbABhAG0AcAC7AyIALAAiAEQAZQBmAGUAcgC7AyIALAAiAFAAYQBkALsDIgAsACIAQwBvAG8AcgBkAGkAbgBhAHQAZQBzALsDIgAsACIAUwB1AG0AbQBhAHIAaQB6AGUAuwMiACwAIgBWAGEAbABpAGQAYQB0AGUAuwMiACwAIgBRAHUAYQBsAGkAdAB5ALsDIgAsACIAUwBjAGEAbABlAF8AWgBUAFAASQAiACwAIgBTAGMAYQBsAGUAXwBTAGwAbwBwAGUAIgAsACIAQwBsAGEAcwBzAF8AVAB5AHAAZQBzACIALAAiAEQARQBNAF8AVABpAHQAbABlACIALAAiAHQAZQByAHIAYQBpAG4AXwBzAHUAbQBtAGEAcgB5ACIALAAiAEUAeABwAG8AcgB0ACIALAAiAEYAdQBuAGMAdABpAG8AbgBzACIALAAiAEUAcgByAG8AcgBSAGUAcABvAHIAdAAiACwAIgBEAEUATQAuAEIAYQBkAGwAYQBuAGQAcwAiACwAIgBEAEUATQAuAEUAdgBlAHIAZwBsAGEAZABlAHMAIgAsACIARABFAE0ALgBHAHIAYQBuAGQAQwBhAG4AeQBvAG4AIgAsACIARABFAE0ALgBPAGwAeQBtAHAAaQBjAFAAZQBuAGkAbgBzAHUAbABhACIALAAiAEQARQBNAC4ATQB0AFIAYQBpAG4AaQBlAHIAIgAsACIARABFAE0ALgBXAGgAaQB0AGUAUwBhAG4AZABzACIALAAiAEQARQBNAC4AWQBvAHMAZQBtAGkAdABlACIALAAiAEQARQBNAC4ATQBvAG4AdQBtAGUAbgB0AFYAYQBsAGwAZQB5ACIALAAiAEQARQBNAC4ARwByAGUAYQB0AFMAbQBvAGsAeQBNAHQAIgAsACIARABFAE0ALgBTAGEAdwB0AG8AbwB0AGgAIgAsACIARABFAE0ALgBQAGkAdAB0AHMAYgB1AHIAZwBoACIALAAiAEQARQBNAC4ATABlAGEAZAB2AGkAbABsAGUAIgAsACIARABFAE0ALgBHAGwAYQBjAGkAZQByAE4AYQB0AGkAbwBuAGEAbABQAGEAcgBrACIALAAiAEQARQBNAC4AUwBhAG4AdABhAE0AbwBuAGkAYwBhACIALAAiAEQARQBNAC4AUwBhAG4AQQBuAHQAbwBuAGkAbwAiACwAIgBEAEUATQAuAFMAYQBsAHQARgBvAHIAawBTAHQAYQB0AGUAUABhAHIAawAiACwAIgBEAEUATQAuAFIAYQBjAGgAZQBsAE4AZQB2AGEAZABhACIALAAiAEQARQBNAC4AQwBvAHIAbwBuAGEATgBlAHcATQBlAHgAaQBjAG8AIgAsACIATABlAGcAZQBuAGQALgBTAGwAbwBwAGUAUgAiACwAIgBMAGUAZwBlAG4AZAAuAFMAbABvAHAAZQBEAGUAZwAiACwAIgBMAGUAZwBlAG4AZAAuAEEAcwBwAGUAYwB0AFIAIgAsACIATABlAGcAZQBuAGQALgBDAHUAcgB2AGEAdAB1AHIAZQAiACwAIgBMAGUAZwBlAG4AZAAuAFAAcgBvAEMAdQByAHYAYQB0AHUAcgBlACIALAAiAEwAZQBnAGUAbgBkAC4ARwByAGEAZABpAGUAbgB0AE0AYQBnACIALAAiAEwAZQBnAGUAbgBkAC4ASABpAGwAbABzAGgAYQBkAGUAIgAsACIATABlAGcAZQBuAGQALgBSAG8AdQBnAGgAbgBlAHMAcwAiACwAIgBMAGUAZwBlAG4AZAAuAFoAVABQAEkAIgAsACIATABlAGcAZQBuAGQALgBFAG4AdAByAGkAZQBzACIALAAiAEwAZQBnAGUAbgBkAC4ARAB5AG4AYQBtAGkAYwAiACwAIgBFAHgAdAByAGEALgBTAEYAUwBQAF8AMQAiACwAIgBFAHgAdAByAGEALgBTAEYAUwBQAF8AMgAiACwAIgBFAHgAdAByAGEALgBOAE0AXwAxACIALAAiAEUAeAB0AHIAYQAuAE4ATQBfADI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1687B0E3-F9BF-4168-88EA-771C85298DE5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Introduction</vt:lpstr>
      <vt:lpstr>QuickStart</vt:lpstr>
      <vt:lpstr>Input</vt:lpstr>
      <vt:lpstr>Analyze</vt:lpstr>
      <vt:lpstr>Export</vt:lpstr>
      <vt:lpstr>FAQ</vt:lpstr>
      <vt:lpstr>Glossary</vt:lpstr>
      <vt:lpstr>DEM-AmazonBasin</vt:lpstr>
      <vt:lpstr>DEM-DeathValley</vt:lpstr>
      <vt:lpstr>cellsize_input</vt:lpstr>
      <vt:lpstr>DEM.AmazonBasin</vt:lpstr>
      <vt:lpstr>DEM.DeathValley</vt:lpstr>
      <vt:lpstr>DEM_Details</vt:lpstr>
      <vt:lpstr>DEM_error</vt:lpstr>
      <vt:lpstr>DEM_Library</vt:lpstr>
      <vt:lpstr>Export?</vt:lpstr>
      <vt:lpstr>fn_input</vt:lpstr>
      <vt:lpstr>legend</vt:lpstr>
      <vt:lpstr>metric</vt:lpstr>
    </vt:vector>
  </TitlesOfParts>
  <Manager/>
  <Company>Alithya Canada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Hogan</dc:creator>
  <cp:keywords/>
  <dc:description/>
  <cp:lastModifiedBy>Patrick Hogan</cp:lastModifiedBy>
  <cp:revision/>
  <dcterms:created xsi:type="dcterms:W3CDTF">2025-06-19T17:55:43Z</dcterms:created>
  <dcterms:modified xsi:type="dcterms:W3CDTF">2025-10-27T14:46:37Z</dcterms:modified>
  <cp:category/>
  <cp:contentStatus/>
</cp:coreProperties>
</file>